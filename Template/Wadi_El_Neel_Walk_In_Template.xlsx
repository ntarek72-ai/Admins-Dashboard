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Line'!$A$1:$AB$501</definedName>
    <definedName name="_xlnm._FilterDatabase" localSheetId="3" hidden="1">'Per Invoice'!$A$1:$U$201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WADI EL NEEL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A-E, G-T (same order as the system export).</t>
        </is>
      </c>
    </row>
    <row r="6">
      <c r="A6" s="3" t="inlineStr">
        <is>
          <t>3. Green columns (F, U, V, W, X) and the grey helper columns (Y-AB) calculate automatically - do not paste over them.</t>
        </is>
      </c>
    </row>
    <row r="7">
      <c r="A7" s="3" t="inlineStr">
        <is>
          <t>4. 'Per Invoice' fills itself from 'Per Line' (one row per POS Reference,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'Total Delivered')</t>
        </is>
      </c>
    </row>
    <row r="16">
      <c r="A16" s="3" t="inlineStr">
        <is>
          <t>Rebates per line = Local rate (10%) if Local is TRUE, otherwise Imported rate (0%).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500 lines and 200 invoices per month. A line with an empty POS Reference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WADI EL NEEL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</v>
      </c>
      <c r="D6" t="inlineStr">
        <is>
          <t>Source: September sheet (all lines Local, Rebates = 10).</t>
        </is>
      </c>
    </row>
    <row r="7">
      <c r="B7" t="inlineStr">
        <is>
          <t>Imported (IMP) products rebate %</t>
        </is>
      </c>
      <c r="C7" s="5" t="n">
        <v>0</v>
      </c>
      <c r="D7" t="inlineStr">
        <is>
          <t>NOT in the source sheet (every line was Local). Set the imported rate here if the contract has one - it is 0% for now.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Line'!$A$2:$A$501)</f>
        <v/>
      </c>
    </row>
    <row r="11">
      <c r="B11" t="inlineStr">
        <is>
          <t>Invoices (unique Order #)</t>
        </is>
      </c>
      <c r="C11">
        <f>MAX('Per Line'!$Z$2:$Z$501)</f>
        <v/>
      </c>
    </row>
    <row r="12">
      <c r="B12" t="inlineStr">
        <is>
          <t>Invoices shown in Per Invoice</t>
        </is>
      </c>
      <c r="C12">
        <f>SUMPRODUCT(--('Per Invoice'!$B$2:$B$201&lt;&gt;""))</f>
        <v/>
      </c>
    </row>
    <row r="13">
      <c r="B13" t="inlineStr">
        <is>
          <t>Grand Total - Per Line (Product Total)</t>
        </is>
      </c>
      <c r="C13" s="7">
        <f>SUM('Per Line'!$M$2:$M$501)</f>
        <v/>
      </c>
    </row>
    <row r="14">
      <c r="B14" t="inlineStr">
        <is>
          <t>Grand Total - Per Invoice</t>
        </is>
      </c>
      <c r="C14" s="7">
        <f>SUM('Per Invoice'!$S$2:$S$201)</f>
        <v/>
      </c>
    </row>
    <row r="15">
      <c r="B15" t="inlineStr">
        <is>
          <t>Discount - Per Line</t>
        </is>
      </c>
      <c r="C15" s="7">
        <f>SUM('Per Line'!$V$2:$V$501)</f>
        <v/>
      </c>
    </row>
    <row r="16">
      <c r="B16" t="inlineStr">
        <is>
          <t>Discount - Per Invoice</t>
        </is>
      </c>
      <c r="C16" s="7">
        <f>SUM('Per Invoice'!$Q$2:$Q$201)</f>
        <v/>
      </c>
    </row>
    <row r="17">
      <c r="B17" t="inlineStr">
        <is>
          <t>Co val - Per Line</t>
        </is>
      </c>
      <c r="C17" s="7">
        <f>SUM('Per Line'!$F$2:$F$501)</f>
        <v/>
      </c>
    </row>
    <row r="18">
      <c r="B18" t="inlineStr">
        <is>
          <t>Co val - Per Invoice</t>
        </is>
      </c>
      <c r="C18" s="7">
        <f>SUM('Per Invoice'!$G$2:$G$201)</f>
        <v/>
      </c>
    </row>
    <row r="19">
      <c r="B19" t="inlineStr">
        <is>
          <t>Net - Per Line</t>
        </is>
      </c>
      <c r="C19" s="7">
        <f>SUM('Per Line'!$X$2:$X$501)</f>
        <v/>
      </c>
    </row>
    <row r="20">
      <c r="B20" t="inlineStr">
        <is>
          <t>Net - Per Invoice</t>
        </is>
      </c>
      <c r="C20" s="7">
        <f>SUM('Per Invoice'!$T$2:$T$201)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Line'!$A:$A)-1&gt;500,"TOO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3" customWidth="1" min="4" max="4"/>
    <col width="12" customWidth="1" min="5" max="5"/>
    <col width="11" customWidth="1" min="6" max="6"/>
    <col width="12" customWidth="1" min="7" max="7"/>
    <col width="4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7" customWidth="1" min="18" max="18"/>
    <col width="28" customWidth="1" min="19" max="19"/>
    <col width="12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32" customHeight="1">
      <c r="A1" s="8" t="inlineStr">
        <is>
          <t>Pos Reference</t>
        </is>
      </c>
      <c r="B1" s="8" t="inlineStr">
        <is>
          <t>Insurance Company</t>
        </is>
      </c>
      <c r="C1" s="8" t="inlineStr">
        <is>
          <t>Name</t>
        </is>
      </c>
      <c r="D1" s="8" t="inlineStr">
        <is>
          <t>Card Number</t>
        </is>
      </c>
      <c r="E1" s="8" t="inlineStr">
        <is>
          <t>Co Payment %</t>
        </is>
      </c>
      <c r="F1" s="9" t="inlineStr">
        <is>
          <t>Co val</t>
        </is>
      </c>
      <c r="G1" s="8" t="inlineStr">
        <is>
          <t>Heisenberg id</t>
        </is>
      </c>
      <c r="H1" s="8" t="inlineStr">
        <is>
          <t>Product</t>
        </is>
      </c>
      <c r="I1" s="8" t="inlineStr">
        <is>
          <t>Original Quantity</t>
        </is>
      </c>
      <c r="J1" s="8" t="inlineStr">
        <is>
          <t>Original Price</t>
        </is>
      </c>
      <c r="K1" s="8" t="inlineStr">
        <is>
          <t>Delivered Qty</t>
        </is>
      </c>
      <c r="L1" s="8" t="inlineStr">
        <is>
          <t>Delivered Price</t>
        </is>
      </c>
      <c r="M1" s="8" t="inlineStr">
        <is>
          <t>Total Delivered</t>
        </is>
      </c>
      <c r="N1" s="8" t="inlineStr">
        <is>
          <t>Order Amount Total</t>
        </is>
      </c>
      <c r="O1" s="8" t="inlineStr">
        <is>
          <t>Payment Amount</t>
        </is>
      </c>
      <c r="P1" s="8" t="inlineStr">
        <is>
          <t>Payment Type</t>
        </is>
      </c>
      <c r="Q1" s="8" t="inlineStr">
        <is>
          <t>Session</t>
        </is>
      </c>
      <c r="R1" s="8" t="inlineStr">
        <is>
          <t>Create Date</t>
        </is>
      </c>
      <c r="S1" s="8" t="inlineStr">
        <is>
          <t>Order Reference</t>
        </is>
      </c>
      <c r="T1" s="8" t="inlineStr">
        <is>
          <t>Product Template - Product Tmpl → Is Local</t>
        </is>
      </c>
      <c r="U1" s="9" t="inlineStr">
        <is>
          <t>Rebates</t>
        </is>
      </c>
      <c r="V1" s="9" t="inlineStr">
        <is>
          <t>Discount</t>
        </is>
      </c>
      <c r="W1" s="9" t="inlineStr">
        <is>
          <t>Subtotal</t>
        </is>
      </c>
      <c r="X1" s="9" t="inlineStr">
        <is>
          <t>Net</t>
        </is>
      </c>
      <c r="Y1" s="10" t="inlineStr">
        <is>
          <t>Order 1st Row (helper)</t>
        </is>
      </c>
      <c r="Z1" s="10" t="inlineStr">
        <is>
          <t>Invoice # (helper)</t>
        </is>
      </c>
      <c r="AA1" s="10" t="inlineStr">
        <is>
          <t>Is Local (helper)</t>
        </is>
      </c>
      <c r="AB1" s="10" t="inlineStr">
        <is>
          <t>Sort Key (helper)</t>
        </is>
      </c>
    </row>
    <row r="2">
      <c r="F2" s="7">
        <f>IF($A2="","",E2*M2/100)</f>
        <v/>
      </c>
      <c r="I2" s="7" t="n"/>
      <c r="J2" s="7" t="n"/>
      <c r="L2" s="7" t="n"/>
      <c r="M2" s="7" t="n"/>
      <c r="N2" s="7" t="n"/>
      <c r="O2" s="7" t="n"/>
      <c r="R2" s="11" t="n"/>
      <c r="U2">
        <f>IF($A2="","",IF($AA2=1,Settings!$C$6,Settings!$C$7)*100)</f>
        <v/>
      </c>
      <c r="V2" s="7">
        <f>IF($A2="","",M2*U2/100)</f>
        <v/>
      </c>
      <c r="W2" s="7">
        <f>IF($A2="","",M2-V2)</f>
        <v/>
      </c>
      <c r="X2" s="7">
        <f>IF($A2="","",W2-F2)</f>
        <v/>
      </c>
      <c r="Y2">
        <f>IF($A2="","",IF(COUNTIF($A$2:$A2,$A2)=1,1,0))</f>
        <v/>
      </c>
      <c r="Z2">
        <f>IF($Y2=1,SUMPRODUCT(--($AB$2:$AB$501&lt;$AB2))+1,"")</f>
        <v/>
      </c>
      <c r="AA2">
        <f>IF($A2="","",IF(OR($T2=TRUE(),$T2="TRUE"),1,0))</f>
        <v/>
      </c>
      <c r="AB2">
        <f>IF($Y2=1,IFERROR(VALUE(MID($A2,2,20)),1000000000)+ROW()/100000,"")</f>
        <v/>
      </c>
    </row>
    <row r="3">
      <c r="F3" s="7">
        <f>IF($A3="","",E3*M3/100)</f>
        <v/>
      </c>
      <c r="I3" s="7" t="n"/>
      <c r="J3" s="7" t="n"/>
      <c r="L3" s="7" t="n"/>
      <c r="M3" s="7" t="n"/>
      <c r="N3" s="7" t="n"/>
      <c r="O3" s="7" t="n"/>
      <c r="R3" s="11" t="n"/>
      <c r="U3">
        <f>IF($A3="","",IF($AA3=1,Settings!$C$6,Settings!$C$7)*100)</f>
        <v/>
      </c>
      <c r="V3" s="7">
        <f>IF($A3="","",M3*U3/100)</f>
        <v/>
      </c>
      <c r="W3" s="7">
        <f>IF($A3="","",M3-V3)</f>
        <v/>
      </c>
      <c r="X3" s="7">
        <f>IF($A3="","",W3-F3)</f>
        <v/>
      </c>
      <c r="Y3">
        <f>IF($A3="","",IF(COUNTIF($A$2:$A3,$A3)=1,1,0))</f>
        <v/>
      </c>
      <c r="Z3">
        <f>IF($Y3=1,SUMPRODUCT(--($AB$2:$AB$501&lt;$AB3))+1,"")</f>
        <v/>
      </c>
      <c r="AA3">
        <f>IF($A3="","",IF(OR($T3=TRUE(),$T3="TRUE"),1,0))</f>
        <v/>
      </c>
      <c r="AB3">
        <f>IF($Y3=1,IFERROR(VALUE(MID($A3,2,20)),1000000000)+ROW()/100000,"")</f>
        <v/>
      </c>
    </row>
    <row r="4">
      <c r="F4" s="7">
        <f>IF($A4="","",E4*M4/100)</f>
        <v/>
      </c>
      <c r="I4" s="7" t="n"/>
      <c r="J4" s="7" t="n"/>
      <c r="L4" s="7" t="n"/>
      <c r="M4" s="7" t="n"/>
      <c r="N4" s="7" t="n"/>
      <c r="O4" s="7" t="n"/>
      <c r="R4" s="11" t="n"/>
      <c r="U4">
        <f>IF($A4="","",IF($AA4=1,Settings!$C$6,Settings!$C$7)*100)</f>
        <v/>
      </c>
      <c r="V4" s="7">
        <f>IF($A4="","",M4*U4/100)</f>
        <v/>
      </c>
      <c r="W4" s="7">
        <f>IF($A4="","",M4-V4)</f>
        <v/>
      </c>
      <c r="X4" s="7">
        <f>IF($A4="","",W4-F4)</f>
        <v/>
      </c>
      <c r="Y4">
        <f>IF($A4="","",IF(COUNTIF($A$2:$A4,$A4)=1,1,0))</f>
        <v/>
      </c>
      <c r="Z4">
        <f>IF($Y4=1,SUMPRODUCT(--($AB$2:$AB$501&lt;$AB4))+1,"")</f>
        <v/>
      </c>
      <c r="AA4">
        <f>IF($A4="","",IF(OR($T4=TRUE(),$T4="TRUE"),1,0))</f>
        <v/>
      </c>
      <c r="AB4">
        <f>IF($Y4=1,IFERROR(VALUE(MID($A4,2,20)),1000000000)+ROW()/100000,"")</f>
        <v/>
      </c>
    </row>
    <row r="5">
      <c r="F5" s="7">
        <f>IF($A5="","",E5*M5/100)</f>
        <v/>
      </c>
      <c r="I5" s="7" t="n"/>
      <c r="J5" s="7" t="n"/>
      <c r="L5" s="7" t="n"/>
      <c r="M5" s="7" t="n"/>
      <c r="N5" s="7" t="n"/>
      <c r="O5" s="7" t="n"/>
      <c r="R5" s="11" t="n"/>
      <c r="U5">
        <f>IF($A5="","",IF($AA5=1,Settings!$C$6,Settings!$C$7)*100)</f>
        <v/>
      </c>
      <c r="V5" s="7">
        <f>IF($A5="","",M5*U5/100)</f>
        <v/>
      </c>
      <c r="W5" s="7">
        <f>IF($A5="","",M5-V5)</f>
        <v/>
      </c>
      <c r="X5" s="7">
        <f>IF($A5="","",W5-F5)</f>
        <v/>
      </c>
      <c r="Y5">
        <f>IF($A5="","",IF(COUNTIF($A$2:$A5,$A5)=1,1,0))</f>
        <v/>
      </c>
      <c r="Z5">
        <f>IF($Y5=1,SUMPRODUCT(--($AB$2:$AB$501&lt;$AB5))+1,"")</f>
        <v/>
      </c>
      <c r="AA5">
        <f>IF($A5="","",IF(OR($T5=TRUE(),$T5="TRUE"),1,0))</f>
        <v/>
      </c>
      <c r="AB5">
        <f>IF($Y5=1,IFERROR(VALUE(MID($A5,2,20)),1000000000)+ROW()/100000,"")</f>
        <v/>
      </c>
    </row>
    <row r="6">
      <c r="F6" s="7">
        <f>IF($A6="","",E6*M6/100)</f>
        <v/>
      </c>
      <c r="I6" s="7" t="n"/>
      <c r="J6" s="7" t="n"/>
      <c r="L6" s="7" t="n"/>
      <c r="M6" s="7" t="n"/>
      <c r="N6" s="7" t="n"/>
      <c r="O6" s="7" t="n"/>
      <c r="R6" s="11" t="n"/>
      <c r="U6">
        <f>IF($A6="","",IF($AA6=1,Settings!$C$6,Settings!$C$7)*100)</f>
        <v/>
      </c>
      <c r="V6" s="7">
        <f>IF($A6="","",M6*U6/100)</f>
        <v/>
      </c>
      <c r="W6" s="7">
        <f>IF($A6="","",M6-V6)</f>
        <v/>
      </c>
      <c r="X6" s="7">
        <f>IF($A6="","",W6-F6)</f>
        <v/>
      </c>
      <c r="Y6">
        <f>IF($A6="","",IF(COUNTIF($A$2:$A6,$A6)=1,1,0))</f>
        <v/>
      </c>
      <c r="Z6">
        <f>IF($Y6=1,SUMPRODUCT(--($AB$2:$AB$501&lt;$AB6))+1,"")</f>
        <v/>
      </c>
      <c r="AA6">
        <f>IF($A6="","",IF(OR($T6=TRUE(),$T6="TRUE"),1,0))</f>
        <v/>
      </c>
      <c r="AB6">
        <f>IF($Y6=1,IFERROR(VALUE(MID($A6,2,20)),1000000000)+ROW()/100000,"")</f>
        <v/>
      </c>
    </row>
    <row r="7">
      <c r="F7" s="7">
        <f>IF($A7="","",E7*M7/100)</f>
        <v/>
      </c>
      <c r="I7" s="7" t="n"/>
      <c r="J7" s="7" t="n"/>
      <c r="L7" s="7" t="n"/>
      <c r="M7" s="7" t="n"/>
      <c r="N7" s="7" t="n"/>
      <c r="O7" s="7" t="n"/>
      <c r="R7" s="11" t="n"/>
      <c r="U7">
        <f>IF($A7="","",IF($AA7=1,Settings!$C$6,Settings!$C$7)*100)</f>
        <v/>
      </c>
      <c r="V7" s="7">
        <f>IF($A7="","",M7*U7/100)</f>
        <v/>
      </c>
      <c r="W7" s="7">
        <f>IF($A7="","",M7-V7)</f>
        <v/>
      </c>
      <c r="X7" s="7">
        <f>IF($A7="","",W7-F7)</f>
        <v/>
      </c>
      <c r="Y7">
        <f>IF($A7="","",IF(COUNTIF($A$2:$A7,$A7)=1,1,0))</f>
        <v/>
      </c>
      <c r="Z7">
        <f>IF($Y7=1,SUMPRODUCT(--($AB$2:$AB$501&lt;$AB7))+1,"")</f>
        <v/>
      </c>
      <c r="AA7">
        <f>IF($A7="","",IF(OR($T7=TRUE(),$T7="TRUE"),1,0))</f>
        <v/>
      </c>
      <c r="AB7">
        <f>IF($Y7=1,IFERROR(VALUE(MID($A7,2,20)),1000000000)+ROW()/100000,"")</f>
        <v/>
      </c>
    </row>
    <row r="8">
      <c r="F8" s="7">
        <f>IF($A8="","",E8*M8/100)</f>
        <v/>
      </c>
      <c r="I8" s="7" t="n"/>
      <c r="J8" s="7" t="n"/>
      <c r="L8" s="7" t="n"/>
      <c r="M8" s="7" t="n"/>
      <c r="N8" s="7" t="n"/>
      <c r="O8" s="7" t="n"/>
      <c r="R8" s="11" t="n"/>
      <c r="U8">
        <f>IF($A8="","",IF($AA8=1,Settings!$C$6,Settings!$C$7)*100)</f>
        <v/>
      </c>
      <c r="V8" s="7">
        <f>IF($A8="","",M8*U8/100)</f>
        <v/>
      </c>
      <c r="W8" s="7">
        <f>IF($A8="","",M8-V8)</f>
        <v/>
      </c>
      <c r="X8" s="7">
        <f>IF($A8="","",W8-F8)</f>
        <v/>
      </c>
      <c r="Y8">
        <f>IF($A8="","",IF(COUNTIF($A$2:$A8,$A8)=1,1,0))</f>
        <v/>
      </c>
      <c r="Z8">
        <f>IF($Y8=1,SUMPRODUCT(--($AB$2:$AB$501&lt;$AB8))+1,"")</f>
        <v/>
      </c>
      <c r="AA8">
        <f>IF($A8="","",IF(OR($T8=TRUE(),$T8="TRUE"),1,0))</f>
        <v/>
      </c>
      <c r="AB8">
        <f>IF($Y8=1,IFERROR(VALUE(MID($A8,2,20)),1000000000)+ROW()/100000,"")</f>
        <v/>
      </c>
    </row>
    <row r="9">
      <c r="F9" s="7">
        <f>IF($A9="","",E9*M9/100)</f>
        <v/>
      </c>
      <c r="I9" s="7" t="n"/>
      <c r="J9" s="7" t="n"/>
      <c r="L9" s="7" t="n"/>
      <c r="M9" s="7" t="n"/>
      <c r="N9" s="7" t="n"/>
      <c r="O9" s="7" t="n"/>
      <c r="R9" s="11" t="n"/>
      <c r="U9">
        <f>IF($A9="","",IF($AA9=1,Settings!$C$6,Settings!$C$7)*100)</f>
        <v/>
      </c>
      <c r="V9" s="7">
        <f>IF($A9="","",M9*U9/100)</f>
        <v/>
      </c>
      <c r="W9" s="7">
        <f>IF($A9="","",M9-V9)</f>
        <v/>
      </c>
      <c r="X9" s="7">
        <f>IF($A9="","",W9-F9)</f>
        <v/>
      </c>
      <c r="Y9">
        <f>IF($A9="","",IF(COUNTIF($A$2:$A9,$A9)=1,1,0))</f>
        <v/>
      </c>
      <c r="Z9">
        <f>IF($Y9=1,SUMPRODUCT(--($AB$2:$AB$501&lt;$AB9))+1,"")</f>
        <v/>
      </c>
      <c r="AA9">
        <f>IF($A9="","",IF(OR($T9=TRUE(),$T9="TRUE"),1,0))</f>
        <v/>
      </c>
      <c r="AB9">
        <f>IF($Y9=1,IFERROR(VALUE(MID($A9,2,20)),1000000000)+ROW()/100000,"")</f>
        <v/>
      </c>
    </row>
    <row r="10">
      <c r="F10" s="7">
        <f>IF($A10="","",E10*M10/100)</f>
        <v/>
      </c>
      <c r="I10" s="7" t="n"/>
      <c r="J10" s="7" t="n"/>
      <c r="L10" s="7" t="n"/>
      <c r="M10" s="7" t="n"/>
      <c r="N10" s="7" t="n"/>
      <c r="O10" s="7" t="n"/>
      <c r="R10" s="11" t="n"/>
      <c r="U10">
        <f>IF($A10="","",IF($AA10=1,Settings!$C$6,Settings!$C$7)*100)</f>
        <v/>
      </c>
      <c r="V10" s="7">
        <f>IF($A10="","",M10*U10/100)</f>
        <v/>
      </c>
      <c r="W10" s="7">
        <f>IF($A10="","",M10-V10)</f>
        <v/>
      </c>
      <c r="X10" s="7">
        <f>IF($A10="","",W10-F10)</f>
        <v/>
      </c>
      <c r="Y10">
        <f>IF($A10="","",IF(COUNTIF($A$2:$A10,$A10)=1,1,0))</f>
        <v/>
      </c>
      <c r="Z10">
        <f>IF($Y10=1,SUMPRODUCT(--($AB$2:$AB$501&lt;$AB10))+1,"")</f>
        <v/>
      </c>
      <c r="AA10">
        <f>IF($A10="","",IF(OR($T10=TRUE(),$T10="TRUE"),1,0))</f>
        <v/>
      </c>
      <c r="AB10">
        <f>IF($Y10=1,IFERROR(VALUE(MID($A10,2,20)),1000000000)+ROW()/100000,"")</f>
        <v/>
      </c>
    </row>
    <row r="11">
      <c r="F11" s="7">
        <f>IF($A11="","",E11*M11/100)</f>
        <v/>
      </c>
      <c r="I11" s="7" t="n"/>
      <c r="J11" s="7" t="n"/>
      <c r="L11" s="7" t="n"/>
      <c r="M11" s="7" t="n"/>
      <c r="N11" s="7" t="n"/>
      <c r="O11" s="7" t="n"/>
      <c r="R11" s="11" t="n"/>
      <c r="U11">
        <f>IF($A11="","",IF($AA11=1,Settings!$C$6,Settings!$C$7)*100)</f>
        <v/>
      </c>
      <c r="V11" s="7">
        <f>IF($A11="","",M11*U11/100)</f>
        <v/>
      </c>
      <c r="W11" s="7">
        <f>IF($A11="","",M11-V11)</f>
        <v/>
      </c>
      <c r="X11" s="7">
        <f>IF($A11="","",W11-F11)</f>
        <v/>
      </c>
      <c r="Y11">
        <f>IF($A11="","",IF(COUNTIF($A$2:$A11,$A11)=1,1,0))</f>
        <v/>
      </c>
      <c r="Z11">
        <f>IF($Y11=1,SUMPRODUCT(--($AB$2:$AB$501&lt;$AB11))+1,"")</f>
        <v/>
      </c>
      <c r="AA11">
        <f>IF($A11="","",IF(OR($T11=TRUE(),$T11="TRUE"),1,0))</f>
        <v/>
      </c>
      <c r="AB11">
        <f>IF($Y11=1,IFERROR(VALUE(MID($A11,2,20)),1000000000)+ROW()/100000,"")</f>
        <v/>
      </c>
    </row>
    <row r="12">
      <c r="F12" s="7">
        <f>IF($A12="","",E12*M12/100)</f>
        <v/>
      </c>
      <c r="I12" s="7" t="n"/>
      <c r="J12" s="7" t="n"/>
      <c r="L12" s="7" t="n"/>
      <c r="M12" s="7" t="n"/>
      <c r="N12" s="7" t="n"/>
      <c r="O12" s="7" t="n"/>
      <c r="R12" s="11" t="n"/>
      <c r="U12">
        <f>IF($A12="","",IF($AA12=1,Settings!$C$6,Settings!$C$7)*100)</f>
        <v/>
      </c>
      <c r="V12" s="7">
        <f>IF($A12="","",M12*U12/100)</f>
        <v/>
      </c>
      <c r="W12" s="7">
        <f>IF($A12="","",M12-V12)</f>
        <v/>
      </c>
      <c r="X12" s="7">
        <f>IF($A12="","",W12-F12)</f>
        <v/>
      </c>
      <c r="Y12">
        <f>IF($A12="","",IF(COUNTIF($A$2:$A12,$A12)=1,1,0))</f>
        <v/>
      </c>
      <c r="Z12">
        <f>IF($Y12=1,SUMPRODUCT(--($AB$2:$AB$501&lt;$AB12))+1,"")</f>
        <v/>
      </c>
      <c r="AA12">
        <f>IF($A12="","",IF(OR($T12=TRUE(),$T12="TRUE"),1,0))</f>
        <v/>
      </c>
      <c r="AB12">
        <f>IF($Y12=1,IFERROR(VALUE(MID($A12,2,20)),1000000000)+ROW()/100000,"")</f>
        <v/>
      </c>
    </row>
    <row r="13">
      <c r="F13" s="7">
        <f>IF($A13="","",E13*M13/100)</f>
        <v/>
      </c>
      <c r="I13" s="7" t="n"/>
      <c r="J13" s="7" t="n"/>
      <c r="L13" s="7" t="n"/>
      <c r="M13" s="7" t="n"/>
      <c r="N13" s="7" t="n"/>
      <c r="O13" s="7" t="n"/>
      <c r="R13" s="11" t="n"/>
      <c r="U13">
        <f>IF($A13="","",IF($AA13=1,Settings!$C$6,Settings!$C$7)*100)</f>
        <v/>
      </c>
      <c r="V13" s="7">
        <f>IF($A13="","",M13*U13/100)</f>
        <v/>
      </c>
      <c r="W13" s="7">
        <f>IF($A13="","",M13-V13)</f>
        <v/>
      </c>
      <c r="X13" s="7">
        <f>IF($A13="","",W13-F13)</f>
        <v/>
      </c>
      <c r="Y13">
        <f>IF($A13="","",IF(COUNTIF($A$2:$A13,$A13)=1,1,0))</f>
        <v/>
      </c>
      <c r="Z13">
        <f>IF($Y13=1,SUMPRODUCT(--($AB$2:$AB$501&lt;$AB13))+1,"")</f>
        <v/>
      </c>
      <c r="AA13">
        <f>IF($A13="","",IF(OR($T13=TRUE(),$T13="TRUE"),1,0))</f>
        <v/>
      </c>
      <c r="AB13">
        <f>IF($Y13=1,IFERROR(VALUE(MID($A13,2,20)),1000000000)+ROW()/100000,"")</f>
        <v/>
      </c>
    </row>
    <row r="14">
      <c r="F14" s="7">
        <f>IF($A14="","",E14*M14/100)</f>
        <v/>
      </c>
      <c r="I14" s="7" t="n"/>
      <c r="J14" s="7" t="n"/>
      <c r="L14" s="7" t="n"/>
      <c r="M14" s="7" t="n"/>
      <c r="N14" s="7" t="n"/>
      <c r="O14" s="7" t="n"/>
      <c r="R14" s="11" t="n"/>
      <c r="U14">
        <f>IF($A14="","",IF($AA14=1,Settings!$C$6,Settings!$C$7)*100)</f>
        <v/>
      </c>
      <c r="V14" s="7">
        <f>IF($A14="","",M14*U14/100)</f>
        <v/>
      </c>
      <c r="W14" s="7">
        <f>IF($A14="","",M14-V14)</f>
        <v/>
      </c>
      <c r="X14" s="7">
        <f>IF($A14="","",W14-F14)</f>
        <v/>
      </c>
      <c r="Y14">
        <f>IF($A14="","",IF(COUNTIF($A$2:$A14,$A14)=1,1,0))</f>
        <v/>
      </c>
      <c r="Z14">
        <f>IF($Y14=1,SUMPRODUCT(--($AB$2:$AB$501&lt;$AB14))+1,"")</f>
        <v/>
      </c>
      <c r="AA14">
        <f>IF($A14="","",IF(OR($T14=TRUE(),$T14="TRUE"),1,0))</f>
        <v/>
      </c>
      <c r="AB14">
        <f>IF($Y14=1,IFERROR(VALUE(MID($A14,2,20)),1000000000)+ROW()/100000,"")</f>
        <v/>
      </c>
    </row>
    <row r="15">
      <c r="F15" s="7">
        <f>IF($A15="","",E15*M15/100)</f>
        <v/>
      </c>
      <c r="I15" s="7" t="n"/>
      <c r="J15" s="7" t="n"/>
      <c r="L15" s="7" t="n"/>
      <c r="M15" s="7" t="n"/>
      <c r="N15" s="7" t="n"/>
      <c r="O15" s="7" t="n"/>
      <c r="R15" s="11" t="n"/>
      <c r="U15">
        <f>IF($A15="","",IF($AA15=1,Settings!$C$6,Settings!$C$7)*100)</f>
        <v/>
      </c>
      <c r="V15" s="7">
        <f>IF($A15="","",M15*U15/100)</f>
        <v/>
      </c>
      <c r="W15" s="7">
        <f>IF($A15="","",M15-V15)</f>
        <v/>
      </c>
      <c r="X15" s="7">
        <f>IF($A15="","",W15-F15)</f>
        <v/>
      </c>
      <c r="Y15">
        <f>IF($A15="","",IF(COUNTIF($A$2:$A15,$A15)=1,1,0))</f>
        <v/>
      </c>
      <c r="Z15">
        <f>IF($Y15=1,SUMPRODUCT(--($AB$2:$AB$501&lt;$AB15))+1,"")</f>
        <v/>
      </c>
      <c r="AA15">
        <f>IF($A15="","",IF(OR($T15=TRUE(),$T15="TRUE"),1,0))</f>
        <v/>
      </c>
      <c r="AB15">
        <f>IF($Y15=1,IFERROR(VALUE(MID($A15,2,20)),1000000000)+ROW()/100000,"")</f>
        <v/>
      </c>
    </row>
    <row r="16">
      <c r="F16" s="7">
        <f>IF($A16="","",E16*M16/100)</f>
        <v/>
      </c>
      <c r="I16" s="7" t="n"/>
      <c r="J16" s="7" t="n"/>
      <c r="L16" s="7" t="n"/>
      <c r="M16" s="7" t="n"/>
      <c r="N16" s="7" t="n"/>
      <c r="O16" s="7" t="n"/>
      <c r="R16" s="11" t="n"/>
      <c r="U16">
        <f>IF($A16="","",IF($AA16=1,Settings!$C$6,Settings!$C$7)*100)</f>
        <v/>
      </c>
      <c r="V16" s="7">
        <f>IF($A16="","",M16*U16/100)</f>
        <v/>
      </c>
      <c r="W16" s="7">
        <f>IF($A16="","",M16-V16)</f>
        <v/>
      </c>
      <c r="X16" s="7">
        <f>IF($A16="","",W16-F16)</f>
        <v/>
      </c>
      <c r="Y16">
        <f>IF($A16="","",IF(COUNTIF($A$2:$A16,$A16)=1,1,0))</f>
        <v/>
      </c>
      <c r="Z16">
        <f>IF($Y16=1,SUMPRODUCT(--($AB$2:$AB$501&lt;$AB16))+1,"")</f>
        <v/>
      </c>
      <c r="AA16">
        <f>IF($A16="","",IF(OR($T16=TRUE(),$T16="TRUE"),1,0))</f>
        <v/>
      </c>
      <c r="AB16">
        <f>IF($Y16=1,IFERROR(VALUE(MID($A16,2,20)),1000000000)+ROW()/100000,"")</f>
        <v/>
      </c>
    </row>
    <row r="17">
      <c r="F17" s="7">
        <f>IF($A17="","",E17*M17/100)</f>
        <v/>
      </c>
      <c r="I17" s="7" t="n"/>
      <c r="J17" s="7" t="n"/>
      <c r="L17" s="7" t="n"/>
      <c r="M17" s="7" t="n"/>
      <c r="N17" s="7" t="n"/>
      <c r="O17" s="7" t="n"/>
      <c r="R17" s="11" t="n"/>
      <c r="U17">
        <f>IF($A17="","",IF($AA17=1,Settings!$C$6,Settings!$C$7)*100)</f>
        <v/>
      </c>
      <c r="V17" s="7">
        <f>IF($A17="","",M17*U17/100)</f>
        <v/>
      </c>
      <c r="W17" s="7">
        <f>IF($A17="","",M17-V17)</f>
        <v/>
      </c>
      <c r="X17" s="7">
        <f>IF($A17="","",W17-F17)</f>
        <v/>
      </c>
      <c r="Y17">
        <f>IF($A17="","",IF(COUNTIF($A$2:$A17,$A17)=1,1,0))</f>
        <v/>
      </c>
      <c r="Z17">
        <f>IF($Y17=1,SUMPRODUCT(--($AB$2:$AB$501&lt;$AB17))+1,"")</f>
        <v/>
      </c>
      <c r="AA17">
        <f>IF($A17="","",IF(OR($T17=TRUE(),$T17="TRUE"),1,0))</f>
        <v/>
      </c>
      <c r="AB17">
        <f>IF($Y17=1,IFERROR(VALUE(MID($A17,2,20)),1000000000)+ROW()/100000,"")</f>
        <v/>
      </c>
    </row>
    <row r="18">
      <c r="F18" s="7">
        <f>IF($A18="","",E18*M18/100)</f>
        <v/>
      </c>
      <c r="I18" s="7" t="n"/>
      <c r="J18" s="7" t="n"/>
      <c r="L18" s="7" t="n"/>
      <c r="M18" s="7" t="n"/>
      <c r="N18" s="7" t="n"/>
      <c r="O18" s="7" t="n"/>
      <c r="R18" s="11" t="n"/>
      <c r="U18">
        <f>IF($A18="","",IF($AA18=1,Settings!$C$6,Settings!$C$7)*100)</f>
        <v/>
      </c>
      <c r="V18" s="7">
        <f>IF($A18="","",M18*U18/100)</f>
        <v/>
      </c>
      <c r="W18" s="7">
        <f>IF($A18="","",M18-V18)</f>
        <v/>
      </c>
      <c r="X18" s="7">
        <f>IF($A18="","",W18-F18)</f>
        <v/>
      </c>
      <c r="Y18">
        <f>IF($A18="","",IF(COUNTIF($A$2:$A18,$A18)=1,1,0))</f>
        <v/>
      </c>
      <c r="Z18">
        <f>IF($Y18=1,SUMPRODUCT(--($AB$2:$AB$501&lt;$AB18))+1,"")</f>
        <v/>
      </c>
      <c r="AA18">
        <f>IF($A18="","",IF(OR($T18=TRUE(),$T18="TRUE"),1,0))</f>
        <v/>
      </c>
      <c r="AB18">
        <f>IF($Y18=1,IFERROR(VALUE(MID($A18,2,20)),1000000000)+ROW()/100000,"")</f>
        <v/>
      </c>
    </row>
    <row r="19">
      <c r="F19" s="7">
        <f>IF($A19="","",E19*M19/100)</f>
        <v/>
      </c>
      <c r="I19" s="7" t="n"/>
      <c r="J19" s="7" t="n"/>
      <c r="L19" s="7" t="n"/>
      <c r="M19" s="7" t="n"/>
      <c r="N19" s="7" t="n"/>
      <c r="O19" s="7" t="n"/>
      <c r="R19" s="11" t="n"/>
      <c r="U19">
        <f>IF($A19="","",IF($AA19=1,Settings!$C$6,Settings!$C$7)*100)</f>
        <v/>
      </c>
      <c r="V19" s="7">
        <f>IF($A19="","",M19*U19/100)</f>
        <v/>
      </c>
      <c r="W19" s="7">
        <f>IF($A19="","",M19-V19)</f>
        <v/>
      </c>
      <c r="X19" s="7">
        <f>IF($A19="","",W19-F19)</f>
        <v/>
      </c>
      <c r="Y19">
        <f>IF($A19="","",IF(COUNTIF($A$2:$A19,$A19)=1,1,0))</f>
        <v/>
      </c>
      <c r="Z19">
        <f>IF($Y19=1,SUMPRODUCT(--($AB$2:$AB$501&lt;$AB19))+1,"")</f>
        <v/>
      </c>
      <c r="AA19">
        <f>IF($A19="","",IF(OR($T19=TRUE(),$T19="TRUE"),1,0))</f>
        <v/>
      </c>
      <c r="AB19">
        <f>IF($Y19=1,IFERROR(VALUE(MID($A19,2,20)),1000000000)+ROW()/100000,"")</f>
        <v/>
      </c>
    </row>
    <row r="20">
      <c r="F20" s="7">
        <f>IF($A20="","",E20*M20/100)</f>
        <v/>
      </c>
      <c r="I20" s="7" t="n"/>
      <c r="J20" s="7" t="n"/>
      <c r="L20" s="7" t="n"/>
      <c r="M20" s="7" t="n"/>
      <c r="N20" s="7" t="n"/>
      <c r="O20" s="7" t="n"/>
      <c r="R20" s="11" t="n"/>
      <c r="U20">
        <f>IF($A20="","",IF($AA20=1,Settings!$C$6,Settings!$C$7)*100)</f>
        <v/>
      </c>
      <c r="V20" s="7">
        <f>IF($A20="","",M20*U20/100)</f>
        <v/>
      </c>
      <c r="W20" s="7">
        <f>IF($A20="","",M20-V20)</f>
        <v/>
      </c>
      <c r="X20" s="7">
        <f>IF($A20="","",W20-F20)</f>
        <v/>
      </c>
      <c r="Y20">
        <f>IF($A20="","",IF(COUNTIF($A$2:$A20,$A20)=1,1,0))</f>
        <v/>
      </c>
      <c r="Z20">
        <f>IF($Y20=1,SUMPRODUCT(--($AB$2:$AB$501&lt;$AB20))+1,"")</f>
        <v/>
      </c>
      <c r="AA20">
        <f>IF($A20="","",IF(OR($T20=TRUE(),$T20="TRUE"),1,0))</f>
        <v/>
      </c>
      <c r="AB20">
        <f>IF($Y20=1,IFERROR(VALUE(MID($A20,2,20)),1000000000)+ROW()/100000,"")</f>
        <v/>
      </c>
    </row>
    <row r="21">
      <c r="F21" s="7">
        <f>IF($A21="","",E21*M21/100)</f>
        <v/>
      </c>
      <c r="I21" s="7" t="n"/>
      <c r="J21" s="7" t="n"/>
      <c r="L21" s="7" t="n"/>
      <c r="M21" s="7" t="n"/>
      <c r="N21" s="7" t="n"/>
      <c r="O21" s="7" t="n"/>
      <c r="R21" s="11" t="n"/>
      <c r="U21">
        <f>IF($A21="","",IF($AA21=1,Settings!$C$6,Settings!$C$7)*100)</f>
        <v/>
      </c>
      <c r="V21" s="7">
        <f>IF($A21="","",M21*U21/100)</f>
        <v/>
      </c>
      <c r="W21" s="7">
        <f>IF($A21="","",M21-V21)</f>
        <v/>
      </c>
      <c r="X21" s="7">
        <f>IF($A21="","",W21-F21)</f>
        <v/>
      </c>
      <c r="Y21">
        <f>IF($A21="","",IF(COUNTIF($A$2:$A21,$A21)=1,1,0))</f>
        <v/>
      </c>
      <c r="Z21">
        <f>IF($Y21=1,SUMPRODUCT(--($AB$2:$AB$501&lt;$AB21))+1,"")</f>
        <v/>
      </c>
      <c r="AA21">
        <f>IF($A21="","",IF(OR($T21=TRUE(),$T21="TRUE"),1,0))</f>
        <v/>
      </c>
      <c r="AB21">
        <f>IF($Y21=1,IFERROR(VALUE(MID($A21,2,20)),1000000000)+ROW()/100000,"")</f>
        <v/>
      </c>
    </row>
    <row r="22">
      <c r="F22" s="7">
        <f>IF($A22="","",E22*M22/100)</f>
        <v/>
      </c>
      <c r="I22" s="7" t="n"/>
      <c r="J22" s="7" t="n"/>
      <c r="L22" s="7" t="n"/>
      <c r="M22" s="7" t="n"/>
      <c r="N22" s="7" t="n"/>
      <c r="O22" s="7" t="n"/>
      <c r="R22" s="11" t="n"/>
      <c r="U22">
        <f>IF($A22="","",IF($AA22=1,Settings!$C$6,Settings!$C$7)*100)</f>
        <v/>
      </c>
      <c r="V22" s="7">
        <f>IF($A22="","",M22*U22/100)</f>
        <v/>
      </c>
      <c r="W22" s="7">
        <f>IF($A22="","",M22-V22)</f>
        <v/>
      </c>
      <c r="X22" s="7">
        <f>IF($A22="","",W22-F22)</f>
        <v/>
      </c>
      <c r="Y22">
        <f>IF($A22="","",IF(COUNTIF($A$2:$A22,$A22)=1,1,0))</f>
        <v/>
      </c>
      <c r="Z22">
        <f>IF($Y22=1,SUMPRODUCT(--($AB$2:$AB$501&lt;$AB22))+1,"")</f>
        <v/>
      </c>
      <c r="AA22">
        <f>IF($A22="","",IF(OR($T22=TRUE(),$T22="TRUE"),1,0))</f>
        <v/>
      </c>
      <c r="AB22">
        <f>IF($Y22=1,IFERROR(VALUE(MID($A22,2,20)),1000000000)+ROW()/100000,"")</f>
        <v/>
      </c>
    </row>
    <row r="23">
      <c r="F23" s="7">
        <f>IF($A23="","",E23*M23/100)</f>
        <v/>
      </c>
      <c r="I23" s="7" t="n"/>
      <c r="J23" s="7" t="n"/>
      <c r="L23" s="7" t="n"/>
      <c r="M23" s="7" t="n"/>
      <c r="N23" s="7" t="n"/>
      <c r="O23" s="7" t="n"/>
      <c r="R23" s="11" t="n"/>
      <c r="U23">
        <f>IF($A23="","",IF($AA23=1,Settings!$C$6,Settings!$C$7)*100)</f>
        <v/>
      </c>
      <c r="V23" s="7">
        <f>IF($A23="","",M23*U23/100)</f>
        <v/>
      </c>
      <c r="W23" s="7">
        <f>IF($A23="","",M23-V23)</f>
        <v/>
      </c>
      <c r="X23" s="7">
        <f>IF($A23="","",W23-F23)</f>
        <v/>
      </c>
      <c r="Y23">
        <f>IF($A23="","",IF(COUNTIF($A$2:$A23,$A23)=1,1,0))</f>
        <v/>
      </c>
      <c r="Z23">
        <f>IF($Y23=1,SUMPRODUCT(--($AB$2:$AB$501&lt;$AB23))+1,"")</f>
        <v/>
      </c>
      <c r="AA23">
        <f>IF($A23="","",IF(OR($T23=TRUE(),$T23="TRUE"),1,0))</f>
        <v/>
      </c>
      <c r="AB23">
        <f>IF($Y23=1,IFERROR(VALUE(MID($A23,2,20)),1000000000)+ROW()/100000,"")</f>
        <v/>
      </c>
    </row>
    <row r="24">
      <c r="F24" s="7">
        <f>IF($A24="","",E24*M24/100)</f>
        <v/>
      </c>
      <c r="I24" s="7" t="n"/>
      <c r="J24" s="7" t="n"/>
      <c r="L24" s="7" t="n"/>
      <c r="M24" s="7" t="n"/>
      <c r="N24" s="7" t="n"/>
      <c r="O24" s="7" t="n"/>
      <c r="R24" s="11" t="n"/>
      <c r="U24">
        <f>IF($A24="","",IF($AA24=1,Settings!$C$6,Settings!$C$7)*100)</f>
        <v/>
      </c>
      <c r="V24" s="7">
        <f>IF($A24="","",M24*U24/100)</f>
        <v/>
      </c>
      <c r="W24" s="7">
        <f>IF($A24="","",M24-V24)</f>
        <v/>
      </c>
      <c r="X24" s="7">
        <f>IF($A24="","",W24-F24)</f>
        <v/>
      </c>
      <c r="Y24">
        <f>IF($A24="","",IF(COUNTIF($A$2:$A24,$A24)=1,1,0))</f>
        <v/>
      </c>
      <c r="Z24">
        <f>IF($Y24=1,SUMPRODUCT(--($AB$2:$AB$501&lt;$AB24))+1,"")</f>
        <v/>
      </c>
      <c r="AA24">
        <f>IF($A24="","",IF(OR($T24=TRUE(),$T24="TRUE"),1,0))</f>
        <v/>
      </c>
      <c r="AB24">
        <f>IF($Y24=1,IFERROR(VALUE(MID($A24,2,20)),1000000000)+ROW()/100000,"")</f>
        <v/>
      </c>
    </row>
    <row r="25">
      <c r="F25" s="7">
        <f>IF($A25="","",E25*M25/100)</f>
        <v/>
      </c>
      <c r="I25" s="7" t="n"/>
      <c r="J25" s="7" t="n"/>
      <c r="L25" s="7" t="n"/>
      <c r="M25" s="7" t="n"/>
      <c r="N25" s="7" t="n"/>
      <c r="O25" s="7" t="n"/>
      <c r="R25" s="11" t="n"/>
      <c r="U25">
        <f>IF($A25="","",IF($AA25=1,Settings!$C$6,Settings!$C$7)*100)</f>
        <v/>
      </c>
      <c r="V25" s="7">
        <f>IF($A25="","",M25*U25/100)</f>
        <v/>
      </c>
      <c r="W25" s="7">
        <f>IF($A25="","",M25-V25)</f>
        <v/>
      </c>
      <c r="X25" s="7">
        <f>IF($A25="","",W25-F25)</f>
        <v/>
      </c>
      <c r="Y25">
        <f>IF($A25="","",IF(COUNTIF($A$2:$A25,$A25)=1,1,0))</f>
        <v/>
      </c>
      <c r="Z25">
        <f>IF($Y25=1,SUMPRODUCT(--($AB$2:$AB$501&lt;$AB25))+1,"")</f>
        <v/>
      </c>
      <c r="AA25">
        <f>IF($A25="","",IF(OR($T25=TRUE(),$T25="TRUE"),1,0))</f>
        <v/>
      </c>
      <c r="AB25">
        <f>IF($Y25=1,IFERROR(VALUE(MID($A25,2,20)),1000000000)+ROW()/100000,"")</f>
        <v/>
      </c>
    </row>
    <row r="26">
      <c r="F26" s="7">
        <f>IF($A26="","",E26*M26/100)</f>
        <v/>
      </c>
      <c r="I26" s="7" t="n"/>
      <c r="J26" s="7" t="n"/>
      <c r="L26" s="7" t="n"/>
      <c r="M26" s="7" t="n"/>
      <c r="N26" s="7" t="n"/>
      <c r="O26" s="7" t="n"/>
      <c r="R26" s="11" t="n"/>
      <c r="U26">
        <f>IF($A26="","",IF($AA26=1,Settings!$C$6,Settings!$C$7)*100)</f>
        <v/>
      </c>
      <c r="V26" s="7">
        <f>IF($A26="","",M26*U26/100)</f>
        <v/>
      </c>
      <c r="W26" s="7">
        <f>IF($A26="","",M26-V26)</f>
        <v/>
      </c>
      <c r="X26" s="7">
        <f>IF($A26="","",W26-F26)</f>
        <v/>
      </c>
      <c r="Y26">
        <f>IF($A26="","",IF(COUNTIF($A$2:$A26,$A26)=1,1,0))</f>
        <v/>
      </c>
      <c r="Z26">
        <f>IF($Y26=1,SUMPRODUCT(--($AB$2:$AB$501&lt;$AB26))+1,"")</f>
        <v/>
      </c>
      <c r="AA26">
        <f>IF($A26="","",IF(OR($T26=TRUE(),$T26="TRUE"),1,0))</f>
        <v/>
      </c>
      <c r="AB26">
        <f>IF($Y26=1,IFERROR(VALUE(MID($A26,2,20)),1000000000)+ROW()/100000,"")</f>
        <v/>
      </c>
    </row>
    <row r="27">
      <c r="F27" s="7">
        <f>IF($A27="","",E27*M27/100)</f>
        <v/>
      </c>
      <c r="I27" s="7" t="n"/>
      <c r="J27" s="7" t="n"/>
      <c r="L27" s="7" t="n"/>
      <c r="M27" s="7" t="n"/>
      <c r="N27" s="7" t="n"/>
      <c r="O27" s="7" t="n"/>
      <c r="R27" s="11" t="n"/>
      <c r="U27">
        <f>IF($A27="","",IF($AA27=1,Settings!$C$6,Settings!$C$7)*100)</f>
        <v/>
      </c>
      <c r="V27" s="7">
        <f>IF($A27="","",M27*U27/100)</f>
        <v/>
      </c>
      <c r="W27" s="7">
        <f>IF($A27="","",M27-V27)</f>
        <v/>
      </c>
      <c r="X27" s="7">
        <f>IF($A27="","",W27-F27)</f>
        <v/>
      </c>
      <c r="Y27">
        <f>IF($A27="","",IF(COUNTIF($A$2:$A27,$A27)=1,1,0))</f>
        <v/>
      </c>
      <c r="Z27">
        <f>IF($Y27=1,SUMPRODUCT(--($AB$2:$AB$501&lt;$AB27))+1,"")</f>
        <v/>
      </c>
      <c r="AA27">
        <f>IF($A27="","",IF(OR($T27=TRUE(),$T27="TRUE"),1,0))</f>
        <v/>
      </c>
      <c r="AB27">
        <f>IF($Y27=1,IFERROR(VALUE(MID($A27,2,20)),1000000000)+ROW()/100000,"")</f>
        <v/>
      </c>
    </row>
    <row r="28">
      <c r="F28" s="7">
        <f>IF($A28="","",E28*M28/100)</f>
        <v/>
      </c>
      <c r="I28" s="7" t="n"/>
      <c r="J28" s="7" t="n"/>
      <c r="L28" s="7" t="n"/>
      <c r="M28" s="7" t="n"/>
      <c r="N28" s="7" t="n"/>
      <c r="O28" s="7" t="n"/>
      <c r="R28" s="11" t="n"/>
      <c r="U28">
        <f>IF($A28="","",IF($AA28=1,Settings!$C$6,Settings!$C$7)*100)</f>
        <v/>
      </c>
      <c r="V28" s="7">
        <f>IF($A28="","",M28*U28/100)</f>
        <v/>
      </c>
      <c r="W28" s="7">
        <f>IF($A28="","",M28-V28)</f>
        <v/>
      </c>
      <c r="X28" s="7">
        <f>IF($A28="","",W28-F28)</f>
        <v/>
      </c>
      <c r="Y28">
        <f>IF($A28="","",IF(COUNTIF($A$2:$A28,$A28)=1,1,0))</f>
        <v/>
      </c>
      <c r="Z28">
        <f>IF($Y28=1,SUMPRODUCT(--($AB$2:$AB$501&lt;$AB28))+1,"")</f>
        <v/>
      </c>
      <c r="AA28">
        <f>IF($A28="","",IF(OR($T28=TRUE(),$T28="TRUE"),1,0))</f>
        <v/>
      </c>
      <c r="AB28">
        <f>IF($Y28=1,IFERROR(VALUE(MID($A28,2,20)),1000000000)+ROW()/100000,"")</f>
        <v/>
      </c>
    </row>
    <row r="29">
      <c r="F29" s="7">
        <f>IF($A29="","",E29*M29/100)</f>
        <v/>
      </c>
      <c r="I29" s="7" t="n"/>
      <c r="J29" s="7" t="n"/>
      <c r="L29" s="7" t="n"/>
      <c r="M29" s="7" t="n"/>
      <c r="N29" s="7" t="n"/>
      <c r="O29" s="7" t="n"/>
      <c r="R29" s="11" t="n"/>
      <c r="U29">
        <f>IF($A29="","",IF($AA29=1,Settings!$C$6,Settings!$C$7)*100)</f>
        <v/>
      </c>
      <c r="V29" s="7">
        <f>IF($A29="","",M29*U29/100)</f>
        <v/>
      </c>
      <c r="W29" s="7">
        <f>IF($A29="","",M29-V29)</f>
        <v/>
      </c>
      <c r="X29" s="7">
        <f>IF($A29="","",W29-F29)</f>
        <v/>
      </c>
      <c r="Y29">
        <f>IF($A29="","",IF(COUNTIF($A$2:$A29,$A29)=1,1,0))</f>
        <v/>
      </c>
      <c r="Z29">
        <f>IF($Y29=1,SUMPRODUCT(--($AB$2:$AB$501&lt;$AB29))+1,"")</f>
        <v/>
      </c>
      <c r="AA29">
        <f>IF($A29="","",IF(OR($T29=TRUE(),$T29="TRUE"),1,0))</f>
        <v/>
      </c>
      <c r="AB29">
        <f>IF($Y29=1,IFERROR(VALUE(MID($A29,2,20)),1000000000)+ROW()/100000,"")</f>
        <v/>
      </c>
    </row>
    <row r="30">
      <c r="F30" s="7">
        <f>IF($A30="","",E30*M30/100)</f>
        <v/>
      </c>
      <c r="I30" s="7" t="n"/>
      <c r="J30" s="7" t="n"/>
      <c r="L30" s="7" t="n"/>
      <c r="M30" s="7" t="n"/>
      <c r="N30" s="7" t="n"/>
      <c r="O30" s="7" t="n"/>
      <c r="R30" s="11" t="n"/>
      <c r="U30">
        <f>IF($A30="","",IF($AA30=1,Settings!$C$6,Settings!$C$7)*100)</f>
        <v/>
      </c>
      <c r="V30" s="7">
        <f>IF($A30="","",M30*U30/100)</f>
        <v/>
      </c>
      <c r="W30" s="7">
        <f>IF($A30="","",M30-V30)</f>
        <v/>
      </c>
      <c r="X30" s="7">
        <f>IF($A30="","",W30-F30)</f>
        <v/>
      </c>
      <c r="Y30">
        <f>IF($A30="","",IF(COUNTIF($A$2:$A30,$A30)=1,1,0))</f>
        <v/>
      </c>
      <c r="Z30">
        <f>IF($Y30=1,SUMPRODUCT(--($AB$2:$AB$501&lt;$AB30))+1,"")</f>
        <v/>
      </c>
      <c r="AA30">
        <f>IF($A30="","",IF(OR($T30=TRUE(),$T30="TRUE"),1,0))</f>
        <v/>
      </c>
      <c r="AB30">
        <f>IF($Y30=1,IFERROR(VALUE(MID($A30,2,20)),1000000000)+ROW()/100000,"")</f>
        <v/>
      </c>
    </row>
    <row r="31">
      <c r="F31" s="7">
        <f>IF($A31="","",E31*M31/100)</f>
        <v/>
      </c>
      <c r="I31" s="7" t="n"/>
      <c r="J31" s="7" t="n"/>
      <c r="L31" s="7" t="n"/>
      <c r="M31" s="7" t="n"/>
      <c r="N31" s="7" t="n"/>
      <c r="O31" s="7" t="n"/>
      <c r="R31" s="11" t="n"/>
      <c r="U31">
        <f>IF($A31="","",IF($AA31=1,Settings!$C$6,Settings!$C$7)*100)</f>
        <v/>
      </c>
      <c r="V31" s="7">
        <f>IF($A31="","",M31*U31/100)</f>
        <v/>
      </c>
      <c r="W31" s="7">
        <f>IF($A31="","",M31-V31)</f>
        <v/>
      </c>
      <c r="X31" s="7">
        <f>IF($A31="","",W31-F31)</f>
        <v/>
      </c>
      <c r="Y31">
        <f>IF($A31="","",IF(COUNTIF($A$2:$A31,$A31)=1,1,0))</f>
        <v/>
      </c>
      <c r="Z31">
        <f>IF($Y31=1,SUMPRODUCT(--($AB$2:$AB$501&lt;$AB31))+1,"")</f>
        <v/>
      </c>
      <c r="AA31">
        <f>IF($A31="","",IF(OR($T31=TRUE(),$T31="TRUE"),1,0))</f>
        <v/>
      </c>
      <c r="AB31">
        <f>IF($Y31=1,IFERROR(VALUE(MID($A31,2,20)),1000000000)+ROW()/100000,"")</f>
        <v/>
      </c>
    </row>
    <row r="32">
      <c r="F32" s="7">
        <f>IF($A32="","",E32*M32/100)</f>
        <v/>
      </c>
      <c r="I32" s="7" t="n"/>
      <c r="J32" s="7" t="n"/>
      <c r="L32" s="7" t="n"/>
      <c r="M32" s="7" t="n"/>
      <c r="N32" s="7" t="n"/>
      <c r="O32" s="7" t="n"/>
      <c r="R32" s="11" t="n"/>
      <c r="U32">
        <f>IF($A32="","",IF($AA32=1,Settings!$C$6,Settings!$C$7)*100)</f>
        <v/>
      </c>
      <c r="V32" s="7">
        <f>IF($A32="","",M32*U32/100)</f>
        <v/>
      </c>
      <c r="W32" s="7">
        <f>IF($A32="","",M32-V32)</f>
        <v/>
      </c>
      <c r="X32" s="7">
        <f>IF($A32="","",W32-F32)</f>
        <v/>
      </c>
      <c r="Y32">
        <f>IF($A32="","",IF(COUNTIF($A$2:$A32,$A32)=1,1,0))</f>
        <v/>
      </c>
      <c r="Z32">
        <f>IF($Y32=1,SUMPRODUCT(--($AB$2:$AB$501&lt;$AB32))+1,"")</f>
        <v/>
      </c>
      <c r="AA32">
        <f>IF($A32="","",IF(OR($T32=TRUE(),$T32="TRUE"),1,0))</f>
        <v/>
      </c>
      <c r="AB32">
        <f>IF($Y32=1,IFERROR(VALUE(MID($A32,2,20)),1000000000)+ROW()/100000,"")</f>
        <v/>
      </c>
    </row>
    <row r="33">
      <c r="F33" s="7">
        <f>IF($A33="","",E33*M33/100)</f>
        <v/>
      </c>
      <c r="I33" s="7" t="n"/>
      <c r="J33" s="7" t="n"/>
      <c r="L33" s="7" t="n"/>
      <c r="M33" s="7" t="n"/>
      <c r="N33" s="7" t="n"/>
      <c r="O33" s="7" t="n"/>
      <c r="R33" s="11" t="n"/>
      <c r="U33">
        <f>IF($A33="","",IF($AA33=1,Settings!$C$6,Settings!$C$7)*100)</f>
        <v/>
      </c>
      <c r="V33" s="7">
        <f>IF($A33="","",M33*U33/100)</f>
        <v/>
      </c>
      <c r="W33" s="7">
        <f>IF($A33="","",M33-V33)</f>
        <v/>
      </c>
      <c r="X33" s="7">
        <f>IF($A33="","",W33-F33)</f>
        <v/>
      </c>
      <c r="Y33">
        <f>IF($A33="","",IF(COUNTIF($A$2:$A33,$A33)=1,1,0))</f>
        <v/>
      </c>
      <c r="Z33">
        <f>IF($Y33=1,SUMPRODUCT(--($AB$2:$AB$501&lt;$AB33))+1,"")</f>
        <v/>
      </c>
      <c r="AA33">
        <f>IF($A33="","",IF(OR($T33=TRUE(),$T33="TRUE"),1,0))</f>
        <v/>
      </c>
      <c r="AB33">
        <f>IF($Y33=1,IFERROR(VALUE(MID($A33,2,20)),1000000000)+ROW()/100000,"")</f>
        <v/>
      </c>
    </row>
    <row r="34">
      <c r="F34" s="7">
        <f>IF($A34="","",E34*M34/100)</f>
        <v/>
      </c>
      <c r="I34" s="7" t="n"/>
      <c r="J34" s="7" t="n"/>
      <c r="L34" s="7" t="n"/>
      <c r="M34" s="7" t="n"/>
      <c r="N34" s="7" t="n"/>
      <c r="O34" s="7" t="n"/>
      <c r="R34" s="11" t="n"/>
      <c r="U34">
        <f>IF($A34="","",IF($AA34=1,Settings!$C$6,Settings!$C$7)*100)</f>
        <v/>
      </c>
      <c r="V34" s="7">
        <f>IF($A34="","",M34*U34/100)</f>
        <v/>
      </c>
      <c r="W34" s="7">
        <f>IF($A34="","",M34-V34)</f>
        <v/>
      </c>
      <c r="X34" s="7">
        <f>IF($A34="","",W34-F34)</f>
        <v/>
      </c>
      <c r="Y34">
        <f>IF($A34="","",IF(COUNTIF($A$2:$A34,$A34)=1,1,0))</f>
        <v/>
      </c>
      <c r="Z34">
        <f>IF($Y34=1,SUMPRODUCT(--($AB$2:$AB$501&lt;$AB34))+1,"")</f>
        <v/>
      </c>
      <c r="AA34">
        <f>IF($A34="","",IF(OR($T34=TRUE(),$T34="TRUE"),1,0))</f>
        <v/>
      </c>
      <c r="AB34">
        <f>IF($Y34=1,IFERROR(VALUE(MID($A34,2,20)),1000000000)+ROW()/100000,"")</f>
        <v/>
      </c>
    </row>
    <row r="35">
      <c r="F35" s="7">
        <f>IF($A35="","",E35*M35/100)</f>
        <v/>
      </c>
      <c r="I35" s="7" t="n"/>
      <c r="J35" s="7" t="n"/>
      <c r="L35" s="7" t="n"/>
      <c r="M35" s="7" t="n"/>
      <c r="N35" s="7" t="n"/>
      <c r="O35" s="7" t="n"/>
      <c r="R35" s="11" t="n"/>
      <c r="U35">
        <f>IF($A35="","",IF($AA35=1,Settings!$C$6,Settings!$C$7)*100)</f>
        <v/>
      </c>
      <c r="V35" s="7">
        <f>IF($A35="","",M35*U35/100)</f>
        <v/>
      </c>
      <c r="W35" s="7">
        <f>IF($A35="","",M35-V35)</f>
        <v/>
      </c>
      <c r="X35" s="7">
        <f>IF($A35="","",W35-F35)</f>
        <v/>
      </c>
      <c r="Y35">
        <f>IF($A35="","",IF(COUNTIF($A$2:$A35,$A35)=1,1,0))</f>
        <v/>
      </c>
      <c r="Z35">
        <f>IF($Y35=1,SUMPRODUCT(--($AB$2:$AB$501&lt;$AB35))+1,"")</f>
        <v/>
      </c>
      <c r="AA35">
        <f>IF($A35="","",IF(OR($T35=TRUE(),$T35="TRUE"),1,0))</f>
        <v/>
      </c>
      <c r="AB35">
        <f>IF($Y35=1,IFERROR(VALUE(MID($A35,2,20)),1000000000)+ROW()/100000,"")</f>
        <v/>
      </c>
    </row>
    <row r="36">
      <c r="F36" s="7">
        <f>IF($A36="","",E36*M36/100)</f>
        <v/>
      </c>
      <c r="I36" s="7" t="n"/>
      <c r="J36" s="7" t="n"/>
      <c r="L36" s="7" t="n"/>
      <c r="M36" s="7" t="n"/>
      <c r="N36" s="7" t="n"/>
      <c r="O36" s="7" t="n"/>
      <c r="R36" s="11" t="n"/>
      <c r="U36">
        <f>IF($A36="","",IF($AA36=1,Settings!$C$6,Settings!$C$7)*100)</f>
        <v/>
      </c>
      <c r="V36" s="7">
        <f>IF($A36="","",M36*U36/100)</f>
        <v/>
      </c>
      <c r="W36" s="7">
        <f>IF($A36="","",M36-V36)</f>
        <v/>
      </c>
      <c r="X36" s="7">
        <f>IF($A36="","",W36-F36)</f>
        <v/>
      </c>
      <c r="Y36">
        <f>IF($A36="","",IF(COUNTIF($A$2:$A36,$A36)=1,1,0))</f>
        <v/>
      </c>
      <c r="Z36">
        <f>IF($Y36=1,SUMPRODUCT(--($AB$2:$AB$501&lt;$AB36))+1,"")</f>
        <v/>
      </c>
      <c r="AA36">
        <f>IF($A36="","",IF(OR($T36=TRUE(),$T36="TRUE"),1,0))</f>
        <v/>
      </c>
      <c r="AB36">
        <f>IF($Y36=1,IFERROR(VALUE(MID($A36,2,20)),1000000000)+ROW()/100000,"")</f>
        <v/>
      </c>
    </row>
    <row r="37">
      <c r="F37" s="7">
        <f>IF($A37="","",E37*M37/100)</f>
        <v/>
      </c>
      <c r="I37" s="7" t="n"/>
      <c r="J37" s="7" t="n"/>
      <c r="L37" s="7" t="n"/>
      <c r="M37" s="7" t="n"/>
      <c r="N37" s="7" t="n"/>
      <c r="O37" s="7" t="n"/>
      <c r="R37" s="11" t="n"/>
      <c r="U37">
        <f>IF($A37="","",IF($AA37=1,Settings!$C$6,Settings!$C$7)*100)</f>
        <v/>
      </c>
      <c r="V37" s="7">
        <f>IF($A37="","",M37*U37/100)</f>
        <v/>
      </c>
      <c r="W37" s="7">
        <f>IF($A37="","",M37-V37)</f>
        <v/>
      </c>
      <c r="X37" s="7">
        <f>IF($A37="","",W37-F37)</f>
        <v/>
      </c>
      <c r="Y37">
        <f>IF($A37="","",IF(COUNTIF($A$2:$A37,$A37)=1,1,0))</f>
        <v/>
      </c>
      <c r="Z37">
        <f>IF($Y37=1,SUMPRODUCT(--($AB$2:$AB$501&lt;$AB37))+1,"")</f>
        <v/>
      </c>
      <c r="AA37">
        <f>IF($A37="","",IF(OR($T37=TRUE(),$T37="TRUE"),1,0))</f>
        <v/>
      </c>
      <c r="AB37">
        <f>IF($Y37=1,IFERROR(VALUE(MID($A37,2,20)),1000000000)+ROW()/100000,"")</f>
        <v/>
      </c>
    </row>
    <row r="38">
      <c r="F38" s="7">
        <f>IF($A38="","",E38*M38/100)</f>
        <v/>
      </c>
      <c r="I38" s="7" t="n"/>
      <c r="J38" s="7" t="n"/>
      <c r="L38" s="7" t="n"/>
      <c r="M38" s="7" t="n"/>
      <c r="N38" s="7" t="n"/>
      <c r="O38" s="7" t="n"/>
      <c r="R38" s="11" t="n"/>
      <c r="U38">
        <f>IF($A38="","",IF($AA38=1,Settings!$C$6,Settings!$C$7)*100)</f>
        <v/>
      </c>
      <c r="V38" s="7">
        <f>IF($A38="","",M38*U38/100)</f>
        <v/>
      </c>
      <c r="W38" s="7">
        <f>IF($A38="","",M38-V38)</f>
        <v/>
      </c>
      <c r="X38" s="7">
        <f>IF($A38="","",W38-F38)</f>
        <v/>
      </c>
      <c r="Y38">
        <f>IF($A38="","",IF(COUNTIF($A$2:$A38,$A38)=1,1,0))</f>
        <v/>
      </c>
      <c r="Z38">
        <f>IF($Y38=1,SUMPRODUCT(--($AB$2:$AB$501&lt;$AB38))+1,"")</f>
        <v/>
      </c>
      <c r="AA38">
        <f>IF($A38="","",IF(OR($T38=TRUE(),$T38="TRUE"),1,0))</f>
        <v/>
      </c>
      <c r="AB38">
        <f>IF($Y38=1,IFERROR(VALUE(MID($A38,2,20)),1000000000)+ROW()/100000,"")</f>
        <v/>
      </c>
    </row>
    <row r="39">
      <c r="F39" s="7">
        <f>IF($A39="","",E39*M39/100)</f>
        <v/>
      </c>
      <c r="I39" s="7" t="n"/>
      <c r="J39" s="7" t="n"/>
      <c r="L39" s="7" t="n"/>
      <c r="M39" s="7" t="n"/>
      <c r="N39" s="7" t="n"/>
      <c r="O39" s="7" t="n"/>
      <c r="R39" s="11" t="n"/>
      <c r="U39">
        <f>IF($A39="","",IF($AA39=1,Settings!$C$6,Settings!$C$7)*100)</f>
        <v/>
      </c>
      <c r="V39" s="7">
        <f>IF($A39="","",M39*U39/100)</f>
        <v/>
      </c>
      <c r="W39" s="7">
        <f>IF($A39="","",M39-V39)</f>
        <v/>
      </c>
      <c r="X39" s="7">
        <f>IF($A39="","",W39-F39)</f>
        <v/>
      </c>
      <c r="Y39">
        <f>IF($A39="","",IF(COUNTIF($A$2:$A39,$A39)=1,1,0))</f>
        <v/>
      </c>
      <c r="Z39">
        <f>IF($Y39=1,SUMPRODUCT(--($AB$2:$AB$501&lt;$AB39))+1,"")</f>
        <v/>
      </c>
      <c r="AA39">
        <f>IF($A39="","",IF(OR($T39=TRUE(),$T39="TRUE"),1,0))</f>
        <v/>
      </c>
      <c r="AB39">
        <f>IF($Y39=1,IFERROR(VALUE(MID($A39,2,20)),1000000000)+ROW()/100000,"")</f>
        <v/>
      </c>
    </row>
    <row r="40">
      <c r="F40" s="7">
        <f>IF($A40="","",E40*M40/100)</f>
        <v/>
      </c>
      <c r="I40" s="7" t="n"/>
      <c r="J40" s="7" t="n"/>
      <c r="L40" s="7" t="n"/>
      <c r="M40" s="7" t="n"/>
      <c r="N40" s="7" t="n"/>
      <c r="O40" s="7" t="n"/>
      <c r="R40" s="11" t="n"/>
      <c r="U40">
        <f>IF($A40="","",IF($AA40=1,Settings!$C$6,Settings!$C$7)*100)</f>
        <v/>
      </c>
      <c r="V40" s="7">
        <f>IF($A40="","",M40*U40/100)</f>
        <v/>
      </c>
      <c r="W40" s="7">
        <f>IF($A40="","",M40-V40)</f>
        <v/>
      </c>
      <c r="X40" s="7">
        <f>IF($A40="","",W40-F40)</f>
        <v/>
      </c>
      <c r="Y40">
        <f>IF($A40="","",IF(COUNTIF($A$2:$A40,$A40)=1,1,0))</f>
        <v/>
      </c>
      <c r="Z40">
        <f>IF($Y40=1,SUMPRODUCT(--($AB$2:$AB$501&lt;$AB40))+1,"")</f>
        <v/>
      </c>
      <c r="AA40">
        <f>IF($A40="","",IF(OR($T40=TRUE(),$T40="TRUE"),1,0))</f>
        <v/>
      </c>
      <c r="AB40">
        <f>IF($Y40=1,IFERROR(VALUE(MID($A40,2,20)),1000000000)+ROW()/100000,"")</f>
        <v/>
      </c>
    </row>
    <row r="41">
      <c r="F41" s="7">
        <f>IF($A41="","",E41*M41/100)</f>
        <v/>
      </c>
      <c r="I41" s="7" t="n"/>
      <c r="J41" s="7" t="n"/>
      <c r="L41" s="7" t="n"/>
      <c r="M41" s="7" t="n"/>
      <c r="N41" s="7" t="n"/>
      <c r="O41" s="7" t="n"/>
      <c r="R41" s="11" t="n"/>
      <c r="U41">
        <f>IF($A41="","",IF($AA41=1,Settings!$C$6,Settings!$C$7)*100)</f>
        <v/>
      </c>
      <c r="V41" s="7">
        <f>IF($A41="","",M41*U41/100)</f>
        <v/>
      </c>
      <c r="W41" s="7">
        <f>IF($A41="","",M41-V41)</f>
        <v/>
      </c>
      <c r="X41" s="7">
        <f>IF($A41="","",W41-F41)</f>
        <v/>
      </c>
      <c r="Y41">
        <f>IF($A41="","",IF(COUNTIF($A$2:$A41,$A41)=1,1,0))</f>
        <v/>
      </c>
      <c r="Z41">
        <f>IF($Y41=1,SUMPRODUCT(--($AB$2:$AB$501&lt;$AB41))+1,"")</f>
        <v/>
      </c>
      <c r="AA41">
        <f>IF($A41="","",IF(OR($T41=TRUE(),$T41="TRUE"),1,0))</f>
        <v/>
      </c>
      <c r="AB41">
        <f>IF($Y41=1,IFERROR(VALUE(MID($A41,2,20)),1000000000)+ROW()/100000,"")</f>
        <v/>
      </c>
    </row>
    <row r="42">
      <c r="F42" s="7">
        <f>IF($A42="","",E42*M42/100)</f>
        <v/>
      </c>
      <c r="I42" s="7" t="n"/>
      <c r="J42" s="7" t="n"/>
      <c r="L42" s="7" t="n"/>
      <c r="M42" s="7" t="n"/>
      <c r="N42" s="7" t="n"/>
      <c r="O42" s="7" t="n"/>
      <c r="R42" s="11" t="n"/>
      <c r="U42">
        <f>IF($A42="","",IF($AA42=1,Settings!$C$6,Settings!$C$7)*100)</f>
        <v/>
      </c>
      <c r="V42" s="7">
        <f>IF($A42="","",M42*U42/100)</f>
        <v/>
      </c>
      <c r="W42" s="7">
        <f>IF($A42="","",M42-V42)</f>
        <v/>
      </c>
      <c r="X42" s="7">
        <f>IF($A42="","",W42-F42)</f>
        <v/>
      </c>
      <c r="Y42">
        <f>IF($A42="","",IF(COUNTIF($A$2:$A42,$A42)=1,1,0))</f>
        <v/>
      </c>
      <c r="Z42">
        <f>IF($Y42=1,SUMPRODUCT(--($AB$2:$AB$501&lt;$AB42))+1,"")</f>
        <v/>
      </c>
      <c r="AA42">
        <f>IF($A42="","",IF(OR($T42=TRUE(),$T42="TRUE"),1,0))</f>
        <v/>
      </c>
      <c r="AB42">
        <f>IF($Y42=1,IFERROR(VALUE(MID($A42,2,20)),1000000000)+ROW()/100000,"")</f>
        <v/>
      </c>
    </row>
    <row r="43">
      <c r="F43" s="7">
        <f>IF($A43="","",E43*M43/100)</f>
        <v/>
      </c>
      <c r="I43" s="7" t="n"/>
      <c r="J43" s="7" t="n"/>
      <c r="L43" s="7" t="n"/>
      <c r="M43" s="7" t="n"/>
      <c r="N43" s="7" t="n"/>
      <c r="O43" s="7" t="n"/>
      <c r="R43" s="11" t="n"/>
      <c r="U43">
        <f>IF($A43="","",IF($AA43=1,Settings!$C$6,Settings!$C$7)*100)</f>
        <v/>
      </c>
      <c r="V43" s="7">
        <f>IF($A43="","",M43*U43/100)</f>
        <v/>
      </c>
      <c r="W43" s="7">
        <f>IF($A43="","",M43-V43)</f>
        <v/>
      </c>
      <c r="X43" s="7">
        <f>IF($A43="","",W43-F43)</f>
        <v/>
      </c>
      <c r="Y43">
        <f>IF($A43="","",IF(COUNTIF($A$2:$A43,$A43)=1,1,0))</f>
        <v/>
      </c>
      <c r="Z43">
        <f>IF($Y43=1,SUMPRODUCT(--($AB$2:$AB$501&lt;$AB43))+1,"")</f>
        <v/>
      </c>
      <c r="AA43">
        <f>IF($A43="","",IF(OR($T43=TRUE(),$T43="TRUE"),1,0))</f>
        <v/>
      </c>
      <c r="AB43">
        <f>IF($Y43=1,IFERROR(VALUE(MID($A43,2,20)),1000000000)+ROW()/100000,"")</f>
        <v/>
      </c>
    </row>
    <row r="44">
      <c r="F44" s="7">
        <f>IF($A44="","",E44*M44/100)</f>
        <v/>
      </c>
      <c r="I44" s="7" t="n"/>
      <c r="J44" s="7" t="n"/>
      <c r="L44" s="7" t="n"/>
      <c r="M44" s="7" t="n"/>
      <c r="N44" s="7" t="n"/>
      <c r="O44" s="7" t="n"/>
      <c r="R44" s="11" t="n"/>
      <c r="U44">
        <f>IF($A44="","",IF($AA44=1,Settings!$C$6,Settings!$C$7)*100)</f>
        <v/>
      </c>
      <c r="V44" s="7">
        <f>IF($A44="","",M44*U44/100)</f>
        <v/>
      </c>
      <c r="W44" s="7">
        <f>IF($A44="","",M44-V44)</f>
        <v/>
      </c>
      <c r="X44" s="7">
        <f>IF($A44="","",W44-F44)</f>
        <v/>
      </c>
      <c r="Y44">
        <f>IF($A44="","",IF(COUNTIF($A$2:$A44,$A44)=1,1,0))</f>
        <v/>
      </c>
      <c r="Z44">
        <f>IF($Y44=1,SUMPRODUCT(--($AB$2:$AB$501&lt;$AB44))+1,"")</f>
        <v/>
      </c>
      <c r="AA44">
        <f>IF($A44="","",IF(OR($T44=TRUE(),$T44="TRUE"),1,0))</f>
        <v/>
      </c>
      <c r="AB44">
        <f>IF($Y44=1,IFERROR(VALUE(MID($A44,2,20)),1000000000)+ROW()/100000,"")</f>
        <v/>
      </c>
    </row>
    <row r="45">
      <c r="F45" s="7">
        <f>IF($A45="","",E45*M45/100)</f>
        <v/>
      </c>
      <c r="I45" s="7" t="n"/>
      <c r="J45" s="7" t="n"/>
      <c r="L45" s="7" t="n"/>
      <c r="M45" s="7" t="n"/>
      <c r="N45" s="7" t="n"/>
      <c r="O45" s="7" t="n"/>
      <c r="R45" s="11" t="n"/>
      <c r="U45">
        <f>IF($A45="","",IF($AA45=1,Settings!$C$6,Settings!$C$7)*100)</f>
        <v/>
      </c>
      <c r="V45" s="7">
        <f>IF($A45="","",M45*U45/100)</f>
        <v/>
      </c>
      <c r="W45" s="7">
        <f>IF($A45="","",M45-V45)</f>
        <v/>
      </c>
      <c r="X45" s="7">
        <f>IF($A45="","",W45-F45)</f>
        <v/>
      </c>
      <c r="Y45">
        <f>IF($A45="","",IF(COUNTIF($A$2:$A45,$A45)=1,1,0))</f>
        <v/>
      </c>
      <c r="Z45">
        <f>IF($Y45=1,SUMPRODUCT(--($AB$2:$AB$501&lt;$AB45))+1,"")</f>
        <v/>
      </c>
      <c r="AA45">
        <f>IF($A45="","",IF(OR($T45=TRUE(),$T45="TRUE"),1,0))</f>
        <v/>
      </c>
      <c r="AB45">
        <f>IF($Y45=1,IFERROR(VALUE(MID($A45,2,20)),1000000000)+ROW()/100000,"")</f>
        <v/>
      </c>
    </row>
    <row r="46">
      <c r="F46" s="7">
        <f>IF($A46="","",E46*M46/100)</f>
        <v/>
      </c>
      <c r="I46" s="7" t="n"/>
      <c r="J46" s="7" t="n"/>
      <c r="L46" s="7" t="n"/>
      <c r="M46" s="7" t="n"/>
      <c r="N46" s="7" t="n"/>
      <c r="O46" s="7" t="n"/>
      <c r="R46" s="11" t="n"/>
      <c r="U46">
        <f>IF($A46="","",IF($AA46=1,Settings!$C$6,Settings!$C$7)*100)</f>
        <v/>
      </c>
      <c r="V46" s="7">
        <f>IF($A46="","",M46*U46/100)</f>
        <v/>
      </c>
      <c r="W46" s="7">
        <f>IF($A46="","",M46-V46)</f>
        <v/>
      </c>
      <c r="X46" s="7">
        <f>IF($A46="","",W46-F46)</f>
        <v/>
      </c>
      <c r="Y46">
        <f>IF($A46="","",IF(COUNTIF($A$2:$A46,$A46)=1,1,0))</f>
        <v/>
      </c>
      <c r="Z46">
        <f>IF($Y46=1,SUMPRODUCT(--($AB$2:$AB$501&lt;$AB46))+1,"")</f>
        <v/>
      </c>
      <c r="AA46">
        <f>IF($A46="","",IF(OR($T46=TRUE(),$T46="TRUE"),1,0))</f>
        <v/>
      </c>
      <c r="AB46">
        <f>IF($Y46=1,IFERROR(VALUE(MID($A46,2,20)),1000000000)+ROW()/100000,"")</f>
        <v/>
      </c>
    </row>
    <row r="47">
      <c r="F47" s="7">
        <f>IF($A47="","",E47*M47/100)</f>
        <v/>
      </c>
      <c r="I47" s="7" t="n"/>
      <c r="J47" s="7" t="n"/>
      <c r="L47" s="7" t="n"/>
      <c r="M47" s="7" t="n"/>
      <c r="N47" s="7" t="n"/>
      <c r="O47" s="7" t="n"/>
      <c r="R47" s="11" t="n"/>
      <c r="U47">
        <f>IF($A47="","",IF($AA47=1,Settings!$C$6,Settings!$C$7)*100)</f>
        <v/>
      </c>
      <c r="V47" s="7">
        <f>IF($A47="","",M47*U47/100)</f>
        <v/>
      </c>
      <c r="W47" s="7">
        <f>IF($A47="","",M47-V47)</f>
        <v/>
      </c>
      <c r="X47" s="7">
        <f>IF($A47="","",W47-F47)</f>
        <v/>
      </c>
      <c r="Y47">
        <f>IF($A47="","",IF(COUNTIF($A$2:$A47,$A47)=1,1,0))</f>
        <v/>
      </c>
      <c r="Z47">
        <f>IF($Y47=1,SUMPRODUCT(--($AB$2:$AB$501&lt;$AB47))+1,"")</f>
        <v/>
      </c>
      <c r="AA47">
        <f>IF($A47="","",IF(OR($T47=TRUE(),$T47="TRUE"),1,0))</f>
        <v/>
      </c>
      <c r="AB47">
        <f>IF($Y47=1,IFERROR(VALUE(MID($A47,2,20)),1000000000)+ROW()/100000,"")</f>
        <v/>
      </c>
    </row>
    <row r="48">
      <c r="F48" s="7">
        <f>IF($A48="","",E48*M48/100)</f>
        <v/>
      </c>
      <c r="I48" s="7" t="n"/>
      <c r="J48" s="7" t="n"/>
      <c r="L48" s="7" t="n"/>
      <c r="M48" s="7" t="n"/>
      <c r="N48" s="7" t="n"/>
      <c r="O48" s="7" t="n"/>
      <c r="R48" s="11" t="n"/>
      <c r="U48">
        <f>IF($A48="","",IF($AA48=1,Settings!$C$6,Settings!$C$7)*100)</f>
        <v/>
      </c>
      <c r="V48" s="7">
        <f>IF($A48="","",M48*U48/100)</f>
        <v/>
      </c>
      <c r="W48" s="7">
        <f>IF($A48="","",M48-V48)</f>
        <v/>
      </c>
      <c r="X48" s="7">
        <f>IF($A48="","",W48-F48)</f>
        <v/>
      </c>
      <c r="Y48">
        <f>IF($A48="","",IF(COUNTIF($A$2:$A48,$A48)=1,1,0))</f>
        <v/>
      </c>
      <c r="Z48">
        <f>IF($Y48=1,SUMPRODUCT(--($AB$2:$AB$501&lt;$AB48))+1,"")</f>
        <v/>
      </c>
      <c r="AA48">
        <f>IF($A48="","",IF(OR($T48=TRUE(),$T48="TRUE"),1,0))</f>
        <v/>
      </c>
      <c r="AB48">
        <f>IF($Y48=1,IFERROR(VALUE(MID($A48,2,20)),1000000000)+ROW()/100000,"")</f>
        <v/>
      </c>
    </row>
    <row r="49">
      <c r="F49" s="7">
        <f>IF($A49="","",E49*M49/100)</f>
        <v/>
      </c>
      <c r="I49" s="7" t="n"/>
      <c r="J49" s="7" t="n"/>
      <c r="L49" s="7" t="n"/>
      <c r="M49" s="7" t="n"/>
      <c r="N49" s="7" t="n"/>
      <c r="O49" s="7" t="n"/>
      <c r="R49" s="11" t="n"/>
      <c r="U49">
        <f>IF($A49="","",IF($AA49=1,Settings!$C$6,Settings!$C$7)*100)</f>
        <v/>
      </c>
      <c r="V49" s="7">
        <f>IF($A49="","",M49*U49/100)</f>
        <v/>
      </c>
      <c r="W49" s="7">
        <f>IF($A49="","",M49-V49)</f>
        <v/>
      </c>
      <c r="X49" s="7">
        <f>IF($A49="","",W49-F49)</f>
        <v/>
      </c>
      <c r="Y49">
        <f>IF($A49="","",IF(COUNTIF($A$2:$A49,$A49)=1,1,0))</f>
        <v/>
      </c>
      <c r="Z49">
        <f>IF($Y49=1,SUMPRODUCT(--($AB$2:$AB$501&lt;$AB49))+1,"")</f>
        <v/>
      </c>
      <c r="AA49">
        <f>IF($A49="","",IF(OR($T49=TRUE(),$T49="TRUE"),1,0))</f>
        <v/>
      </c>
      <c r="AB49">
        <f>IF($Y49=1,IFERROR(VALUE(MID($A49,2,20)),1000000000)+ROW()/100000,"")</f>
        <v/>
      </c>
    </row>
    <row r="50">
      <c r="F50" s="7">
        <f>IF($A50="","",E50*M50/100)</f>
        <v/>
      </c>
      <c r="I50" s="7" t="n"/>
      <c r="J50" s="7" t="n"/>
      <c r="L50" s="7" t="n"/>
      <c r="M50" s="7" t="n"/>
      <c r="N50" s="7" t="n"/>
      <c r="O50" s="7" t="n"/>
      <c r="R50" s="11" t="n"/>
      <c r="U50">
        <f>IF($A50="","",IF($AA50=1,Settings!$C$6,Settings!$C$7)*100)</f>
        <v/>
      </c>
      <c r="V50" s="7">
        <f>IF($A50="","",M50*U50/100)</f>
        <v/>
      </c>
      <c r="W50" s="7">
        <f>IF($A50="","",M50-V50)</f>
        <v/>
      </c>
      <c r="X50" s="7">
        <f>IF($A50="","",W50-F50)</f>
        <v/>
      </c>
      <c r="Y50">
        <f>IF($A50="","",IF(COUNTIF($A$2:$A50,$A50)=1,1,0))</f>
        <v/>
      </c>
      <c r="Z50">
        <f>IF($Y50=1,SUMPRODUCT(--($AB$2:$AB$501&lt;$AB50))+1,"")</f>
        <v/>
      </c>
      <c r="AA50">
        <f>IF($A50="","",IF(OR($T50=TRUE(),$T50="TRUE"),1,0))</f>
        <v/>
      </c>
      <c r="AB50">
        <f>IF($Y50=1,IFERROR(VALUE(MID($A50,2,20)),1000000000)+ROW()/100000,"")</f>
        <v/>
      </c>
    </row>
    <row r="51">
      <c r="F51" s="7">
        <f>IF($A51="","",E51*M51/100)</f>
        <v/>
      </c>
      <c r="I51" s="7" t="n"/>
      <c r="J51" s="7" t="n"/>
      <c r="L51" s="7" t="n"/>
      <c r="M51" s="7" t="n"/>
      <c r="N51" s="7" t="n"/>
      <c r="O51" s="7" t="n"/>
      <c r="R51" s="11" t="n"/>
      <c r="U51">
        <f>IF($A51="","",IF($AA51=1,Settings!$C$6,Settings!$C$7)*100)</f>
        <v/>
      </c>
      <c r="V51" s="7">
        <f>IF($A51="","",M51*U51/100)</f>
        <v/>
      </c>
      <c r="W51" s="7">
        <f>IF($A51="","",M51-V51)</f>
        <v/>
      </c>
      <c r="X51" s="7">
        <f>IF($A51="","",W51-F51)</f>
        <v/>
      </c>
      <c r="Y51">
        <f>IF($A51="","",IF(COUNTIF($A$2:$A51,$A51)=1,1,0))</f>
        <v/>
      </c>
      <c r="Z51">
        <f>IF($Y51=1,SUMPRODUCT(--($AB$2:$AB$501&lt;$AB51))+1,"")</f>
        <v/>
      </c>
      <c r="AA51">
        <f>IF($A51="","",IF(OR($T51=TRUE(),$T51="TRUE"),1,0))</f>
        <v/>
      </c>
      <c r="AB51">
        <f>IF($Y51=1,IFERROR(VALUE(MID($A51,2,20)),1000000000)+ROW()/100000,"")</f>
        <v/>
      </c>
    </row>
    <row r="52">
      <c r="F52" s="7">
        <f>IF($A52="","",E52*M52/100)</f>
        <v/>
      </c>
      <c r="I52" s="7" t="n"/>
      <c r="J52" s="7" t="n"/>
      <c r="L52" s="7" t="n"/>
      <c r="M52" s="7" t="n"/>
      <c r="N52" s="7" t="n"/>
      <c r="O52" s="7" t="n"/>
      <c r="R52" s="11" t="n"/>
      <c r="U52">
        <f>IF($A52="","",IF($AA52=1,Settings!$C$6,Settings!$C$7)*100)</f>
        <v/>
      </c>
      <c r="V52" s="7">
        <f>IF($A52="","",M52*U52/100)</f>
        <v/>
      </c>
      <c r="W52" s="7">
        <f>IF($A52="","",M52-V52)</f>
        <v/>
      </c>
      <c r="X52" s="7">
        <f>IF($A52="","",W52-F52)</f>
        <v/>
      </c>
      <c r="Y52">
        <f>IF($A52="","",IF(COUNTIF($A$2:$A52,$A52)=1,1,0))</f>
        <v/>
      </c>
      <c r="Z52">
        <f>IF($Y52=1,SUMPRODUCT(--($AB$2:$AB$501&lt;$AB52))+1,"")</f>
        <v/>
      </c>
      <c r="AA52">
        <f>IF($A52="","",IF(OR($T52=TRUE(),$T52="TRUE"),1,0))</f>
        <v/>
      </c>
      <c r="AB52">
        <f>IF($Y52=1,IFERROR(VALUE(MID($A52,2,20)),1000000000)+ROW()/100000,"")</f>
        <v/>
      </c>
    </row>
    <row r="53">
      <c r="F53" s="7">
        <f>IF($A53="","",E53*M53/100)</f>
        <v/>
      </c>
      <c r="I53" s="7" t="n"/>
      <c r="J53" s="7" t="n"/>
      <c r="L53" s="7" t="n"/>
      <c r="M53" s="7" t="n"/>
      <c r="N53" s="7" t="n"/>
      <c r="O53" s="7" t="n"/>
      <c r="R53" s="11" t="n"/>
      <c r="U53">
        <f>IF($A53="","",IF($AA53=1,Settings!$C$6,Settings!$C$7)*100)</f>
        <v/>
      </c>
      <c r="V53" s="7">
        <f>IF($A53="","",M53*U53/100)</f>
        <v/>
      </c>
      <c r="W53" s="7">
        <f>IF($A53="","",M53-V53)</f>
        <v/>
      </c>
      <c r="X53" s="7">
        <f>IF($A53="","",W53-F53)</f>
        <v/>
      </c>
      <c r="Y53">
        <f>IF($A53="","",IF(COUNTIF($A$2:$A53,$A53)=1,1,0))</f>
        <v/>
      </c>
      <c r="Z53">
        <f>IF($Y53=1,SUMPRODUCT(--($AB$2:$AB$501&lt;$AB53))+1,"")</f>
        <v/>
      </c>
      <c r="AA53">
        <f>IF($A53="","",IF(OR($T53=TRUE(),$T53="TRUE"),1,0))</f>
        <v/>
      </c>
      <c r="AB53">
        <f>IF($Y53=1,IFERROR(VALUE(MID($A53,2,20)),1000000000)+ROW()/100000,"")</f>
        <v/>
      </c>
    </row>
    <row r="54">
      <c r="F54" s="7">
        <f>IF($A54="","",E54*M54/100)</f>
        <v/>
      </c>
      <c r="I54" s="7" t="n"/>
      <c r="J54" s="7" t="n"/>
      <c r="L54" s="7" t="n"/>
      <c r="M54" s="7" t="n"/>
      <c r="N54" s="7" t="n"/>
      <c r="O54" s="7" t="n"/>
      <c r="R54" s="11" t="n"/>
      <c r="U54">
        <f>IF($A54="","",IF($AA54=1,Settings!$C$6,Settings!$C$7)*100)</f>
        <v/>
      </c>
      <c r="V54" s="7">
        <f>IF($A54="","",M54*U54/100)</f>
        <v/>
      </c>
      <c r="W54" s="7">
        <f>IF($A54="","",M54-V54)</f>
        <v/>
      </c>
      <c r="X54" s="7">
        <f>IF($A54="","",W54-F54)</f>
        <v/>
      </c>
      <c r="Y54">
        <f>IF($A54="","",IF(COUNTIF($A$2:$A54,$A54)=1,1,0))</f>
        <v/>
      </c>
      <c r="Z54">
        <f>IF($Y54=1,SUMPRODUCT(--($AB$2:$AB$501&lt;$AB54))+1,"")</f>
        <v/>
      </c>
      <c r="AA54">
        <f>IF($A54="","",IF(OR($T54=TRUE(),$T54="TRUE"),1,0))</f>
        <v/>
      </c>
      <c r="AB54">
        <f>IF($Y54=1,IFERROR(VALUE(MID($A54,2,20)),1000000000)+ROW()/100000,"")</f>
        <v/>
      </c>
    </row>
    <row r="55">
      <c r="F55" s="7">
        <f>IF($A55="","",E55*M55/100)</f>
        <v/>
      </c>
      <c r="I55" s="7" t="n"/>
      <c r="J55" s="7" t="n"/>
      <c r="L55" s="7" t="n"/>
      <c r="M55" s="7" t="n"/>
      <c r="N55" s="7" t="n"/>
      <c r="O55" s="7" t="n"/>
      <c r="R55" s="11" t="n"/>
      <c r="U55">
        <f>IF($A55="","",IF($AA55=1,Settings!$C$6,Settings!$C$7)*100)</f>
        <v/>
      </c>
      <c r="V55" s="7">
        <f>IF($A55="","",M55*U55/100)</f>
        <v/>
      </c>
      <c r="W55" s="7">
        <f>IF($A55="","",M55-V55)</f>
        <v/>
      </c>
      <c r="X55" s="7">
        <f>IF($A55="","",W55-F55)</f>
        <v/>
      </c>
      <c r="Y55">
        <f>IF($A55="","",IF(COUNTIF($A$2:$A55,$A55)=1,1,0))</f>
        <v/>
      </c>
      <c r="Z55">
        <f>IF($Y55=1,SUMPRODUCT(--($AB$2:$AB$501&lt;$AB55))+1,"")</f>
        <v/>
      </c>
      <c r="AA55">
        <f>IF($A55="","",IF(OR($T55=TRUE(),$T55="TRUE"),1,0))</f>
        <v/>
      </c>
      <c r="AB55">
        <f>IF($Y55=1,IFERROR(VALUE(MID($A55,2,20)),1000000000)+ROW()/100000,"")</f>
        <v/>
      </c>
    </row>
    <row r="56">
      <c r="F56" s="7">
        <f>IF($A56="","",E56*M56/100)</f>
        <v/>
      </c>
      <c r="I56" s="7" t="n"/>
      <c r="J56" s="7" t="n"/>
      <c r="L56" s="7" t="n"/>
      <c r="M56" s="7" t="n"/>
      <c r="N56" s="7" t="n"/>
      <c r="O56" s="7" t="n"/>
      <c r="R56" s="11" t="n"/>
      <c r="U56">
        <f>IF($A56="","",IF($AA56=1,Settings!$C$6,Settings!$C$7)*100)</f>
        <v/>
      </c>
      <c r="V56" s="7">
        <f>IF($A56="","",M56*U56/100)</f>
        <v/>
      </c>
      <c r="W56" s="7">
        <f>IF($A56="","",M56-V56)</f>
        <v/>
      </c>
      <c r="X56" s="7">
        <f>IF($A56="","",W56-F56)</f>
        <v/>
      </c>
      <c r="Y56">
        <f>IF($A56="","",IF(COUNTIF($A$2:$A56,$A56)=1,1,0))</f>
        <v/>
      </c>
      <c r="Z56">
        <f>IF($Y56=1,SUMPRODUCT(--($AB$2:$AB$501&lt;$AB56))+1,"")</f>
        <v/>
      </c>
      <c r="AA56">
        <f>IF($A56="","",IF(OR($T56=TRUE(),$T56="TRUE"),1,0))</f>
        <v/>
      </c>
      <c r="AB56">
        <f>IF($Y56=1,IFERROR(VALUE(MID($A56,2,20)),1000000000)+ROW()/100000,"")</f>
        <v/>
      </c>
    </row>
    <row r="57">
      <c r="F57" s="7">
        <f>IF($A57="","",E57*M57/100)</f>
        <v/>
      </c>
      <c r="I57" s="7" t="n"/>
      <c r="J57" s="7" t="n"/>
      <c r="L57" s="7" t="n"/>
      <c r="M57" s="7" t="n"/>
      <c r="N57" s="7" t="n"/>
      <c r="O57" s="7" t="n"/>
      <c r="R57" s="11" t="n"/>
      <c r="U57">
        <f>IF($A57="","",IF($AA57=1,Settings!$C$6,Settings!$C$7)*100)</f>
        <v/>
      </c>
      <c r="V57" s="7">
        <f>IF($A57="","",M57*U57/100)</f>
        <v/>
      </c>
      <c r="W57" s="7">
        <f>IF($A57="","",M57-V57)</f>
        <v/>
      </c>
      <c r="X57" s="7">
        <f>IF($A57="","",W57-F57)</f>
        <v/>
      </c>
      <c r="Y57">
        <f>IF($A57="","",IF(COUNTIF($A$2:$A57,$A57)=1,1,0))</f>
        <v/>
      </c>
      <c r="Z57">
        <f>IF($Y57=1,SUMPRODUCT(--($AB$2:$AB$501&lt;$AB57))+1,"")</f>
        <v/>
      </c>
      <c r="AA57">
        <f>IF($A57="","",IF(OR($T57=TRUE(),$T57="TRUE"),1,0))</f>
        <v/>
      </c>
      <c r="AB57">
        <f>IF($Y57=1,IFERROR(VALUE(MID($A57,2,20)),1000000000)+ROW()/100000,"")</f>
        <v/>
      </c>
    </row>
    <row r="58">
      <c r="F58" s="7">
        <f>IF($A58="","",E58*M58/100)</f>
        <v/>
      </c>
      <c r="I58" s="7" t="n"/>
      <c r="J58" s="7" t="n"/>
      <c r="L58" s="7" t="n"/>
      <c r="M58" s="7" t="n"/>
      <c r="N58" s="7" t="n"/>
      <c r="O58" s="7" t="n"/>
      <c r="R58" s="11" t="n"/>
      <c r="U58">
        <f>IF($A58="","",IF($AA58=1,Settings!$C$6,Settings!$C$7)*100)</f>
        <v/>
      </c>
      <c r="V58" s="7">
        <f>IF($A58="","",M58*U58/100)</f>
        <v/>
      </c>
      <c r="W58" s="7">
        <f>IF($A58="","",M58-V58)</f>
        <v/>
      </c>
      <c r="X58" s="7">
        <f>IF($A58="","",W58-F58)</f>
        <v/>
      </c>
      <c r="Y58">
        <f>IF($A58="","",IF(COUNTIF($A$2:$A58,$A58)=1,1,0))</f>
        <v/>
      </c>
      <c r="Z58">
        <f>IF($Y58=1,SUMPRODUCT(--($AB$2:$AB$501&lt;$AB58))+1,"")</f>
        <v/>
      </c>
      <c r="AA58">
        <f>IF($A58="","",IF(OR($T58=TRUE(),$T58="TRUE"),1,0))</f>
        <v/>
      </c>
      <c r="AB58">
        <f>IF($Y58=1,IFERROR(VALUE(MID($A58,2,20)),1000000000)+ROW()/100000,"")</f>
        <v/>
      </c>
    </row>
    <row r="59">
      <c r="F59" s="7">
        <f>IF($A59="","",E59*M59/100)</f>
        <v/>
      </c>
      <c r="I59" s="7" t="n"/>
      <c r="J59" s="7" t="n"/>
      <c r="L59" s="7" t="n"/>
      <c r="M59" s="7" t="n"/>
      <c r="N59" s="7" t="n"/>
      <c r="O59" s="7" t="n"/>
      <c r="R59" s="11" t="n"/>
      <c r="U59">
        <f>IF($A59="","",IF($AA59=1,Settings!$C$6,Settings!$C$7)*100)</f>
        <v/>
      </c>
      <c r="V59" s="7">
        <f>IF($A59="","",M59*U59/100)</f>
        <v/>
      </c>
      <c r="W59" s="7">
        <f>IF($A59="","",M59-V59)</f>
        <v/>
      </c>
      <c r="X59" s="7">
        <f>IF($A59="","",W59-F59)</f>
        <v/>
      </c>
      <c r="Y59">
        <f>IF($A59="","",IF(COUNTIF($A$2:$A59,$A59)=1,1,0))</f>
        <v/>
      </c>
      <c r="Z59">
        <f>IF($Y59=1,SUMPRODUCT(--($AB$2:$AB$501&lt;$AB59))+1,"")</f>
        <v/>
      </c>
      <c r="AA59">
        <f>IF($A59="","",IF(OR($T59=TRUE(),$T59="TRUE"),1,0))</f>
        <v/>
      </c>
      <c r="AB59">
        <f>IF($Y59=1,IFERROR(VALUE(MID($A59,2,20)),1000000000)+ROW()/100000,"")</f>
        <v/>
      </c>
    </row>
    <row r="60">
      <c r="F60" s="7">
        <f>IF($A60="","",E60*M60/100)</f>
        <v/>
      </c>
      <c r="I60" s="7" t="n"/>
      <c r="J60" s="7" t="n"/>
      <c r="L60" s="7" t="n"/>
      <c r="M60" s="7" t="n"/>
      <c r="N60" s="7" t="n"/>
      <c r="O60" s="7" t="n"/>
      <c r="R60" s="11" t="n"/>
      <c r="U60">
        <f>IF($A60="","",IF($AA60=1,Settings!$C$6,Settings!$C$7)*100)</f>
        <v/>
      </c>
      <c r="V60" s="7">
        <f>IF($A60="","",M60*U60/100)</f>
        <v/>
      </c>
      <c r="W60" s="7">
        <f>IF($A60="","",M60-V60)</f>
        <v/>
      </c>
      <c r="X60" s="7">
        <f>IF($A60="","",W60-F60)</f>
        <v/>
      </c>
      <c r="Y60">
        <f>IF($A60="","",IF(COUNTIF($A$2:$A60,$A60)=1,1,0))</f>
        <v/>
      </c>
      <c r="Z60">
        <f>IF($Y60=1,SUMPRODUCT(--($AB$2:$AB$501&lt;$AB60))+1,"")</f>
        <v/>
      </c>
      <c r="AA60">
        <f>IF($A60="","",IF(OR($T60=TRUE(),$T60="TRUE"),1,0))</f>
        <v/>
      </c>
      <c r="AB60">
        <f>IF($Y60=1,IFERROR(VALUE(MID($A60,2,20)),1000000000)+ROW()/100000,"")</f>
        <v/>
      </c>
    </row>
    <row r="61">
      <c r="F61" s="7">
        <f>IF($A61="","",E61*M61/100)</f>
        <v/>
      </c>
      <c r="I61" s="7" t="n"/>
      <c r="J61" s="7" t="n"/>
      <c r="L61" s="7" t="n"/>
      <c r="M61" s="7" t="n"/>
      <c r="N61" s="7" t="n"/>
      <c r="O61" s="7" t="n"/>
      <c r="R61" s="11" t="n"/>
      <c r="U61">
        <f>IF($A61="","",IF($AA61=1,Settings!$C$6,Settings!$C$7)*100)</f>
        <v/>
      </c>
      <c r="V61" s="7">
        <f>IF($A61="","",M61*U61/100)</f>
        <v/>
      </c>
      <c r="W61" s="7">
        <f>IF($A61="","",M61-V61)</f>
        <v/>
      </c>
      <c r="X61" s="7">
        <f>IF($A61="","",W61-F61)</f>
        <v/>
      </c>
      <c r="Y61">
        <f>IF($A61="","",IF(COUNTIF($A$2:$A61,$A61)=1,1,0))</f>
        <v/>
      </c>
      <c r="Z61">
        <f>IF($Y61=1,SUMPRODUCT(--($AB$2:$AB$501&lt;$AB61))+1,"")</f>
        <v/>
      </c>
      <c r="AA61">
        <f>IF($A61="","",IF(OR($T61=TRUE(),$T61="TRUE"),1,0))</f>
        <v/>
      </c>
      <c r="AB61">
        <f>IF($Y61=1,IFERROR(VALUE(MID($A61,2,20)),1000000000)+ROW()/100000,"")</f>
        <v/>
      </c>
    </row>
    <row r="62">
      <c r="F62" s="7">
        <f>IF($A62="","",E62*M62/100)</f>
        <v/>
      </c>
      <c r="I62" s="7" t="n"/>
      <c r="J62" s="7" t="n"/>
      <c r="L62" s="7" t="n"/>
      <c r="M62" s="7" t="n"/>
      <c r="N62" s="7" t="n"/>
      <c r="O62" s="7" t="n"/>
      <c r="R62" s="11" t="n"/>
      <c r="U62">
        <f>IF($A62="","",IF($AA62=1,Settings!$C$6,Settings!$C$7)*100)</f>
        <v/>
      </c>
      <c r="V62" s="7">
        <f>IF($A62="","",M62*U62/100)</f>
        <v/>
      </c>
      <c r="W62" s="7">
        <f>IF($A62="","",M62-V62)</f>
        <v/>
      </c>
      <c r="X62" s="7">
        <f>IF($A62="","",W62-F62)</f>
        <v/>
      </c>
      <c r="Y62">
        <f>IF($A62="","",IF(COUNTIF($A$2:$A62,$A62)=1,1,0))</f>
        <v/>
      </c>
      <c r="Z62">
        <f>IF($Y62=1,SUMPRODUCT(--($AB$2:$AB$501&lt;$AB62))+1,"")</f>
        <v/>
      </c>
      <c r="AA62">
        <f>IF($A62="","",IF(OR($T62=TRUE(),$T62="TRUE"),1,0))</f>
        <v/>
      </c>
      <c r="AB62">
        <f>IF($Y62=1,IFERROR(VALUE(MID($A62,2,20)),1000000000)+ROW()/100000,"")</f>
        <v/>
      </c>
    </row>
    <row r="63">
      <c r="F63" s="7">
        <f>IF($A63="","",E63*M63/100)</f>
        <v/>
      </c>
      <c r="I63" s="7" t="n"/>
      <c r="J63" s="7" t="n"/>
      <c r="L63" s="7" t="n"/>
      <c r="M63" s="7" t="n"/>
      <c r="N63" s="7" t="n"/>
      <c r="O63" s="7" t="n"/>
      <c r="R63" s="11" t="n"/>
      <c r="U63">
        <f>IF($A63="","",IF($AA63=1,Settings!$C$6,Settings!$C$7)*100)</f>
        <v/>
      </c>
      <c r="V63" s="7">
        <f>IF($A63="","",M63*U63/100)</f>
        <v/>
      </c>
      <c r="W63" s="7">
        <f>IF($A63="","",M63-V63)</f>
        <v/>
      </c>
      <c r="X63" s="7">
        <f>IF($A63="","",W63-F63)</f>
        <v/>
      </c>
      <c r="Y63">
        <f>IF($A63="","",IF(COUNTIF($A$2:$A63,$A63)=1,1,0))</f>
        <v/>
      </c>
      <c r="Z63">
        <f>IF($Y63=1,SUMPRODUCT(--($AB$2:$AB$501&lt;$AB63))+1,"")</f>
        <v/>
      </c>
      <c r="AA63">
        <f>IF($A63="","",IF(OR($T63=TRUE(),$T63="TRUE"),1,0))</f>
        <v/>
      </c>
      <c r="AB63">
        <f>IF($Y63=1,IFERROR(VALUE(MID($A63,2,20)),1000000000)+ROW()/100000,"")</f>
        <v/>
      </c>
    </row>
    <row r="64">
      <c r="F64" s="7">
        <f>IF($A64="","",E64*M64/100)</f>
        <v/>
      </c>
      <c r="I64" s="7" t="n"/>
      <c r="J64" s="7" t="n"/>
      <c r="L64" s="7" t="n"/>
      <c r="M64" s="7" t="n"/>
      <c r="N64" s="7" t="n"/>
      <c r="O64" s="7" t="n"/>
      <c r="R64" s="11" t="n"/>
      <c r="U64">
        <f>IF($A64="","",IF($AA64=1,Settings!$C$6,Settings!$C$7)*100)</f>
        <v/>
      </c>
      <c r="V64" s="7">
        <f>IF($A64="","",M64*U64/100)</f>
        <v/>
      </c>
      <c r="W64" s="7">
        <f>IF($A64="","",M64-V64)</f>
        <v/>
      </c>
      <c r="X64" s="7">
        <f>IF($A64="","",W64-F64)</f>
        <v/>
      </c>
      <c r="Y64">
        <f>IF($A64="","",IF(COUNTIF($A$2:$A64,$A64)=1,1,0))</f>
        <v/>
      </c>
      <c r="Z64">
        <f>IF($Y64=1,SUMPRODUCT(--($AB$2:$AB$501&lt;$AB64))+1,"")</f>
        <v/>
      </c>
      <c r="AA64">
        <f>IF($A64="","",IF(OR($T64=TRUE(),$T64="TRUE"),1,0))</f>
        <v/>
      </c>
      <c r="AB64">
        <f>IF($Y64=1,IFERROR(VALUE(MID($A64,2,20)),1000000000)+ROW()/100000,"")</f>
        <v/>
      </c>
    </row>
    <row r="65">
      <c r="F65" s="7">
        <f>IF($A65="","",E65*M65/100)</f>
        <v/>
      </c>
      <c r="I65" s="7" t="n"/>
      <c r="J65" s="7" t="n"/>
      <c r="L65" s="7" t="n"/>
      <c r="M65" s="7" t="n"/>
      <c r="N65" s="7" t="n"/>
      <c r="O65" s="7" t="n"/>
      <c r="R65" s="11" t="n"/>
      <c r="U65">
        <f>IF($A65="","",IF($AA65=1,Settings!$C$6,Settings!$C$7)*100)</f>
        <v/>
      </c>
      <c r="V65" s="7">
        <f>IF($A65="","",M65*U65/100)</f>
        <v/>
      </c>
      <c r="W65" s="7">
        <f>IF($A65="","",M65-V65)</f>
        <v/>
      </c>
      <c r="X65" s="7">
        <f>IF($A65="","",W65-F65)</f>
        <v/>
      </c>
      <c r="Y65">
        <f>IF($A65="","",IF(COUNTIF($A$2:$A65,$A65)=1,1,0))</f>
        <v/>
      </c>
      <c r="Z65">
        <f>IF($Y65=1,SUMPRODUCT(--($AB$2:$AB$501&lt;$AB65))+1,"")</f>
        <v/>
      </c>
      <c r="AA65">
        <f>IF($A65="","",IF(OR($T65=TRUE(),$T65="TRUE"),1,0))</f>
        <v/>
      </c>
      <c r="AB65">
        <f>IF($Y65=1,IFERROR(VALUE(MID($A65,2,20)),1000000000)+ROW()/100000,"")</f>
        <v/>
      </c>
    </row>
    <row r="66">
      <c r="F66" s="7">
        <f>IF($A66="","",E66*M66/100)</f>
        <v/>
      </c>
      <c r="I66" s="7" t="n"/>
      <c r="J66" s="7" t="n"/>
      <c r="L66" s="7" t="n"/>
      <c r="M66" s="7" t="n"/>
      <c r="N66" s="7" t="n"/>
      <c r="O66" s="7" t="n"/>
      <c r="R66" s="11" t="n"/>
      <c r="U66">
        <f>IF($A66="","",IF($AA66=1,Settings!$C$6,Settings!$C$7)*100)</f>
        <v/>
      </c>
      <c r="V66" s="7">
        <f>IF($A66="","",M66*U66/100)</f>
        <v/>
      </c>
      <c r="W66" s="7">
        <f>IF($A66="","",M66-V66)</f>
        <v/>
      </c>
      <c r="X66" s="7">
        <f>IF($A66="","",W66-F66)</f>
        <v/>
      </c>
      <c r="Y66">
        <f>IF($A66="","",IF(COUNTIF($A$2:$A66,$A66)=1,1,0))</f>
        <v/>
      </c>
      <c r="Z66">
        <f>IF($Y66=1,SUMPRODUCT(--($AB$2:$AB$501&lt;$AB66))+1,"")</f>
        <v/>
      </c>
      <c r="AA66">
        <f>IF($A66="","",IF(OR($T66=TRUE(),$T66="TRUE"),1,0))</f>
        <v/>
      </c>
      <c r="AB66">
        <f>IF($Y66=1,IFERROR(VALUE(MID($A66,2,20)),1000000000)+ROW()/100000,"")</f>
        <v/>
      </c>
    </row>
    <row r="67">
      <c r="F67" s="7">
        <f>IF($A67="","",E67*M67/100)</f>
        <v/>
      </c>
      <c r="I67" s="7" t="n"/>
      <c r="J67" s="7" t="n"/>
      <c r="L67" s="7" t="n"/>
      <c r="M67" s="7" t="n"/>
      <c r="N67" s="7" t="n"/>
      <c r="O67" s="7" t="n"/>
      <c r="R67" s="11" t="n"/>
      <c r="U67">
        <f>IF($A67="","",IF($AA67=1,Settings!$C$6,Settings!$C$7)*100)</f>
        <v/>
      </c>
      <c r="V67" s="7">
        <f>IF($A67="","",M67*U67/100)</f>
        <v/>
      </c>
      <c r="W67" s="7">
        <f>IF($A67="","",M67-V67)</f>
        <v/>
      </c>
      <c r="X67" s="7">
        <f>IF($A67="","",W67-F67)</f>
        <v/>
      </c>
      <c r="Y67">
        <f>IF($A67="","",IF(COUNTIF($A$2:$A67,$A67)=1,1,0))</f>
        <v/>
      </c>
      <c r="Z67">
        <f>IF($Y67=1,SUMPRODUCT(--($AB$2:$AB$501&lt;$AB67))+1,"")</f>
        <v/>
      </c>
      <c r="AA67">
        <f>IF($A67="","",IF(OR($T67=TRUE(),$T67="TRUE"),1,0))</f>
        <v/>
      </c>
      <c r="AB67">
        <f>IF($Y67=1,IFERROR(VALUE(MID($A67,2,20)),1000000000)+ROW()/100000,"")</f>
        <v/>
      </c>
    </row>
    <row r="68">
      <c r="F68" s="7">
        <f>IF($A68="","",E68*M68/100)</f>
        <v/>
      </c>
      <c r="I68" s="7" t="n"/>
      <c r="J68" s="7" t="n"/>
      <c r="L68" s="7" t="n"/>
      <c r="M68" s="7" t="n"/>
      <c r="N68" s="7" t="n"/>
      <c r="O68" s="7" t="n"/>
      <c r="R68" s="11" t="n"/>
      <c r="U68">
        <f>IF($A68="","",IF($AA68=1,Settings!$C$6,Settings!$C$7)*100)</f>
        <v/>
      </c>
      <c r="V68" s="7">
        <f>IF($A68="","",M68*U68/100)</f>
        <v/>
      </c>
      <c r="W68" s="7">
        <f>IF($A68="","",M68-V68)</f>
        <v/>
      </c>
      <c r="X68" s="7">
        <f>IF($A68="","",W68-F68)</f>
        <v/>
      </c>
      <c r="Y68">
        <f>IF($A68="","",IF(COUNTIF($A$2:$A68,$A68)=1,1,0))</f>
        <v/>
      </c>
      <c r="Z68">
        <f>IF($Y68=1,SUMPRODUCT(--($AB$2:$AB$501&lt;$AB68))+1,"")</f>
        <v/>
      </c>
      <c r="AA68">
        <f>IF($A68="","",IF(OR($T68=TRUE(),$T68="TRUE"),1,0))</f>
        <v/>
      </c>
      <c r="AB68">
        <f>IF($Y68=1,IFERROR(VALUE(MID($A68,2,20)),1000000000)+ROW()/100000,"")</f>
        <v/>
      </c>
    </row>
    <row r="69">
      <c r="F69" s="7">
        <f>IF($A69="","",E69*M69/100)</f>
        <v/>
      </c>
      <c r="I69" s="7" t="n"/>
      <c r="J69" s="7" t="n"/>
      <c r="L69" s="7" t="n"/>
      <c r="M69" s="7" t="n"/>
      <c r="N69" s="7" t="n"/>
      <c r="O69" s="7" t="n"/>
      <c r="R69" s="11" t="n"/>
      <c r="U69">
        <f>IF($A69="","",IF($AA69=1,Settings!$C$6,Settings!$C$7)*100)</f>
        <v/>
      </c>
      <c r="V69" s="7">
        <f>IF($A69="","",M69*U69/100)</f>
        <v/>
      </c>
      <c r="W69" s="7">
        <f>IF($A69="","",M69-V69)</f>
        <v/>
      </c>
      <c r="X69" s="7">
        <f>IF($A69="","",W69-F69)</f>
        <v/>
      </c>
      <c r="Y69">
        <f>IF($A69="","",IF(COUNTIF($A$2:$A69,$A69)=1,1,0))</f>
        <v/>
      </c>
      <c r="Z69">
        <f>IF($Y69=1,SUMPRODUCT(--($AB$2:$AB$501&lt;$AB69))+1,"")</f>
        <v/>
      </c>
      <c r="AA69">
        <f>IF($A69="","",IF(OR($T69=TRUE(),$T69="TRUE"),1,0))</f>
        <v/>
      </c>
      <c r="AB69">
        <f>IF($Y69=1,IFERROR(VALUE(MID($A69,2,20)),1000000000)+ROW()/100000,"")</f>
        <v/>
      </c>
    </row>
    <row r="70">
      <c r="F70" s="7">
        <f>IF($A70="","",E70*M70/100)</f>
        <v/>
      </c>
      <c r="I70" s="7" t="n"/>
      <c r="J70" s="7" t="n"/>
      <c r="L70" s="7" t="n"/>
      <c r="M70" s="7" t="n"/>
      <c r="N70" s="7" t="n"/>
      <c r="O70" s="7" t="n"/>
      <c r="R70" s="11" t="n"/>
      <c r="U70">
        <f>IF($A70="","",IF($AA70=1,Settings!$C$6,Settings!$C$7)*100)</f>
        <v/>
      </c>
      <c r="V70" s="7">
        <f>IF($A70="","",M70*U70/100)</f>
        <v/>
      </c>
      <c r="W70" s="7">
        <f>IF($A70="","",M70-V70)</f>
        <v/>
      </c>
      <c r="X70" s="7">
        <f>IF($A70="","",W70-F70)</f>
        <v/>
      </c>
      <c r="Y70">
        <f>IF($A70="","",IF(COUNTIF($A$2:$A70,$A70)=1,1,0))</f>
        <v/>
      </c>
      <c r="Z70">
        <f>IF($Y70=1,SUMPRODUCT(--($AB$2:$AB$501&lt;$AB70))+1,"")</f>
        <v/>
      </c>
      <c r="AA70">
        <f>IF($A70="","",IF(OR($T70=TRUE(),$T70="TRUE"),1,0))</f>
        <v/>
      </c>
      <c r="AB70">
        <f>IF($Y70=1,IFERROR(VALUE(MID($A70,2,20)),1000000000)+ROW()/100000,"")</f>
        <v/>
      </c>
    </row>
    <row r="71">
      <c r="F71" s="7">
        <f>IF($A71="","",E71*M71/100)</f>
        <v/>
      </c>
      <c r="I71" s="7" t="n"/>
      <c r="J71" s="7" t="n"/>
      <c r="L71" s="7" t="n"/>
      <c r="M71" s="7" t="n"/>
      <c r="N71" s="7" t="n"/>
      <c r="O71" s="7" t="n"/>
      <c r="R71" s="11" t="n"/>
      <c r="U71">
        <f>IF($A71="","",IF($AA71=1,Settings!$C$6,Settings!$C$7)*100)</f>
        <v/>
      </c>
      <c r="V71" s="7">
        <f>IF($A71="","",M71*U71/100)</f>
        <v/>
      </c>
      <c r="W71" s="7">
        <f>IF($A71="","",M71-V71)</f>
        <v/>
      </c>
      <c r="X71" s="7">
        <f>IF($A71="","",W71-F71)</f>
        <v/>
      </c>
      <c r="Y71">
        <f>IF($A71="","",IF(COUNTIF($A$2:$A71,$A71)=1,1,0))</f>
        <v/>
      </c>
      <c r="Z71">
        <f>IF($Y71=1,SUMPRODUCT(--($AB$2:$AB$501&lt;$AB71))+1,"")</f>
        <v/>
      </c>
      <c r="AA71">
        <f>IF($A71="","",IF(OR($T71=TRUE(),$T71="TRUE"),1,0))</f>
        <v/>
      </c>
      <c r="AB71">
        <f>IF($Y71=1,IFERROR(VALUE(MID($A71,2,20)),1000000000)+ROW()/100000,"")</f>
        <v/>
      </c>
    </row>
    <row r="72">
      <c r="F72" s="7">
        <f>IF($A72="","",E72*M72/100)</f>
        <v/>
      </c>
      <c r="I72" s="7" t="n"/>
      <c r="J72" s="7" t="n"/>
      <c r="L72" s="7" t="n"/>
      <c r="M72" s="7" t="n"/>
      <c r="N72" s="7" t="n"/>
      <c r="O72" s="7" t="n"/>
      <c r="R72" s="11" t="n"/>
      <c r="U72">
        <f>IF($A72="","",IF($AA72=1,Settings!$C$6,Settings!$C$7)*100)</f>
        <v/>
      </c>
      <c r="V72" s="7">
        <f>IF($A72="","",M72*U72/100)</f>
        <v/>
      </c>
      <c r="W72" s="7">
        <f>IF($A72="","",M72-V72)</f>
        <v/>
      </c>
      <c r="X72" s="7">
        <f>IF($A72="","",W72-F72)</f>
        <v/>
      </c>
      <c r="Y72">
        <f>IF($A72="","",IF(COUNTIF($A$2:$A72,$A72)=1,1,0))</f>
        <v/>
      </c>
      <c r="Z72">
        <f>IF($Y72=1,SUMPRODUCT(--($AB$2:$AB$501&lt;$AB72))+1,"")</f>
        <v/>
      </c>
      <c r="AA72">
        <f>IF($A72="","",IF(OR($T72=TRUE(),$T72="TRUE"),1,0))</f>
        <v/>
      </c>
      <c r="AB72">
        <f>IF($Y72=1,IFERROR(VALUE(MID($A72,2,20)),1000000000)+ROW()/100000,"")</f>
        <v/>
      </c>
    </row>
    <row r="73">
      <c r="F73" s="7">
        <f>IF($A73="","",E73*M73/100)</f>
        <v/>
      </c>
      <c r="I73" s="7" t="n"/>
      <c r="J73" s="7" t="n"/>
      <c r="L73" s="7" t="n"/>
      <c r="M73" s="7" t="n"/>
      <c r="N73" s="7" t="n"/>
      <c r="O73" s="7" t="n"/>
      <c r="R73" s="11" t="n"/>
      <c r="U73">
        <f>IF($A73="","",IF($AA73=1,Settings!$C$6,Settings!$C$7)*100)</f>
        <v/>
      </c>
      <c r="V73" s="7">
        <f>IF($A73="","",M73*U73/100)</f>
        <v/>
      </c>
      <c r="W73" s="7">
        <f>IF($A73="","",M73-V73)</f>
        <v/>
      </c>
      <c r="X73" s="7">
        <f>IF($A73="","",W73-F73)</f>
        <v/>
      </c>
      <c r="Y73">
        <f>IF($A73="","",IF(COUNTIF($A$2:$A73,$A73)=1,1,0))</f>
        <v/>
      </c>
      <c r="Z73">
        <f>IF($Y73=1,SUMPRODUCT(--($AB$2:$AB$501&lt;$AB73))+1,"")</f>
        <v/>
      </c>
      <c r="AA73">
        <f>IF($A73="","",IF(OR($T73=TRUE(),$T73="TRUE"),1,0))</f>
        <v/>
      </c>
      <c r="AB73">
        <f>IF($Y73=1,IFERROR(VALUE(MID($A73,2,20)),1000000000)+ROW()/100000,"")</f>
        <v/>
      </c>
    </row>
    <row r="74">
      <c r="F74" s="7">
        <f>IF($A74="","",E74*M74/100)</f>
        <v/>
      </c>
      <c r="I74" s="7" t="n"/>
      <c r="J74" s="7" t="n"/>
      <c r="L74" s="7" t="n"/>
      <c r="M74" s="7" t="n"/>
      <c r="N74" s="7" t="n"/>
      <c r="O74" s="7" t="n"/>
      <c r="R74" s="11" t="n"/>
      <c r="U74">
        <f>IF($A74="","",IF($AA74=1,Settings!$C$6,Settings!$C$7)*100)</f>
        <v/>
      </c>
      <c r="V74" s="7">
        <f>IF($A74="","",M74*U74/100)</f>
        <v/>
      </c>
      <c r="W74" s="7">
        <f>IF($A74="","",M74-V74)</f>
        <v/>
      </c>
      <c r="X74" s="7">
        <f>IF($A74="","",W74-F74)</f>
        <v/>
      </c>
      <c r="Y74">
        <f>IF($A74="","",IF(COUNTIF($A$2:$A74,$A74)=1,1,0))</f>
        <v/>
      </c>
      <c r="Z74">
        <f>IF($Y74=1,SUMPRODUCT(--($AB$2:$AB$501&lt;$AB74))+1,"")</f>
        <v/>
      </c>
      <c r="AA74">
        <f>IF($A74="","",IF(OR($T74=TRUE(),$T74="TRUE"),1,0))</f>
        <v/>
      </c>
      <c r="AB74">
        <f>IF($Y74=1,IFERROR(VALUE(MID($A74,2,20)),1000000000)+ROW()/100000,"")</f>
        <v/>
      </c>
    </row>
    <row r="75">
      <c r="F75" s="7">
        <f>IF($A75="","",E75*M75/100)</f>
        <v/>
      </c>
      <c r="I75" s="7" t="n"/>
      <c r="J75" s="7" t="n"/>
      <c r="L75" s="7" t="n"/>
      <c r="M75" s="7" t="n"/>
      <c r="N75" s="7" t="n"/>
      <c r="O75" s="7" t="n"/>
      <c r="R75" s="11" t="n"/>
      <c r="U75">
        <f>IF($A75="","",IF($AA75=1,Settings!$C$6,Settings!$C$7)*100)</f>
        <v/>
      </c>
      <c r="V75" s="7">
        <f>IF($A75="","",M75*U75/100)</f>
        <v/>
      </c>
      <c r="W75" s="7">
        <f>IF($A75="","",M75-V75)</f>
        <v/>
      </c>
      <c r="X75" s="7">
        <f>IF($A75="","",W75-F75)</f>
        <v/>
      </c>
      <c r="Y75">
        <f>IF($A75="","",IF(COUNTIF($A$2:$A75,$A75)=1,1,0))</f>
        <v/>
      </c>
      <c r="Z75">
        <f>IF($Y75=1,SUMPRODUCT(--($AB$2:$AB$501&lt;$AB75))+1,"")</f>
        <v/>
      </c>
      <c r="AA75">
        <f>IF($A75="","",IF(OR($T75=TRUE(),$T75="TRUE"),1,0))</f>
        <v/>
      </c>
      <c r="AB75">
        <f>IF($Y75=1,IFERROR(VALUE(MID($A75,2,20)),1000000000)+ROW()/100000,"")</f>
        <v/>
      </c>
    </row>
    <row r="76">
      <c r="F76" s="7">
        <f>IF($A76="","",E76*M76/100)</f>
        <v/>
      </c>
      <c r="I76" s="7" t="n"/>
      <c r="J76" s="7" t="n"/>
      <c r="L76" s="7" t="n"/>
      <c r="M76" s="7" t="n"/>
      <c r="N76" s="7" t="n"/>
      <c r="O76" s="7" t="n"/>
      <c r="R76" s="11" t="n"/>
      <c r="U76">
        <f>IF($A76="","",IF($AA76=1,Settings!$C$6,Settings!$C$7)*100)</f>
        <v/>
      </c>
      <c r="V76" s="7">
        <f>IF($A76="","",M76*U76/100)</f>
        <v/>
      </c>
      <c r="W76" s="7">
        <f>IF($A76="","",M76-V76)</f>
        <v/>
      </c>
      <c r="X76" s="7">
        <f>IF($A76="","",W76-F76)</f>
        <v/>
      </c>
      <c r="Y76">
        <f>IF($A76="","",IF(COUNTIF($A$2:$A76,$A76)=1,1,0))</f>
        <v/>
      </c>
      <c r="Z76">
        <f>IF($Y76=1,SUMPRODUCT(--($AB$2:$AB$501&lt;$AB76))+1,"")</f>
        <v/>
      </c>
      <c r="AA76">
        <f>IF($A76="","",IF(OR($T76=TRUE(),$T76="TRUE"),1,0))</f>
        <v/>
      </c>
      <c r="AB76">
        <f>IF($Y76=1,IFERROR(VALUE(MID($A76,2,20)),1000000000)+ROW()/100000,"")</f>
        <v/>
      </c>
    </row>
    <row r="77">
      <c r="F77" s="7">
        <f>IF($A77="","",E77*M77/100)</f>
        <v/>
      </c>
      <c r="I77" s="7" t="n"/>
      <c r="J77" s="7" t="n"/>
      <c r="L77" s="7" t="n"/>
      <c r="M77" s="7" t="n"/>
      <c r="N77" s="7" t="n"/>
      <c r="O77" s="7" t="n"/>
      <c r="R77" s="11" t="n"/>
      <c r="U77">
        <f>IF($A77="","",IF($AA77=1,Settings!$C$6,Settings!$C$7)*100)</f>
        <v/>
      </c>
      <c r="V77" s="7">
        <f>IF($A77="","",M77*U77/100)</f>
        <v/>
      </c>
      <c r="W77" s="7">
        <f>IF($A77="","",M77-V77)</f>
        <v/>
      </c>
      <c r="X77" s="7">
        <f>IF($A77="","",W77-F77)</f>
        <v/>
      </c>
      <c r="Y77">
        <f>IF($A77="","",IF(COUNTIF($A$2:$A77,$A77)=1,1,0))</f>
        <v/>
      </c>
      <c r="Z77">
        <f>IF($Y77=1,SUMPRODUCT(--($AB$2:$AB$501&lt;$AB77))+1,"")</f>
        <v/>
      </c>
      <c r="AA77">
        <f>IF($A77="","",IF(OR($T77=TRUE(),$T77="TRUE"),1,0))</f>
        <v/>
      </c>
      <c r="AB77">
        <f>IF($Y77=1,IFERROR(VALUE(MID($A77,2,20)),1000000000)+ROW()/100000,"")</f>
        <v/>
      </c>
    </row>
    <row r="78">
      <c r="F78" s="7">
        <f>IF($A78="","",E78*M78/100)</f>
        <v/>
      </c>
      <c r="I78" s="7" t="n"/>
      <c r="J78" s="7" t="n"/>
      <c r="L78" s="7" t="n"/>
      <c r="M78" s="7" t="n"/>
      <c r="N78" s="7" t="n"/>
      <c r="O78" s="7" t="n"/>
      <c r="R78" s="11" t="n"/>
      <c r="U78">
        <f>IF($A78="","",IF($AA78=1,Settings!$C$6,Settings!$C$7)*100)</f>
        <v/>
      </c>
      <c r="V78" s="7">
        <f>IF($A78="","",M78*U78/100)</f>
        <v/>
      </c>
      <c r="W78" s="7">
        <f>IF($A78="","",M78-V78)</f>
        <v/>
      </c>
      <c r="X78" s="7">
        <f>IF($A78="","",W78-F78)</f>
        <v/>
      </c>
      <c r="Y78">
        <f>IF($A78="","",IF(COUNTIF($A$2:$A78,$A78)=1,1,0))</f>
        <v/>
      </c>
      <c r="Z78">
        <f>IF($Y78=1,SUMPRODUCT(--($AB$2:$AB$501&lt;$AB78))+1,"")</f>
        <v/>
      </c>
      <c r="AA78">
        <f>IF($A78="","",IF(OR($T78=TRUE(),$T78="TRUE"),1,0))</f>
        <v/>
      </c>
      <c r="AB78">
        <f>IF($Y78=1,IFERROR(VALUE(MID($A78,2,20)),1000000000)+ROW()/100000,"")</f>
        <v/>
      </c>
    </row>
    <row r="79">
      <c r="F79" s="7">
        <f>IF($A79="","",E79*M79/100)</f>
        <v/>
      </c>
      <c r="I79" s="7" t="n"/>
      <c r="J79" s="7" t="n"/>
      <c r="L79" s="7" t="n"/>
      <c r="M79" s="7" t="n"/>
      <c r="N79" s="7" t="n"/>
      <c r="O79" s="7" t="n"/>
      <c r="R79" s="11" t="n"/>
      <c r="U79">
        <f>IF($A79="","",IF($AA79=1,Settings!$C$6,Settings!$C$7)*100)</f>
        <v/>
      </c>
      <c r="V79" s="7">
        <f>IF($A79="","",M79*U79/100)</f>
        <v/>
      </c>
      <c r="W79" s="7">
        <f>IF($A79="","",M79-V79)</f>
        <v/>
      </c>
      <c r="X79" s="7">
        <f>IF($A79="","",W79-F79)</f>
        <v/>
      </c>
      <c r="Y79">
        <f>IF($A79="","",IF(COUNTIF($A$2:$A79,$A79)=1,1,0))</f>
        <v/>
      </c>
      <c r="Z79">
        <f>IF($Y79=1,SUMPRODUCT(--($AB$2:$AB$501&lt;$AB79))+1,"")</f>
        <v/>
      </c>
      <c r="AA79">
        <f>IF($A79="","",IF(OR($T79=TRUE(),$T79="TRUE"),1,0))</f>
        <v/>
      </c>
      <c r="AB79">
        <f>IF($Y79=1,IFERROR(VALUE(MID($A79,2,20)),1000000000)+ROW()/100000,"")</f>
        <v/>
      </c>
    </row>
    <row r="80">
      <c r="F80" s="7">
        <f>IF($A80="","",E80*M80/100)</f>
        <v/>
      </c>
      <c r="I80" s="7" t="n"/>
      <c r="J80" s="7" t="n"/>
      <c r="L80" s="7" t="n"/>
      <c r="M80" s="7" t="n"/>
      <c r="N80" s="7" t="n"/>
      <c r="O80" s="7" t="n"/>
      <c r="R80" s="11" t="n"/>
      <c r="U80">
        <f>IF($A80="","",IF($AA80=1,Settings!$C$6,Settings!$C$7)*100)</f>
        <v/>
      </c>
      <c r="V80" s="7">
        <f>IF($A80="","",M80*U80/100)</f>
        <v/>
      </c>
      <c r="W80" s="7">
        <f>IF($A80="","",M80-V80)</f>
        <v/>
      </c>
      <c r="X80" s="7">
        <f>IF($A80="","",W80-F80)</f>
        <v/>
      </c>
      <c r="Y80">
        <f>IF($A80="","",IF(COUNTIF($A$2:$A80,$A80)=1,1,0))</f>
        <v/>
      </c>
      <c r="Z80">
        <f>IF($Y80=1,SUMPRODUCT(--($AB$2:$AB$501&lt;$AB80))+1,"")</f>
        <v/>
      </c>
      <c r="AA80">
        <f>IF($A80="","",IF(OR($T80=TRUE(),$T80="TRUE"),1,0))</f>
        <v/>
      </c>
      <c r="AB80">
        <f>IF($Y80=1,IFERROR(VALUE(MID($A80,2,20)),1000000000)+ROW()/100000,"")</f>
        <v/>
      </c>
    </row>
    <row r="81">
      <c r="F81" s="7">
        <f>IF($A81="","",E81*M81/100)</f>
        <v/>
      </c>
      <c r="I81" s="7" t="n"/>
      <c r="J81" s="7" t="n"/>
      <c r="L81" s="7" t="n"/>
      <c r="M81" s="7" t="n"/>
      <c r="N81" s="7" t="n"/>
      <c r="O81" s="7" t="n"/>
      <c r="R81" s="11" t="n"/>
      <c r="U81">
        <f>IF($A81="","",IF($AA81=1,Settings!$C$6,Settings!$C$7)*100)</f>
        <v/>
      </c>
      <c r="V81" s="7">
        <f>IF($A81="","",M81*U81/100)</f>
        <v/>
      </c>
      <c r="W81" s="7">
        <f>IF($A81="","",M81-V81)</f>
        <v/>
      </c>
      <c r="X81" s="7">
        <f>IF($A81="","",W81-F81)</f>
        <v/>
      </c>
      <c r="Y81">
        <f>IF($A81="","",IF(COUNTIF($A$2:$A81,$A81)=1,1,0))</f>
        <v/>
      </c>
      <c r="Z81">
        <f>IF($Y81=1,SUMPRODUCT(--($AB$2:$AB$501&lt;$AB81))+1,"")</f>
        <v/>
      </c>
      <c r="AA81">
        <f>IF($A81="","",IF(OR($T81=TRUE(),$T81="TRUE"),1,0))</f>
        <v/>
      </c>
      <c r="AB81">
        <f>IF($Y81=1,IFERROR(VALUE(MID($A81,2,20)),1000000000)+ROW()/100000,"")</f>
        <v/>
      </c>
    </row>
    <row r="82">
      <c r="F82" s="7">
        <f>IF($A82="","",E82*M82/100)</f>
        <v/>
      </c>
      <c r="I82" s="7" t="n"/>
      <c r="J82" s="7" t="n"/>
      <c r="L82" s="7" t="n"/>
      <c r="M82" s="7" t="n"/>
      <c r="N82" s="7" t="n"/>
      <c r="O82" s="7" t="n"/>
      <c r="R82" s="11" t="n"/>
      <c r="U82">
        <f>IF($A82="","",IF($AA82=1,Settings!$C$6,Settings!$C$7)*100)</f>
        <v/>
      </c>
      <c r="V82" s="7">
        <f>IF($A82="","",M82*U82/100)</f>
        <v/>
      </c>
      <c r="W82" s="7">
        <f>IF($A82="","",M82-V82)</f>
        <v/>
      </c>
      <c r="X82" s="7">
        <f>IF($A82="","",W82-F82)</f>
        <v/>
      </c>
      <c r="Y82">
        <f>IF($A82="","",IF(COUNTIF($A$2:$A82,$A82)=1,1,0))</f>
        <v/>
      </c>
      <c r="Z82">
        <f>IF($Y82=1,SUMPRODUCT(--($AB$2:$AB$501&lt;$AB82))+1,"")</f>
        <v/>
      </c>
      <c r="AA82">
        <f>IF($A82="","",IF(OR($T82=TRUE(),$T82="TRUE"),1,0))</f>
        <v/>
      </c>
      <c r="AB82">
        <f>IF($Y82=1,IFERROR(VALUE(MID($A82,2,20)),1000000000)+ROW()/100000,"")</f>
        <v/>
      </c>
    </row>
    <row r="83">
      <c r="F83" s="7">
        <f>IF($A83="","",E83*M83/100)</f>
        <v/>
      </c>
      <c r="I83" s="7" t="n"/>
      <c r="J83" s="7" t="n"/>
      <c r="L83" s="7" t="n"/>
      <c r="M83" s="7" t="n"/>
      <c r="N83" s="7" t="n"/>
      <c r="O83" s="7" t="n"/>
      <c r="R83" s="11" t="n"/>
      <c r="U83">
        <f>IF($A83="","",IF($AA83=1,Settings!$C$6,Settings!$C$7)*100)</f>
        <v/>
      </c>
      <c r="V83" s="7">
        <f>IF($A83="","",M83*U83/100)</f>
        <v/>
      </c>
      <c r="W83" s="7">
        <f>IF($A83="","",M83-V83)</f>
        <v/>
      </c>
      <c r="X83" s="7">
        <f>IF($A83="","",W83-F83)</f>
        <v/>
      </c>
      <c r="Y83">
        <f>IF($A83="","",IF(COUNTIF($A$2:$A83,$A83)=1,1,0))</f>
        <v/>
      </c>
      <c r="Z83">
        <f>IF($Y83=1,SUMPRODUCT(--($AB$2:$AB$501&lt;$AB83))+1,"")</f>
        <v/>
      </c>
      <c r="AA83">
        <f>IF($A83="","",IF(OR($T83=TRUE(),$T83="TRUE"),1,0))</f>
        <v/>
      </c>
      <c r="AB83">
        <f>IF($Y83=1,IFERROR(VALUE(MID($A83,2,20)),1000000000)+ROW()/100000,"")</f>
        <v/>
      </c>
    </row>
    <row r="84">
      <c r="F84" s="7">
        <f>IF($A84="","",E84*M84/100)</f>
        <v/>
      </c>
      <c r="I84" s="7" t="n"/>
      <c r="J84" s="7" t="n"/>
      <c r="L84" s="7" t="n"/>
      <c r="M84" s="7" t="n"/>
      <c r="N84" s="7" t="n"/>
      <c r="O84" s="7" t="n"/>
      <c r="R84" s="11" t="n"/>
      <c r="U84">
        <f>IF($A84="","",IF($AA84=1,Settings!$C$6,Settings!$C$7)*100)</f>
        <v/>
      </c>
      <c r="V84" s="7">
        <f>IF($A84="","",M84*U84/100)</f>
        <v/>
      </c>
      <c r="W84" s="7">
        <f>IF($A84="","",M84-V84)</f>
        <v/>
      </c>
      <c r="X84" s="7">
        <f>IF($A84="","",W84-F84)</f>
        <v/>
      </c>
      <c r="Y84">
        <f>IF($A84="","",IF(COUNTIF($A$2:$A84,$A84)=1,1,0))</f>
        <v/>
      </c>
      <c r="Z84">
        <f>IF($Y84=1,SUMPRODUCT(--($AB$2:$AB$501&lt;$AB84))+1,"")</f>
        <v/>
      </c>
      <c r="AA84">
        <f>IF($A84="","",IF(OR($T84=TRUE(),$T84="TRUE"),1,0))</f>
        <v/>
      </c>
      <c r="AB84">
        <f>IF($Y84=1,IFERROR(VALUE(MID($A84,2,20)),1000000000)+ROW()/100000,"")</f>
        <v/>
      </c>
    </row>
    <row r="85">
      <c r="F85" s="7">
        <f>IF($A85="","",E85*M85/100)</f>
        <v/>
      </c>
      <c r="I85" s="7" t="n"/>
      <c r="J85" s="7" t="n"/>
      <c r="L85" s="7" t="n"/>
      <c r="M85" s="7" t="n"/>
      <c r="N85" s="7" t="n"/>
      <c r="O85" s="7" t="n"/>
      <c r="R85" s="11" t="n"/>
      <c r="U85">
        <f>IF($A85="","",IF($AA85=1,Settings!$C$6,Settings!$C$7)*100)</f>
        <v/>
      </c>
      <c r="V85" s="7">
        <f>IF($A85="","",M85*U85/100)</f>
        <v/>
      </c>
      <c r="W85" s="7">
        <f>IF($A85="","",M85-V85)</f>
        <v/>
      </c>
      <c r="X85" s="7">
        <f>IF($A85="","",W85-F85)</f>
        <v/>
      </c>
      <c r="Y85">
        <f>IF($A85="","",IF(COUNTIF($A$2:$A85,$A85)=1,1,0))</f>
        <v/>
      </c>
      <c r="Z85">
        <f>IF($Y85=1,SUMPRODUCT(--($AB$2:$AB$501&lt;$AB85))+1,"")</f>
        <v/>
      </c>
      <c r="AA85">
        <f>IF($A85="","",IF(OR($T85=TRUE(),$T85="TRUE"),1,0))</f>
        <v/>
      </c>
      <c r="AB85">
        <f>IF($Y85=1,IFERROR(VALUE(MID($A85,2,20)),1000000000)+ROW()/100000,"")</f>
        <v/>
      </c>
    </row>
    <row r="86">
      <c r="F86" s="7">
        <f>IF($A86="","",E86*M86/100)</f>
        <v/>
      </c>
      <c r="I86" s="7" t="n"/>
      <c r="J86" s="7" t="n"/>
      <c r="L86" s="7" t="n"/>
      <c r="M86" s="7" t="n"/>
      <c r="N86" s="7" t="n"/>
      <c r="O86" s="7" t="n"/>
      <c r="R86" s="11" t="n"/>
      <c r="U86">
        <f>IF($A86="","",IF($AA86=1,Settings!$C$6,Settings!$C$7)*100)</f>
        <v/>
      </c>
      <c r="V86" s="7">
        <f>IF($A86="","",M86*U86/100)</f>
        <v/>
      </c>
      <c r="W86" s="7">
        <f>IF($A86="","",M86-V86)</f>
        <v/>
      </c>
      <c r="X86" s="7">
        <f>IF($A86="","",W86-F86)</f>
        <v/>
      </c>
      <c r="Y86">
        <f>IF($A86="","",IF(COUNTIF($A$2:$A86,$A86)=1,1,0))</f>
        <v/>
      </c>
      <c r="Z86">
        <f>IF($Y86=1,SUMPRODUCT(--($AB$2:$AB$501&lt;$AB86))+1,"")</f>
        <v/>
      </c>
      <c r="AA86">
        <f>IF($A86="","",IF(OR($T86=TRUE(),$T86="TRUE"),1,0))</f>
        <v/>
      </c>
      <c r="AB86">
        <f>IF($Y86=1,IFERROR(VALUE(MID($A86,2,20)),1000000000)+ROW()/100000,"")</f>
        <v/>
      </c>
    </row>
    <row r="87">
      <c r="F87" s="7">
        <f>IF($A87="","",E87*M87/100)</f>
        <v/>
      </c>
      <c r="I87" s="7" t="n"/>
      <c r="J87" s="7" t="n"/>
      <c r="L87" s="7" t="n"/>
      <c r="M87" s="7" t="n"/>
      <c r="N87" s="7" t="n"/>
      <c r="O87" s="7" t="n"/>
      <c r="R87" s="11" t="n"/>
      <c r="U87">
        <f>IF($A87="","",IF($AA87=1,Settings!$C$6,Settings!$C$7)*100)</f>
        <v/>
      </c>
      <c r="V87" s="7">
        <f>IF($A87="","",M87*U87/100)</f>
        <v/>
      </c>
      <c r="W87" s="7">
        <f>IF($A87="","",M87-V87)</f>
        <v/>
      </c>
      <c r="X87" s="7">
        <f>IF($A87="","",W87-F87)</f>
        <v/>
      </c>
      <c r="Y87">
        <f>IF($A87="","",IF(COUNTIF($A$2:$A87,$A87)=1,1,0))</f>
        <v/>
      </c>
      <c r="Z87">
        <f>IF($Y87=1,SUMPRODUCT(--($AB$2:$AB$501&lt;$AB87))+1,"")</f>
        <v/>
      </c>
      <c r="AA87">
        <f>IF($A87="","",IF(OR($T87=TRUE(),$T87="TRUE"),1,0))</f>
        <v/>
      </c>
      <c r="AB87">
        <f>IF($Y87=1,IFERROR(VALUE(MID($A87,2,20)),1000000000)+ROW()/100000,"")</f>
        <v/>
      </c>
    </row>
    <row r="88">
      <c r="F88" s="7">
        <f>IF($A88="","",E88*M88/100)</f>
        <v/>
      </c>
      <c r="I88" s="7" t="n"/>
      <c r="J88" s="7" t="n"/>
      <c r="L88" s="7" t="n"/>
      <c r="M88" s="7" t="n"/>
      <c r="N88" s="7" t="n"/>
      <c r="O88" s="7" t="n"/>
      <c r="R88" s="11" t="n"/>
      <c r="U88">
        <f>IF($A88="","",IF($AA88=1,Settings!$C$6,Settings!$C$7)*100)</f>
        <v/>
      </c>
      <c r="V88" s="7">
        <f>IF($A88="","",M88*U88/100)</f>
        <v/>
      </c>
      <c r="W88" s="7">
        <f>IF($A88="","",M88-V88)</f>
        <v/>
      </c>
      <c r="X88" s="7">
        <f>IF($A88="","",W88-F88)</f>
        <v/>
      </c>
      <c r="Y88">
        <f>IF($A88="","",IF(COUNTIF($A$2:$A88,$A88)=1,1,0))</f>
        <v/>
      </c>
      <c r="Z88">
        <f>IF($Y88=1,SUMPRODUCT(--($AB$2:$AB$501&lt;$AB88))+1,"")</f>
        <v/>
      </c>
      <c r="AA88">
        <f>IF($A88="","",IF(OR($T88=TRUE(),$T88="TRUE"),1,0))</f>
        <v/>
      </c>
      <c r="AB88">
        <f>IF($Y88=1,IFERROR(VALUE(MID($A88,2,20)),1000000000)+ROW()/100000,"")</f>
        <v/>
      </c>
    </row>
    <row r="89">
      <c r="F89" s="7">
        <f>IF($A89="","",E89*M89/100)</f>
        <v/>
      </c>
      <c r="I89" s="7" t="n"/>
      <c r="J89" s="7" t="n"/>
      <c r="L89" s="7" t="n"/>
      <c r="M89" s="7" t="n"/>
      <c r="N89" s="7" t="n"/>
      <c r="O89" s="7" t="n"/>
      <c r="R89" s="11" t="n"/>
      <c r="U89">
        <f>IF($A89="","",IF($AA89=1,Settings!$C$6,Settings!$C$7)*100)</f>
        <v/>
      </c>
      <c r="V89" s="7">
        <f>IF($A89="","",M89*U89/100)</f>
        <v/>
      </c>
      <c r="W89" s="7">
        <f>IF($A89="","",M89-V89)</f>
        <v/>
      </c>
      <c r="X89" s="7">
        <f>IF($A89="","",W89-F89)</f>
        <v/>
      </c>
      <c r="Y89">
        <f>IF($A89="","",IF(COUNTIF($A$2:$A89,$A89)=1,1,0))</f>
        <v/>
      </c>
      <c r="Z89">
        <f>IF($Y89=1,SUMPRODUCT(--($AB$2:$AB$501&lt;$AB89))+1,"")</f>
        <v/>
      </c>
      <c r="AA89">
        <f>IF($A89="","",IF(OR($T89=TRUE(),$T89="TRUE"),1,0))</f>
        <v/>
      </c>
      <c r="AB89">
        <f>IF($Y89=1,IFERROR(VALUE(MID($A89,2,20)),1000000000)+ROW()/100000,"")</f>
        <v/>
      </c>
    </row>
    <row r="90">
      <c r="F90" s="7">
        <f>IF($A90="","",E90*M90/100)</f>
        <v/>
      </c>
      <c r="I90" s="7" t="n"/>
      <c r="J90" s="7" t="n"/>
      <c r="L90" s="7" t="n"/>
      <c r="M90" s="7" t="n"/>
      <c r="N90" s="7" t="n"/>
      <c r="O90" s="7" t="n"/>
      <c r="R90" s="11" t="n"/>
      <c r="U90">
        <f>IF($A90="","",IF($AA90=1,Settings!$C$6,Settings!$C$7)*100)</f>
        <v/>
      </c>
      <c r="V90" s="7">
        <f>IF($A90="","",M90*U90/100)</f>
        <v/>
      </c>
      <c r="W90" s="7">
        <f>IF($A90="","",M90-V90)</f>
        <v/>
      </c>
      <c r="X90" s="7">
        <f>IF($A90="","",W90-F90)</f>
        <v/>
      </c>
      <c r="Y90">
        <f>IF($A90="","",IF(COUNTIF($A$2:$A90,$A90)=1,1,0))</f>
        <v/>
      </c>
      <c r="Z90">
        <f>IF($Y90=1,SUMPRODUCT(--($AB$2:$AB$501&lt;$AB90))+1,"")</f>
        <v/>
      </c>
      <c r="AA90">
        <f>IF($A90="","",IF(OR($T90=TRUE(),$T90="TRUE"),1,0))</f>
        <v/>
      </c>
      <c r="AB90">
        <f>IF($Y90=1,IFERROR(VALUE(MID($A90,2,20)),1000000000)+ROW()/100000,"")</f>
        <v/>
      </c>
    </row>
    <row r="91">
      <c r="F91" s="7">
        <f>IF($A91="","",E91*M91/100)</f>
        <v/>
      </c>
      <c r="I91" s="7" t="n"/>
      <c r="J91" s="7" t="n"/>
      <c r="L91" s="7" t="n"/>
      <c r="M91" s="7" t="n"/>
      <c r="N91" s="7" t="n"/>
      <c r="O91" s="7" t="n"/>
      <c r="R91" s="11" t="n"/>
      <c r="U91">
        <f>IF($A91="","",IF($AA91=1,Settings!$C$6,Settings!$C$7)*100)</f>
        <v/>
      </c>
      <c r="V91" s="7">
        <f>IF($A91="","",M91*U91/100)</f>
        <v/>
      </c>
      <c r="W91" s="7">
        <f>IF($A91="","",M91-V91)</f>
        <v/>
      </c>
      <c r="X91" s="7">
        <f>IF($A91="","",W91-F91)</f>
        <v/>
      </c>
      <c r="Y91">
        <f>IF($A91="","",IF(COUNTIF($A$2:$A91,$A91)=1,1,0))</f>
        <v/>
      </c>
      <c r="Z91">
        <f>IF($Y91=1,SUMPRODUCT(--($AB$2:$AB$501&lt;$AB91))+1,"")</f>
        <v/>
      </c>
      <c r="AA91">
        <f>IF($A91="","",IF(OR($T91=TRUE(),$T91="TRUE"),1,0))</f>
        <v/>
      </c>
      <c r="AB91">
        <f>IF($Y91=1,IFERROR(VALUE(MID($A91,2,20)),1000000000)+ROW()/100000,"")</f>
        <v/>
      </c>
    </row>
    <row r="92">
      <c r="F92" s="7">
        <f>IF($A92="","",E92*M92/100)</f>
        <v/>
      </c>
      <c r="I92" s="7" t="n"/>
      <c r="J92" s="7" t="n"/>
      <c r="L92" s="7" t="n"/>
      <c r="M92" s="7" t="n"/>
      <c r="N92" s="7" t="n"/>
      <c r="O92" s="7" t="n"/>
      <c r="R92" s="11" t="n"/>
      <c r="U92">
        <f>IF($A92="","",IF($AA92=1,Settings!$C$6,Settings!$C$7)*100)</f>
        <v/>
      </c>
      <c r="V92" s="7">
        <f>IF($A92="","",M92*U92/100)</f>
        <v/>
      </c>
      <c r="W92" s="7">
        <f>IF($A92="","",M92-V92)</f>
        <v/>
      </c>
      <c r="X92" s="7">
        <f>IF($A92="","",W92-F92)</f>
        <v/>
      </c>
      <c r="Y92">
        <f>IF($A92="","",IF(COUNTIF($A$2:$A92,$A92)=1,1,0))</f>
        <v/>
      </c>
      <c r="Z92">
        <f>IF($Y92=1,SUMPRODUCT(--($AB$2:$AB$501&lt;$AB92))+1,"")</f>
        <v/>
      </c>
      <c r="AA92">
        <f>IF($A92="","",IF(OR($T92=TRUE(),$T92="TRUE"),1,0))</f>
        <v/>
      </c>
      <c r="AB92">
        <f>IF($Y92=1,IFERROR(VALUE(MID($A92,2,20)),1000000000)+ROW()/100000,"")</f>
        <v/>
      </c>
    </row>
    <row r="93">
      <c r="F93" s="7">
        <f>IF($A93="","",E93*M93/100)</f>
        <v/>
      </c>
      <c r="I93" s="7" t="n"/>
      <c r="J93" s="7" t="n"/>
      <c r="L93" s="7" t="n"/>
      <c r="M93" s="7" t="n"/>
      <c r="N93" s="7" t="n"/>
      <c r="O93" s="7" t="n"/>
      <c r="R93" s="11" t="n"/>
      <c r="U93">
        <f>IF($A93="","",IF($AA93=1,Settings!$C$6,Settings!$C$7)*100)</f>
        <v/>
      </c>
      <c r="V93" s="7">
        <f>IF($A93="","",M93*U93/100)</f>
        <v/>
      </c>
      <c r="W93" s="7">
        <f>IF($A93="","",M93-V93)</f>
        <v/>
      </c>
      <c r="X93" s="7">
        <f>IF($A93="","",W93-F93)</f>
        <v/>
      </c>
      <c r="Y93">
        <f>IF($A93="","",IF(COUNTIF($A$2:$A93,$A93)=1,1,0))</f>
        <v/>
      </c>
      <c r="Z93">
        <f>IF($Y93=1,SUMPRODUCT(--($AB$2:$AB$501&lt;$AB93))+1,"")</f>
        <v/>
      </c>
      <c r="AA93">
        <f>IF($A93="","",IF(OR($T93=TRUE(),$T93="TRUE"),1,0))</f>
        <v/>
      </c>
      <c r="AB93">
        <f>IF($Y93=1,IFERROR(VALUE(MID($A93,2,20)),1000000000)+ROW()/100000,"")</f>
        <v/>
      </c>
    </row>
    <row r="94">
      <c r="F94" s="7">
        <f>IF($A94="","",E94*M94/100)</f>
        <v/>
      </c>
      <c r="I94" s="7" t="n"/>
      <c r="J94" s="7" t="n"/>
      <c r="L94" s="7" t="n"/>
      <c r="M94" s="7" t="n"/>
      <c r="N94" s="7" t="n"/>
      <c r="O94" s="7" t="n"/>
      <c r="R94" s="11" t="n"/>
      <c r="U94">
        <f>IF($A94="","",IF($AA94=1,Settings!$C$6,Settings!$C$7)*100)</f>
        <v/>
      </c>
      <c r="V94" s="7">
        <f>IF($A94="","",M94*U94/100)</f>
        <v/>
      </c>
      <c r="W94" s="7">
        <f>IF($A94="","",M94-V94)</f>
        <v/>
      </c>
      <c r="X94" s="7">
        <f>IF($A94="","",W94-F94)</f>
        <v/>
      </c>
      <c r="Y94">
        <f>IF($A94="","",IF(COUNTIF($A$2:$A94,$A94)=1,1,0))</f>
        <v/>
      </c>
      <c r="Z94">
        <f>IF($Y94=1,SUMPRODUCT(--($AB$2:$AB$501&lt;$AB94))+1,"")</f>
        <v/>
      </c>
      <c r="AA94">
        <f>IF($A94="","",IF(OR($T94=TRUE(),$T94="TRUE"),1,0))</f>
        <v/>
      </c>
      <c r="AB94">
        <f>IF($Y94=1,IFERROR(VALUE(MID($A94,2,20)),1000000000)+ROW()/100000,"")</f>
        <v/>
      </c>
    </row>
    <row r="95">
      <c r="F95" s="7">
        <f>IF($A95="","",E95*M95/100)</f>
        <v/>
      </c>
      <c r="I95" s="7" t="n"/>
      <c r="J95" s="7" t="n"/>
      <c r="L95" s="7" t="n"/>
      <c r="M95" s="7" t="n"/>
      <c r="N95" s="7" t="n"/>
      <c r="O95" s="7" t="n"/>
      <c r="R95" s="11" t="n"/>
      <c r="U95">
        <f>IF($A95="","",IF($AA95=1,Settings!$C$6,Settings!$C$7)*100)</f>
        <v/>
      </c>
      <c r="V95" s="7">
        <f>IF($A95="","",M95*U95/100)</f>
        <v/>
      </c>
      <c r="W95" s="7">
        <f>IF($A95="","",M95-V95)</f>
        <v/>
      </c>
      <c r="X95" s="7">
        <f>IF($A95="","",W95-F95)</f>
        <v/>
      </c>
      <c r="Y95">
        <f>IF($A95="","",IF(COUNTIF($A$2:$A95,$A95)=1,1,0))</f>
        <v/>
      </c>
      <c r="Z95">
        <f>IF($Y95=1,SUMPRODUCT(--($AB$2:$AB$501&lt;$AB95))+1,"")</f>
        <v/>
      </c>
      <c r="AA95">
        <f>IF($A95="","",IF(OR($T95=TRUE(),$T95="TRUE"),1,0))</f>
        <v/>
      </c>
      <c r="AB95">
        <f>IF($Y95=1,IFERROR(VALUE(MID($A95,2,20)),1000000000)+ROW()/100000,"")</f>
        <v/>
      </c>
    </row>
    <row r="96">
      <c r="F96" s="7">
        <f>IF($A96="","",E96*M96/100)</f>
        <v/>
      </c>
      <c r="I96" s="7" t="n"/>
      <c r="J96" s="7" t="n"/>
      <c r="L96" s="7" t="n"/>
      <c r="M96" s="7" t="n"/>
      <c r="N96" s="7" t="n"/>
      <c r="O96" s="7" t="n"/>
      <c r="R96" s="11" t="n"/>
      <c r="U96">
        <f>IF($A96="","",IF($AA96=1,Settings!$C$6,Settings!$C$7)*100)</f>
        <v/>
      </c>
      <c r="V96" s="7">
        <f>IF($A96="","",M96*U96/100)</f>
        <v/>
      </c>
      <c r="W96" s="7">
        <f>IF($A96="","",M96-V96)</f>
        <v/>
      </c>
      <c r="X96" s="7">
        <f>IF($A96="","",W96-F96)</f>
        <v/>
      </c>
      <c r="Y96">
        <f>IF($A96="","",IF(COUNTIF($A$2:$A96,$A96)=1,1,0))</f>
        <v/>
      </c>
      <c r="Z96">
        <f>IF($Y96=1,SUMPRODUCT(--($AB$2:$AB$501&lt;$AB96))+1,"")</f>
        <v/>
      </c>
      <c r="AA96">
        <f>IF($A96="","",IF(OR($T96=TRUE(),$T96="TRUE"),1,0))</f>
        <v/>
      </c>
      <c r="AB96">
        <f>IF($Y96=1,IFERROR(VALUE(MID($A96,2,20)),1000000000)+ROW()/100000,"")</f>
        <v/>
      </c>
    </row>
    <row r="97">
      <c r="F97" s="7">
        <f>IF($A97="","",E97*M97/100)</f>
        <v/>
      </c>
      <c r="I97" s="7" t="n"/>
      <c r="J97" s="7" t="n"/>
      <c r="L97" s="7" t="n"/>
      <c r="M97" s="7" t="n"/>
      <c r="N97" s="7" t="n"/>
      <c r="O97" s="7" t="n"/>
      <c r="R97" s="11" t="n"/>
      <c r="U97">
        <f>IF($A97="","",IF($AA97=1,Settings!$C$6,Settings!$C$7)*100)</f>
        <v/>
      </c>
      <c r="V97" s="7">
        <f>IF($A97="","",M97*U97/100)</f>
        <v/>
      </c>
      <c r="W97" s="7">
        <f>IF($A97="","",M97-V97)</f>
        <v/>
      </c>
      <c r="X97" s="7">
        <f>IF($A97="","",W97-F97)</f>
        <v/>
      </c>
      <c r="Y97">
        <f>IF($A97="","",IF(COUNTIF($A$2:$A97,$A97)=1,1,0))</f>
        <v/>
      </c>
      <c r="Z97">
        <f>IF($Y97=1,SUMPRODUCT(--($AB$2:$AB$501&lt;$AB97))+1,"")</f>
        <v/>
      </c>
      <c r="AA97">
        <f>IF($A97="","",IF(OR($T97=TRUE(),$T97="TRUE"),1,0))</f>
        <v/>
      </c>
      <c r="AB97">
        <f>IF($Y97=1,IFERROR(VALUE(MID($A97,2,20)),1000000000)+ROW()/100000,"")</f>
        <v/>
      </c>
    </row>
    <row r="98">
      <c r="F98" s="7">
        <f>IF($A98="","",E98*M98/100)</f>
        <v/>
      </c>
      <c r="I98" s="7" t="n"/>
      <c r="J98" s="7" t="n"/>
      <c r="L98" s="7" t="n"/>
      <c r="M98" s="7" t="n"/>
      <c r="N98" s="7" t="n"/>
      <c r="O98" s="7" t="n"/>
      <c r="R98" s="11" t="n"/>
      <c r="U98">
        <f>IF($A98="","",IF($AA98=1,Settings!$C$6,Settings!$C$7)*100)</f>
        <v/>
      </c>
      <c r="V98" s="7">
        <f>IF($A98="","",M98*U98/100)</f>
        <v/>
      </c>
      <c r="W98" s="7">
        <f>IF($A98="","",M98-V98)</f>
        <v/>
      </c>
      <c r="X98" s="7">
        <f>IF($A98="","",W98-F98)</f>
        <v/>
      </c>
      <c r="Y98">
        <f>IF($A98="","",IF(COUNTIF($A$2:$A98,$A98)=1,1,0))</f>
        <v/>
      </c>
      <c r="Z98">
        <f>IF($Y98=1,SUMPRODUCT(--($AB$2:$AB$501&lt;$AB98))+1,"")</f>
        <v/>
      </c>
      <c r="AA98">
        <f>IF($A98="","",IF(OR($T98=TRUE(),$T98="TRUE"),1,0))</f>
        <v/>
      </c>
      <c r="AB98">
        <f>IF($Y98=1,IFERROR(VALUE(MID($A98,2,20)),1000000000)+ROW()/100000,"")</f>
        <v/>
      </c>
    </row>
    <row r="99">
      <c r="F99" s="7">
        <f>IF($A99="","",E99*M99/100)</f>
        <v/>
      </c>
      <c r="I99" s="7" t="n"/>
      <c r="J99" s="7" t="n"/>
      <c r="L99" s="7" t="n"/>
      <c r="M99" s="7" t="n"/>
      <c r="N99" s="7" t="n"/>
      <c r="O99" s="7" t="n"/>
      <c r="R99" s="11" t="n"/>
      <c r="U99">
        <f>IF($A99="","",IF($AA99=1,Settings!$C$6,Settings!$C$7)*100)</f>
        <v/>
      </c>
      <c r="V99" s="7">
        <f>IF($A99="","",M99*U99/100)</f>
        <v/>
      </c>
      <c r="W99" s="7">
        <f>IF($A99="","",M99-V99)</f>
        <v/>
      </c>
      <c r="X99" s="7">
        <f>IF($A99="","",W99-F99)</f>
        <v/>
      </c>
      <c r="Y99">
        <f>IF($A99="","",IF(COUNTIF($A$2:$A99,$A99)=1,1,0))</f>
        <v/>
      </c>
      <c r="Z99">
        <f>IF($Y99=1,SUMPRODUCT(--($AB$2:$AB$501&lt;$AB99))+1,"")</f>
        <v/>
      </c>
      <c r="AA99">
        <f>IF($A99="","",IF(OR($T99=TRUE(),$T99="TRUE"),1,0))</f>
        <v/>
      </c>
      <c r="AB99">
        <f>IF($Y99=1,IFERROR(VALUE(MID($A99,2,20)),1000000000)+ROW()/100000,"")</f>
        <v/>
      </c>
    </row>
    <row r="100">
      <c r="F100" s="7">
        <f>IF($A100="","",E100*M100/100)</f>
        <v/>
      </c>
      <c r="I100" s="7" t="n"/>
      <c r="J100" s="7" t="n"/>
      <c r="L100" s="7" t="n"/>
      <c r="M100" s="7" t="n"/>
      <c r="N100" s="7" t="n"/>
      <c r="O100" s="7" t="n"/>
      <c r="R100" s="11" t="n"/>
      <c r="U100">
        <f>IF($A100="","",IF($AA100=1,Settings!$C$6,Settings!$C$7)*100)</f>
        <v/>
      </c>
      <c r="V100" s="7">
        <f>IF($A100="","",M100*U100/100)</f>
        <v/>
      </c>
      <c r="W100" s="7">
        <f>IF($A100="","",M100-V100)</f>
        <v/>
      </c>
      <c r="X100" s="7">
        <f>IF($A100="","",W100-F100)</f>
        <v/>
      </c>
      <c r="Y100">
        <f>IF($A100="","",IF(COUNTIF($A$2:$A100,$A100)=1,1,0))</f>
        <v/>
      </c>
      <c r="Z100">
        <f>IF($Y100=1,SUMPRODUCT(--($AB$2:$AB$501&lt;$AB100))+1,"")</f>
        <v/>
      </c>
      <c r="AA100">
        <f>IF($A100="","",IF(OR($T100=TRUE(),$T100="TRUE"),1,0))</f>
        <v/>
      </c>
      <c r="AB100">
        <f>IF($Y100=1,IFERROR(VALUE(MID($A100,2,20)),1000000000)+ROW()/100000,"")</f>
        <v/>
      </c>
    </row>
    <row r="101">
      <c r="F101" s="7">
        <f>IF($A101="","",E101*M101/100)</f>
        <v/>
      </c>
      <c r="I101" s="7" t="n"/>
      <c r="J101" s="7" t="n"/>
      <c r="L101" s="7" t="n"/>
      <c r="M101" s="7" t="n"/>
      <c r="N101" s="7" t="n"/>
      <c r="O101" s="7" t="n"/>
      <c r="R101" s="11" t="n"/>
      <c r="U101">
        <f>IF($A101="","",IF($AA101=1,Settings!$C$6,Settings!$C$7)*100)</f>
        <v/>
      </c>
      <c r="V101" s="7">
        <f>IF($A101="","",M101*U101/100)</f>
        <v/>
      </c>
      <c r="W101" s="7">
        <f>IF($A101="","",M101-V101)</f>
        <v/>
      </c>
      <c r="X101" s="7">
        <f>IF($A101="","",W101-F101)</f>
        <v/>
      </c>
      <c r="Y101">
        <f>IF($A101="","",IF(COUNTIF($A$2:$A101,$A101)=1,1,0))</f>
        <v/>
      </c>
      <c r="Z101">
        <f>IF($Y101=1,SUMPRODUCT(--($AB$2:$AB$501&lt;$AB101))+1,"")</f>
        <v/>
      </c>
      <c r="AA101">
        <f>IF($A101="","",IF(OR($T101=TRUE(),$T101="TRUE"),1,0))</f>
        <v/>
      </c>
      <c r="AB101">
        <f>IF($Y101=1,IFERROR(VALUE(MID($A101,2,20)),1000000000)+ROW()/100000,"")</f>
        <v/>
      </c>
    </row>
    <row r="102">
      <c r="F102" s="7">
        <f>IF($A102="","",E102*M102/100)</f>
        <v/>
      </c>
      <c r="I102" s="7" t="n"/>
      <c r="J102" s="7" t="n"/>
      <c r="L102" s="7" t="n"/>
      <c r="M102" s="7" t="n"/>
      <c r="N102" s="7" t="n"/>
      <c r="O102" s="7" t="n"/>
      <c r="R102" s="11" t="n"/>
      <c r="U102">
        <f>IF($A102="","",IF($AA102=1,Settings!$C$6,Settings!$C$7)*100)</f>
        <v/>
      </c>
      <c r="V102" s="7">
        <f>IF($A102="","",M102*U102/100)</f>
        <v/>
      </c>
      <c r="W102" s="7">
        <f>IF($A102="","",M102-V102)</f>
        <v/>
      </c>
      <c r="X102" s="7">
        <f>IF($A102="","",W102-F102)</f>
        <v/>
      </c>
      <c r="Y102">
        <f>IF($A102="","",IF(COUNTIF($A$2:$A102,$A102)=1,1,0))</f>
        <v/>
      </c>
      <c r="Z102">
        <f>IF($Y102=1,SUMPRODUCT(--($AB$2:$AB$501&lt;$AB102))+1,"")</f>
        <v/>
      </c>
      <c r="AA102">
        <f>IF($A102="","",IF(OR($T102=TRUE(),$T102="TRUE"),1,0))</f>
        <v/>
      </c>
      <c r="AB102">
        <f>IF($Y102=1,IFERROR(VALUE(MID($A102,2,20)),1000000000)+ROW()/100000,"")</f>
        <v/>
      </c>
    </row>
    <row r="103">
      <c r="F103" s="7">
        <f>IF($A103="","",E103*M103/100)</f>
        <v/>
      </c>
      <c r="I103" s="7" t="n"/>
      <c r="J103" s="7" t="n"/>
      <c r="L103" s="7" t="n"/>
      <c r="M103" s="7" t="n"/>
      <c r="N103" s="7" t="n"/>
      <c r="O103" s="7" t="n"/>
      <c r="R103" s="11" t="n"/>
      <c r="U103">
        <f>IF($A103="","",IF($AA103=1,Settings!$C$6,Settings!$C$7)*100)</f>
        <v/>
      </c>
      <c r="V103" s="7">
        <f>IF($A103="","",M103*U103/100)</f>
        <v/>
      </c>
      <c r="W103" s="7">
        <f>IF($A103="","",M103-V103)</f>
        <v/>
      </c>
      <c r="X103" s="7">
        <f>IF($A103="","",W103-F103)</f>
        <v/>
      </c>
      <c r="Y103">
        <f>IF($A103="","",IF(COUNTIF($A$2:$A103,$A103)=1,1,0))</f>
        <v/>
      </c>
      <c r="Z103">
        <f>IF($Y103=1,SUMPRODUCT(--($AB$2:$AB$501&lt;$AB103))+1,"")</f>
        <v/>
      </c>
      <c r="AA103">
        <f>IF($A103="","",IF(OR($T103=TRUE(),$T103="TRUE"),1,0))</f>
        <v/>
      </c>
      <c r="AB103">
        <f>IF($Y103=1,IFERROR(VALUE(MID($A103,2,20)),1000000000)+ROW()/100000,"")</f>
        <v/>
      </c>
    </row>
    <row r="104">
      <c r="F104" s="7">
        <f>IF($A104="","",E104*M104/100)</f>
        <v/>
      </c>
      <c r="I104" s="7" t="n"/>
      <c r="J104" s="7" t="n"/>
      <c r="L104" s="7" t="n"/>
      <c r="M104" s="7" t="n"/>
      <c r="N104" s="7" t="n"/>
      <c r="O104" s="7" t="n"/>
      <c r="R104" s="11" t="n"/>
      <c r="U104">
        <f>IF($A104="","",IF($AA104=1,Settings!$C$6,Settings!$C$7)*100)</f>
        <v/>
      </c>
      <c r="V104" s="7">
        <f>IF($A104="","",M104*U104/100)</f>
        <v/>
      </c>
      <c r="W104" s="7">
        <f>IF($A104="","",M104-V104)</f>
        <v/>
      </c>
      <c r="X104" s="7">
        <f>IF($A104="","",W104-F104)</f>
        <v/>
      </c>
      <c r="Y104">
        <f>IF($A104="","",IF(COUNTIF($A$2:$A104,$A104)=1,1,0))</f>
        <v/>
      </c>
      <c r="Z104">
        <f>IF($Y104=1,SUMPRODUCT(--($AB$2:$AB$501&lt;$AB104))+1,"")</f>
        <v/>
      </c>
      <c r="AA104">
        <f>IF($A104="","",IF(OR($T104=TRUE(),$T104="TRUE"),1,0))</f>
        <v/>
      </c>
      <c r="AB104">
        <f>IF($Y104=1,IFERROR(VALUE(MID($A104,2,20)),1000000000)+ROW()/100000,"")</f>
        <v/>
      </c>
    </row>
    <row r="105">
      <c r="F105" s="7">
        <f>IF($A105="","",E105*M105/100)</f>
        <v/>
      </c>
      <c r="I105" s="7" t="n"/>
      <c r="J105" s="7" t="n"/>
      <c r="L105" s="7" t="n"/>
      <c r="M105" s="7" t="n"/>
      <c r="N105" s="7" t="n"/>
      <c r="O105" s="7" t="n"/>
      <c r="R105" s="11" t="n"/>
      <c r="U105">
        <f>IF($A105="","",IF($AA105=1,Settings!$C$6,Settings!$C$7)*100)</f>
        <v/>
      </c>
      <c r="V105" s="7">
        <f>IF($A105="","",M105*U105/100)</f>
        <v/>
      </c>
      <c r="W105" s="7">
        <f>IF($A105="","",M105-V105)</f>
        <v/>
      </c>
      <c r="X105" s="7">
        <f>IF($A105="","",W105-F105)</f>
        <v/>
      </c>
      <c r="Y105">
        <f>IF($A105="","",IF(COUNTIF($A$2:$A105,$A105)=1,1,0))</f>
        <v/>
      </c>
      <c r="Z105">
        <f>IF($Y105=1,SUMPRODUCT(--($AB$2:$AB$501&lt;$AB105))+1,"")</f>
        <v/>
      </c>
      <c r="AA105">
        <f>IF($A105="","",IF(OR($T105=TRUE(),$T105="TRUE"),1,0))</f>
        <v/>
      </c>
      <c r="AB105">
        <f>IF($Y105=1,IFERROR(VALUE(MID($A105,2,20)),1000000000)+ROW()/100000,"")</f>
        <v/>
      </c>
    </row>
    <row r="106">
      <c r="F106" s="7">
        <f>IF($A106="","",E106*M106/100)</f>
        <v/>
      </c>
      <c r="I106" s="7" t="n"/>
      <c r="J106" s="7" t="n"/>
      <c r="L106" s="7" t="n"/>
      <c r="M106" s="7" t="n"/>
      <c r="N106" s="7" t="n"/>
      <c r="O106" s="7" t="n"/>
      <c r="R106" s="11" t="n"/>
      <c r="U106">
        <f>IF($A106="","",IF($AA106=1,Settings!$C$6,Settings!$C$7)*100)</f>
        <v/>
      </c>
      <c r="V106" s="7">
        <f>IF($A106="","",M106*U106/100)</f>
        <v/>
      </c>
      <c r="W106" s="7">
        <f>IF($A106="","",M106-V106)</f>
        <v/>
      </c>
      <c r="X106" s="7">
        <f>IF($A106="","",W106-F106)</f>
        <v/>
      </c>
      <c r="Y106">
        <f>IF($A106="","",IF(COUNTIF($A$2:$A106,$A106)=1,1,0))</f>
        <v/>
      </c>
      <c r="Z106">
        <f>IF($Y106=1,SUMPRODUCT(--($AB$2:$AB$501&lt;$AB106))+1,"")</f>
        <v/>
      </c>
      <c r="AA106">
        <f>IF($A106="","",IF(OR($T106=TRUE(),$T106="TRUE"),1,0))</f>
        <v/>
      </c>
      <c r="AB106">
        <f>IF($Y106=1,IFERROR(VALUE(MID($A106,2,20)),1000000000)+ROW()/100000,"")</f>
        <v/>
      </c>
    </row>
    <row r="107">
      <c r="F107" s="7">
        <f>IF($A107="","",E107*M107/100)</f>
        <v/>
      </c>
      <c r="I107" s="7" t="n"/>
      <c r="J107" s="7" t="n"/>
      <c r="L107" s="7" t="n"/>
      <c r="M107" s="7" t="n"/>
      <c r="N107" s="7" t="n"/>
      <c r="O107" s="7" t="n"/>
      <c r="R107" s="11" t="n"/>
      <c r="U107">
        <f>IF($A107="","",IF($AA107=1,Settings!$C$6,Settings!$C$7)*100)</f>
        <v/>
      </c>
      <c r="V107" s="7">
        <f>IF($A107="","",M107*U107/100)</f>
        <v/>
      </c>
      <c r="W107" s="7">
        <f>IF($A107="","",M107-V107)</f>
        <v/>
      </c>
      <c r="X107" s="7">
        <f>IF($A107="","",W107-F107)</f>
        <v/>
      </c>
      <c r="Y107">
        <f>IF($A107="","",IF(COUNTIF($A$2:$A107,$A107)=1,1,0))</f>
        <v/>
      </c>
      <c r="Z107">
        <f>IF($Y107=1,SUMPRODUCT(--($AB$2:$AB$501&lt;$AB107))+1,"")</f>
        <v/>
      </c>
      <c r="AA107">
        <f>IF($A107="","",IF(OR($T107=TRUE(),$T107="TRUE"),1,0))</f>
        <v/>
      </c>
      <c r="AB107">
        <f>IF($Y107=1,IFERROR(VALUE(MID($A107,2,20)),1000000000)+ROW()/100000,"")</f>
        <v/>
      </c>
    </row>
    <row r="108">
      <c r="F108" s="7">
        <f>IF($A108="","",E108*M108/100)</f>
        <v/>
      </c>
      <c r="I108" s="7" t="n"/>
      <c r="J108" s="7" t="n"/>
      <c r="L108" s="7" t="n"/>
      <c r="M108" s="7" t="n"/>
      <c r="N108" s="7" t="n"/>
      <c r="O108" s="7" t="n"/>
      <c r="R108" s="11" t="n"/>
      <c r="U108">
        <f>IF($A108="","",IF($AA108=1,Settings!$C$6,Settings!$C$7)*100)</f>
        <v/>
      </c>
      <c r="V108" s="7">
        <f>IF($A108="","",M108*U108/100)</f>
        <v/>
      </c>
      <c r="W108" s="7">
        <f>IF($A108="","",M108-V108)</f>
        <v/>
      </c>
      <c r="X108" s="7">
        <f>IF($A108="","",W108-F108)</f>
        <v/>
      </c>
      <c r="Y108">
        <f>IF($A108="","",IF(COUNTIF($A$2:$A108,$A108)=1,1,0))</f>
        <v/>
      </c>
      <c r="Z108">
        <f>IF($Y108=1,SUMPRODUCT(--($AB$2:$AB$501&lt;$AB108))+1,"")</f>
        <v/>
      </c>
      <c r="AA108">
        <f>IF($A108="","",IF(OR($T108=TRUE(),$T108="TRUE"),1,0))</f>
        <v/>
      </c>
      <c r="AB108">
        <f>IF($Y108=1,IFERROR(VALUE(MID($A108,2,20)),1000000000)+ROW()/100000,"")</f>
        <v/>
      </c>
    </row>
    <row r="109">
      <c r="F109" s="7">
        <f>IF($A109="","",E109*M109/100)</f>
        <v/>
      </c>
      <c r="I109" s="7" t="n"/>
      <c r="J109" s="7" t="n"/>
      <c r="L109" s="7" t="n"/>
      <c r="M109" s="7" t="n"/>
      <c r="N109" s="7" t="n"/>
      <c r="O109" s="7" t="n"/>
      <c r="R109" s="11" t="n"/>
      <c r="U109">
        <f>IF($A109="","",IF($AA109=1,Settings!$C$6,Settings!$C$7)*100)</f>
        <v/>
      </c>
      <c r="V109" s="7">
        <f>IF($A109="","",M109*U109/100)</f>
        <v/>
      </c>
      <c r="W109" s="7">
        <f>IF($A109="","",M109-V109)</f>
        <v/>
      </c>
      <c r="X109" s="7">
        <f>IF($A109="","",W109-F109)</f>
        <v/>
      </c>
      <c r="Y109">
        <f>IF($A109="","",IF(COUNTIF($A$2:$A109,$A109)=1,1,0))</f>
        <v/>
      </c>
      <c r="Z109">
        <f>IF($Y109=1,SUMPRODUCT(--($AB$2:$AB$501&lt;$AB109))+1,"")</f>
        <v/>
      </c>
      <c r="AA109">
        <f>IF($A109="","",IF(OR($T109=TRUE(),$T109="TRUE"),1,0))</f>
        <v/>
      </c>
      <c r="AB109">
        <f>IF($Y109=1,IFERROR(VALUE(MID($A109,2,20)),1000000000)+ROW()/100000,"")</f>
        <v/>
      </c>
    </row>
    <row r="110">
      <c r="F110" s="7">
        <f>IF($A110="","",E110*M110/100)</f>
        <v/>
      </c>
      <c r="I110" s="7" t="n"/>
      <c r="J110" s="7" t="n"/>
      <c r="L110" s="7" t="n"/>
      <c r="M110" s="7" t="n"/>
      <c r="N110" s="7" t="n"/>
      <c r="O110" s="7" t="n"/>
      <c r="R110" s="11" t="n"/>
      <c r="U110">
        <f>IF($A110="","",IF($AA110=1,Settings!$C$6,Settings!$C$7)*100)</f>
        <v/>
      </c>
      <c r="V110" s="7">
        <f>IF($A110="","",M110*U110/100)</f>
        <v/>
      </c>
      <c r="W110" s="7">
        <f>IF($A110="","",M110-V110)</f>
        <v/>
      </c>
      <c r="X110" s="7">
        <f>IF($A110="","",W110-F110)</f>
        <v/>
      </c>
      <c r="Y110">
        <f>IF($A110="","",IF(COUNTIF($A$2:$A110,$A110)=1,1,0))</f>
        <v/>
      </c>
      <c r="Z110">
        <f>IF($Y110=1,SUMPRODUCT(--($AB$2:$AB$501&lt;$AB110))+1,"")</f>
        <v/>
      </c>
      <c r="AA110">
        <f>IF($A110="","",IF(OR($T110=TRUE(),$T110="TRUE"),1,0))</f>
        <v/>
      </c>
      <c r="AB110">
        <f>IF($Y110=1,IFERROR(VALUE(MID($A110,2,20)),1000000000)+ROW()/100000,"")</f>
        <v/>
      </c>
    </row>
    <row r="111">
      <c r="F111" s="7">
        <f>IF($A111="","",E111*M111/100)</f>
        <v/>
      </c>
      <c r="I111" s="7" t="n"/>
      <c r="J111" s="7" t="n"/>
      <c r="L111" s="7" t="n"/>
      <c r="M111" s="7" t="n"/>
      <c r="N111" s="7" t="n"/>
      <c r="O111" s="7" t="n"/>
      <c r="R111" s="11" t="n"/>
      <c r="U111">
        <f>IF($A111="","",IF($AA111=1,Settings!$C$6,Settings!$C$7)*100)</f>
        <v/>
      </c>
      <c r="V111" s="7">
        <f>IF($A111="","",M111*U111/100)</f>
        <v/>
      </c>
      <c r="W111" s="7">
        <f>IF($A111="","",M111-V111)</f>
        <v/>
      </c>
      <c r="X111" s="7">
        <f>IF($A111="","",W111-F111)</f>
        <v/>
      </c>
      <c r="Y111">
        <f>IF($A111="","",IF(COUNTIF($A$2:$A111,$A111)=1,1,0))</f>
        <v/>
      </c>
      <c r="Z111">
        <f>IF($Y111=1,SUMPRODUCT(--($AB$2:$AB$501&lt;$AB111))+1,"")</f>
        <v/>
      </c>
      <c r="AA111">
        <f>IF($A111="","",IF(OR($T111=TRUE(),$T111="TRUE"),1,0))</f>
        <v/>
      </c>
      <c r="AB111">
        <f>IF($Y111=1,IFERROR(VALUE(MID($A111,2,20)),1000000000)+ROW()/100000,"")</f>
        <v/>
      </c>
    </row>
    <row r="112">
      <c r="F112" s="7">
        <f>IF($A112="","",E112*M112/100)</f>
        <v/>
      </c>
      <c r="I112" s="7" t="n"/>
      <c r="J112" s="7" t="n"/>
      <c r="L112" s="7" t="n"/>
      <c r="M112" s="7" t="n"/>
      <c r="N112" s="7" t="n"/>
      <c r="O112" s="7" t="n"/>
      <c r="R112" s="11" t="n"/>
      <c r="U112">
        <f>IF($A112="","",IF($AA112=1,Settings!$C$6,Settings!$C$7)*100)</f>
        <v/>
      </c>
      <c r="V112" s="7">
        <f>IF($A112="","",M112*U112/100)</f>
        <v/>
      </c>
      <c r="W112" s="7">
        <f>IF($A112="","",M112-V112)</f>
        <v/>
      </c>
      <c r="X112" s="7">
        <f>IF($A112="","",W112-F112)</f>
        <v/>
      </c>
      <c r="Y112">
        <f>IF($A112="","",IF(COUNTIF($A$2:$A112,$A112)=1,1,0))</f>
        <v/>
      </c>
      <c r="Z112">
        <f>IF($Y112=1,SUMPRODUCT(--($AB$2:$AB$501&lt;$AB112))+1,"")</f>
        <v/>
      </c>
      <c r="AA112">
        <f>IF($A112="","",IF(OR($T112=TRUE(),$T112="TRUE"),1,0))</f>
        <v/>
      </c>
      <c r="AB112">
        <f>IF($Y112=1,IFERROR(VALUE(MID($A112,2,20)),1000000000)+ROW()/100000,"")</f>
        <v/>
      </c>
    </row>
    <row r="113">
      <c r="F113" s="7">
        <f>IF($A113="","",E113*M113/100)</f>
        <v/>
      </c>
      <c r="I113" s="7" t="n"/>
      <c r="J113" s="7" t="n"/>
      <c r="L113" s="7" t="n"/>
      <c r="M113" s="7" t="n"/>
      <c r="N113" s="7" t="n"/>
      <c r="O113" s="7" t="n"/>
      <c r="R113" s="11" t="n"/>
      <c r="U113">
        <f>IF($A113="","",IF($AA113=1,Settings!$C$6,Settings!$C$7)*100)</f>
        <v/>
      </c>
      <c r="V113" s="7">
        <f>IF($A113="","",M113*U113/100)</f>
        <v/>
      </c>
      <c r="W113" s="7">
        <f>IF($A113="","",M113-V113)</f>
        <v/>
      </c>
      <c r="X113" s="7">
        <f>IF($A113="","",W113-F113)</f>
        <v/>
      </c>
      <c r="Y113">
        <f>IF($A113="","",IF(COUNTIF($A$2:$A113,$A113)=1,1,0))</f>
        <v/>
      </c>
      <c r="Z113">
        <f>IF($Y113=1,SUMPRODUCT(--($AB$2:$AB$501&lt;$AB113))+1,"")</f>
        <v/>
      </c>
      <c r="AA113">
        <f>IF($A113="","",IF(OR($T113=TRUE(),$T113="TRUE"),1,0))</f>
        <v/>
      </c>
      <c r="AB113">
        <f>IF($Y113=1,IFERROR(VALUE(MID($A113,2,20)),1000000000)+ROW()/100000,"")</f>
        <v/>
      </c>
    </row>
    <row r="114">
      <c r="F114" s="7">
        <f>IF($A114="","",E114*M114/100)</f>
        <v/>
      </c>
      <c r="I114" s="7" t="n"/>
      <c r="J114" s="7" t="n"/>
      <c r="L114" s="7" t="n"/>
      <c r="M114" s="7" t="n"/>
      <c r="N114" s="7" t="n"/>
      <c r="O114" s="7" t="n"/>
      <c r="R114" s="11" t="n"/>
      <c r="U114">
        <f>IF($A114="","",IF($AA114=1,Settings!$C$6,Settings!$C$7)*100)</f>
        <v/>
      </c>
      <c r="V114" s="7">
        <f>IF($A114="","",M114*U114/100)</f>
        <v/>
      </c>
      <c r="W114" s="7">
        <f>IF($A114="","",M114-V114)</f>
        <v/>
      </c>
      <c r="X114" s="7">
        <f>IF($A114="","",W114-F114)</f>
        <v/>
      </c>
      <c r="Y114">
        <f>IF($A114="","",IF(COUNTIF($A$2:$A114,$A114)=1,1,0))</f>
        <v/>
      </c>
      <c r="Z114">
        <f>IF($Y114=1,SUMPRODUCT(--($AB$2:$AB$501&lt;$AB114))+1,"")</f>
        <v/>
      </c>
      <c r="AA114">
        <f>IF($A114="","",IF(OR($T114=TRUE(),$T114="TRUE"),1,0))</f>
        <v/>
      </c>
      <c r="AB114">
        <f>IF($Y114=1,IFERROR(VALUE(MID($A114,2,20)),1000000000)+ROW()/100000,"")</f>
        <v/>
      </c>
    </row>
    <row r="115">
      <c r="F115" s="7">
        <f>IF($A115="","",E115*M115/100)</f>
        <v/>
      </c>
      <c r="I115" s="7" t="n"/>
      <c r="J115" s="7" t="n"/>
      <c r="L115" s="7" t="n"/>
      <c r="M115" s="7" t="n"/>
      <c r="N115" s="7" t="n"/>
      <c r="O115" s="7" t="n"/>
      <c r="R115" s="11" t="n"/>
      <c r="U115">
        <f>IF($A115="","",IF($AA115=1,Settings!$C$6,Settings!$C$7)*100)</f>
        <v/>
      </c>
      <c r="V115" s="7">
        <f>IF($A115="","",M115*U115/100)</f>
        <v/>
      </c>
      <c r="W115" s="7">
        <f>IF($A115="","",M115-V115)</f>
        <v/>
      </c>
      <c r="X115" s="7">
        <f>IF($A115="","",W115-F115)</f>
        <v/>
      </c>
      <c r="Y115">
        <f>IF($A115="","",IF(COUNTIF($A$2:$A115,$A115)=1,1,0))</f>
        <v/>
      </c>
      <c r="Z115">
        <f>IF($Y115=1,SUMPRODUCT(--($AB$2:$AB$501&lt;$AB115))+1,"")</f>
        <v/>
      </c>
      <c r="AA115">
        <f>IF($A115="","",IF(OR($T115=TRUE(),$T115="TRUE"),1,0))</f>
        <v/>
      </c>
      <c r="AB115">
        <f>IF($Y115=1,IFERROR(VALUE(MID($A115,2,20)),1000000000)+ROW()/100000,"")</f>
        <v/>
      </c>
    </row>
    <row r="116">
      <c r="F116" s="7">
        <f>IF($A116="","",E116*M116/100)</f>
        <v/>
      </c>
      <c r="I116" s="7" t="n"/>
      <c r="J116" s="7" t="n"/>
      <c r="L116" s="7" t="n"/>
      <c r="M116" s="7" t="n"/>
      <c r="N116" s="7" t="n"/>
      <c r="O116" s="7" t="n"/>
      <c r="R116" s="11" t="n"/>
      <c r="U116">
        <f>IF($A116="","",IF($AA116=1,Settings!$C$6,Settings!$C$7)*100)</f>
        <v/>
      </c>
      <c r="V116" s="7">
        <f>IF($A116="","",M116*U116/100)</f>
        <v/>
      </c>
      <c r="W116" s="7">
        <f>IF($A116="","",M116-V116)</f>
        <v/>
      </c>
      <c r="X116" s="7">
        <f>IF($A116="","",W116-F116)</f>
        <v/>
      </c>
      <c r="Y116">
        <f>IF($A116="","",IF(COUNTIF($A$2:$A116,$A116)=1,1,0))</f>
        <v/>
      </c>
      <c r="Z116">
        <f>IF($Y116=1,SUMPRODUCT(--($AB$2:$AB$501&lt;$AB116))+1,"")</f>
        <v/>
      </c>
      <c r="AA116">
        <f>IF($A116="","",IF(OR($T116=TRUE(),$T116="TRUE"),1,0))</f>
        <v/>
      </c>
      <c r="AB116">
        <f>IF($Y116=1,IFERROR(VALUE(MID($A116,2,20)),1000000000)+ROW()/100000,"")</f>
        <v/>
      </c>
    </row>
    <row r="117">
      <c r="F117" s="7">
        <f>IF($A117="","",E117*M117/100)</f>
        <v/>
      </c>
      <c r="I117" s="7" t="n"/>
      <c r="J117" s="7" t="n"/>
      <c r="L117" s="7" t="n"/>
      <c r="M117" s="7" t="n"/>
      <c r="N117" s="7" t="n"/>
      <c r="O117" s="7" t="n"/>
      <c r="R117" s="11" t="n"/>
      <c r="U117">
        <f>IF($A117="","",IF($AA117=1,Settings!$C$6,Settings!$C$7)*100)</f>
        <v/>
      </c>
      <c r="V117" s="7">
        <f>IF($A117="","",M117*U117/100)</f>
        <v/>
      </c>
      <c r="W117" s="7">
        <f>IF($A117="","",M117-V117)</f>
        <v/>
      </c>
      <c r="X117" s="7">
        <f>IF($A117="","",W117-F117)</f>
        <v/>
      </c>
      <c r="Y117">
        <f>IF($A117="","",IF(COUNTIF($A$2:$A117,$A117)=1,1,0))</f>
        <v/>
      </c>
      <c r="Z117">
        <f>IF($Y117=1,SUMPRODUCT(--($AB$2:$AB$501&lt;$AB117))+1,"")</f>
        <v/>
      </c>
      <c r="AA117">
        <f>IF($A117="","",IF(OR($T117=TRUE(),$T117="TRUE"),1,0))</f>
        <v/>
      </c>
      <c r="AB117">
        <f>IF($Y117=1,IFERROR(VALUE(MID($A117,2,20)),1000000000)+ROW()/100000,"")</f>
        <v/>
      </c>
    </row>
    <row r="118">
      <c r="F118" s="7">
        <f>IF($A118="","",E118*M118/100)</f>
        <v/>
      </c>
      <c r="I118" s="7" t="n"/>
      <c r="J118" s="7" t="n"/>
      <c r="L118" s="7" t="n"/>
      <c r="M118" s="7" t="n"/>
      <c r="N118" s="7" t="n"/>
      <c r="O118" s="7" t="n"/>
      <c r="R118" s="11" t="n"/>
      <c r="U118">
        <f>IF($A118="","",IF($AA118=1,Settings!$C$6,Settings!$C$7)*100)</f>
        <v/>
      </c>
      <c r="V118" s="7">
        <f>IF($A118="","",M118*U118/100)</f>
        <v/>
      </c>
      <c r="W118" s="7">
        <f>IF($A118="","",M118-V118)</f>
        <v/>
      </c>
      <c r="X118" s="7">
        <f>IF($A118="","",W118-F118)</f>
        <v/>
      </c>
      <c r="Y118">
        <f>IF($A118="","",IF(COUNTIF($A$2:$A118,$A118)=1,1,0))</f>
        <v/>
      </c>
      <c r="Z118">
        <f>IF($Y118=1,SUMPRODUCT(--($AB$2:$AB$501&lt;$AB118))+1,"")</f>
        <v/>
      </c>
      <c r="AA118">
        <f>IF($A118="","",IF(OR($T118=TRUE(),$T118="TRUE"),1,0))</f>
        <v/>
      </c>
      <c r="AB118">
        <f>IF($Y118=1,IFERROR(VALUE(MID($A118,2,20)),1000000000)+ROW()/100000,"")</f>
        <v/>
      </c>
    </row>
    <row r="119">
      <c r="F119" s="7">
        <f>IF($A119="","",E119*M119/100)</f>
        <v/>
      </c>
      <c r="I119" s="7" t="n"/>
      <c r="J119" s="7" t="n"/>
      <c r="L119" s="7" t="n"/>
      <c r="M119" s="7" t="n"/>
      <c r="N119" s="7" t="n"/>
      <c r="O119" s="7" t="n"/>
      <c r="R119" s="11" t="n"/>
      <c r="U119">
        <f>IF($A119="","",IF($AA119=1,Settings!$C$6,Settings!$C$7)*100)</f>
        <v/>
      </c>
      <c r="V119" s="7">
        <f>IF($A119="","",M119*U119/100)</f>
        <v/>
      </c>
      <c r="W119" s="7">
        <f>IF($A119="","",M119-V119)</f>
        <v/>
      </c>
      <c r="X119" s="7">
        <f>IF($A119="","",W119-F119)</f>
        <v/>
      </c>
      <c r="Y119">
        <f>IF($A119="","",IF(COUNTIF($A$2:$A119,$A119)=1,1,0))</f>
        <v/>
      </c>
      <c r="Z119">
        <f>IF($Y119=1,SUMPRODUCT(--($AB$2:$AB$501&lt;$AB119))+1,"")</f>
        <v/>
      </c>
      <c r="AA119">
        <f>IF($A119="","",IF(OR($T119=TRUE(),$T119="TRUE"),1,0))</f>
        <v/>
      </c>
      <c r="AB119">
        <f>IF($Y119=1,IFERROR(VALUE(MID($A119,2,20)),1000000000)+ROW()/100000,"")</f>
        <v/>
      </c>
    </row>
    <row r="120">
      <c r="F120" s="7">
        <f>IF($A120="","",E120*M120/100)</f>
        <v/>
      </c>
      <c r="I120" s="7" t="n"/>
      <c r="J120" s="7" t="n"/>
      <c r="L120" s="7" t="n"/>
      <c r="M120" s="7" t="n"/>
      <c r="N120" s="7" t="n"/>
      <c r="O120" s="7" t="n"/>
      <c r="R120" s="11" t="n"/>
      <c r="U120">
        <f>IF($A120="","",IF($AA120=1,Settings!$C$6,Settings!$C$7)*100)</f>
        <v/>
      </c>
      <c r="V120" s="7">
        <f>IF($A120="","",M120*U120/100)</f>
        <v/>
      </c>
      <c r="W120" s="7">
        <f>IF($A120="","",M120-V120)</f>
        <v/>
      </c>
      <c r="X120" s="7">
        <f>IF($A120="","",W120-F120)</f>
        <v/>
      </c>
      <c r="Y120">
        <f>IF($A120="","",IF(COUNTIF($A$2:$A120,$A120)=1,1,0))</f>
        <v/>
      </c>
      <c r="Z120">
        <f>IF($Y120=1,SUMPRODUCT(--($AB$2:$AB$501&lt;$AB120))+1,"")</f>
        <v/>
      </c>
      <c r="AA120">
        <f>IF($A120="","",IF(OR($T120=TRUE(),$T120="TRUE"),1,0))</f>
        <v/>
      </c>
      <c r="AB120">
        <f>IF($Y120=1,IFERROR(VALUE(MID($A120,2,20)),1000000000)+ROW()/100000,"")</f>
        <v/>
      </c>
    </row>
    <row r="121">
      <c r="F121" s="7">
        <f>IF($A121="","",E121*M121/100)</f>
        <v/>
      </c>
      <c r="I121" s="7" t="n"/>
      <c r="J121" s="7" t="n"/>
      <c r="L121" s="7" t="n"/>
      <c r="M121" s="7" t="n"/>
      <c r="N121" s="7" t="n"/>
      <c r="O121" s="7" t="n"/>
      <c r="R121" s="11" t="n"/>
      <c r="U121">
        <f>IF($A121="","",IF($AA121=1,Settings!$C$6,Settings!$C$7)*100)</f>
        <v/>
      </c>
      <c r="V121" s="7">
        <f>IF($A121="","",M121*U121/100)</f>
        <v/>
      </c>
      <c r="W121" s="7">
        <f>IF($A121="","",M121-V121)</f>
        <v/>
      </c>
      <c r="X121" s="7">
        <f>IF($A121="","",W121-F121)</f>
        <v/>
      </c>
      <c r="Y121">
        <f>IF($A121="","",IF(COUNTIF($A$2:$A121,$A121)=1,1,0))</f>
        <v/>
      </c>
      <c r="Z121">
        <f>IF($Y121=1,SUMPRODUCT(--($AB$2:$AB$501&lt;$AB121))+1,"")</f>
        <v/>
      </c>
      <c r="AA121">
        <f>IF($A121="","",IF(OR($T121=TRUE(),$T121="TRUE"),1,0))</f>
        <v/>
      </c>
      <c r="AB121">
        <f>IF($Y121=1,IFERROR(VALUE(MID($A121,2,20)),1000000000)+ROW()/100000,"")</f>
        <v/>
      </c>
    </row>
    <row r="122">
      <c r="F122" s="7">
        <f>IF($A122="","",E122*M122/100)</f>
        <v/>
      </c>
      <c r="I122" s="7" t="n"/>
      <c r="J122" s="7" t="n"/>
      <c r="L122" s="7" t="n"/>
      <c r="M122" s="7" t="n"/>
      <c r="N122" s="7" t="n"/>
      <c r="O122" s="7" t="n"/>
      <c r="R122" s="11" t="n"/>
      <c r="U122">
        <f>IF($A122="","",IF($AA122=1,Settings!$C$6,Settings!$C$7)*100)</f>
        <v/>
      </c>
      <c r="V122" s="7">
        <f>IF($A122="","",M122*U122/100)</f>
        <v/>
      </c>
      <c r="W122" s="7">
        <f>IF($A122="","",M122-V122)</f>
        <v/>
      </c>
      <c r="X122" s="7">
        <f>IF($A122="","",W122-F122)</f>
        <v/>
      </c>
      <c r="Y122">
        <f>IF($A122="","",IF(COUNTIF($A$2:$A122,$A122)=1,1,0))</f>
        <v/>
      </c>
      <c r="Z122">
        <f>IF($Y122=1,SUMPRODUCT(--($AB$2:$AB$501&lt;$AB122))+1,"")</f>
        <v/>
      </c>
      <c r="AA122">
        <f>IF($A122="","",IF(OR($T122=TRUE(),$T122="TRUE"),1,0))</f>
        <v/>
      </c>
      <c r="AB122">
        <f>IF($Y122=1,IFERROR(VALUE(MID($A122,2,20)),1000000000)+ROW()/100000,"")</f>
        <v/>
      </c>
    </row>
    <row r="123">
      <c r="F123" s="7">
        <f>IF($A123="","",E123*M123/100)</f>
        <v/>
      </c>
      <c r="I123" s="7" t="n"/>
      <c r="J123" s="7" t="n"/>
      <c r="L123" s="7" t="n"/>
      <c r="M123" s="7" t="n"/>
      <c r="N123" s="7" t="n"/>
      <c r="O123" s="7" t="n"/>
      <c r="R123" s="11" t="n"/>
      <c r="U123">
        <f>IF($A123="","",IF($AA123=1,Settings!$C$6,Settings!$C$7)*100)</f>
        <v/>
      </c>
      <c r="V123" s="7">
        <f>IF($A123="","",M123*U123/100)</f>
        <v/>
      </c>
      <c r="W123" s="7">
        <f>IF($A123="","",M123-V123)</f>
        <v/>
      </c>
      <c r="X123" s="7">
        <f>IF($A123="","",W123-F123)</f>
        <v/>
      </c>
      <c r="Y123">
        <f>IF($A123="","",IF(COUNTIF($A$2:$A123,$A123)=1,1,0))</f>
        <v/>
      </c>
      <c r="Z123">
        <f>IF($Y123=1,SUMPRODUCT(--($AB$2:$AB$501&lt;$AB123))+1,"")</f>
        <v/>
      </c>
      <c r="AA123">
        <f>IF($A123="","",IF(OR($T123=TRUE(),$T123="TRUE"),1,0))</f>
        <v/>
      </c>
      <c r="AB123">
        <f>IF($Y123=1,IFERROR(VALUE(MID($A123,2,20)),1000000000)+ROW()/100000,"")</f>
        <v/>
      </c>
    </row>
    <row r="124">
      <c r="F124" s="7">
        <f>IF($A124="","",E124*M124/100)</f>
        <v/>
      </c>
      <c r="I124" s="7" t="n"/>
      <c r="J124" s="7" t="n"/>
      <c r="L124" s="7" t="n"/>
      <c r="M124" s="7" t="n"/>
      <c r="N124" s="7" t="n"/>
      <c r="O124" s="7" t="n"/>
      <c r="R124" s="11" t="n"/>
      <c r="U124">
        <f>IF($A124="","",IF($AA124=1,Settings!$C$6,Settings!$C$7)*100)</f>
        <v/>
      </c>
      <c r="V124" s="7">
        <f>IF($A124="","",M124*U124/100)</f>
        <v/>
      </c>
      <c r="W124" s="7">
        <f>IF($A124="","",M124-V124)</f>
        <v/>
      </c>
      <c r="X124" s="7">
        <f>IF($A124="","",W124-F124)</f>
        <v/>
      </c>
      <c r="Y124">
        <f>IF($A124="","",IF(COUNTIF($A$2:$A124,$A124)=1,1,0))</f>
        <v/>
      </c>
      <c r="Z124">
        <f>IF($Y124=1,SUMPRODUCT(--($AB$2:$AB$501&lt;$AB124))+1,"")</f>
        <v/>
      </c>
      <c r="AA124">
        <f>IF($A124="","",IF(OR($T124=TRUE(),$T124="TRUE"),1,0))</f>
        <v/>
      </c>
      <c r="AB124">
        <f>IF($Y124=1,IFERROR(VALUE(MID($A124,2,20)),1000000000)+ROW()/100000,"")</f>
        <v/>
      </c>
    </row>
    <row r="125">
      <c r="F125" s="7">
        <f>IF($A125="","",E125*M125/100)</f>
        <v/>
      </c>
      <c r="I125" s="7" t="n"/>
      <c r="J125" s="7" t="n"/>
      <c r="L125" s="7" t="n"/>
      <c r="M125" s="7" t="n"/>
      <c r="N125" s="7" t="n"/>
      <c r="O125" s="7" t="n"/>
      <c r="R125" s="11" t="n"/>
      <c r="U125">
        <f>IF($A125="","",IF($AA125=1,Settings!$C$6,Settings!$C$7)*100)</f>
        <v/>
      </c>
      <c r="V125" s="7">
        <f>IF($A125="","",M125*U125/100)</f>
        <v/>
      </c>
      <c r="W125" s="7">
        <f>IF($A125="","",M125-V125)</f>
        <v/>
      </c>
      <c r="X125" s="7">
        <f>IF($A125="","",W125-F125)</f>
        <v/>
      </c>
      <c r="Y125">
        <f>IF($A125="","",IF(COUNTIF($A$2:$A125,$A125)=1,1,0))</f>
        <v/>
      </c>
      <c r="Z125">
        <f>IF($Y125=1,SUMPRODUCT(--($AB$2:$AB$501&lt;$AB125))+1,"")</f>
        <v/>
      </c>
      <c r="AA125">
        <f>IF($A125="","",IF(OR($T125=TRUE(),$T125="TRUE"),1,0))</f>
        <v/>
      </c>
      <c r="AB125">
        <f>IF($Y125=1,IFERROR(VALUE(MID($A125,2,20)),1000000000)+ROW()/100000,"")</f>
        <v/>
      </c>
    </row>
    <row r="126">
      <c r="F126" s="7">
        <f>IF($A126="","",E126*M126/100)</f>
        <v/>
      </c>
      <c r="I126" s="7" t="n"/>
      <c r="J126" s="7" t="n"/>
      <c r="L126" s="7" t="n"/>
      <c r="M126" s="7" t="n"/>
      <c r="N126" s="7" t="n"/>
      <c r="O126" s="7" t="n"/>
      <c r="R126" s="11" t="n"/>
      <c r="U126">
        <f>IF($A126="","",IF($AA126=1,Settings!$C$6,Settings!$C$7)*100)</f>
        <v/>
      </c>
      <c r="V126" s="7">
        <f>IF($A126="","",M126*U126/100)</f>
        <v/>
      </c>
      <c r="W126" s="7">
        <f>IF($A126="","",M126-V126)</f>
        <v/>
      </c>
      <c r="X126" s="7">
        <f>IF($A126="","",W126-F126)</f>
        <v/>
      </c>
      <c r="Y126">
        <f>IF($A126="","",IF(COUNTIF($A$2:$A126,$A126)=1,1,0))</f>
        <v/>
      </c>
      <c r="Z126">
        <f>IF($Y126=1,SUMPRODUCT(--($AB$2:$AB$501&lt;$AB126))+1,"")</f>
        <v/>
      </c>
      <c r="AA126">
        <f>IF($A126="","",IF(OR($T126=TRUE(),$T126="TRUE"),1,0))</f>
        <v/>
      </c>
      <c r="AB126">
        <f>IF($Y126=1,IFERROR(VALUE(MID($A126,2,20)),1000000000)+ROW()/100000,"")</f>
        <v/>
      </c>
    </row>
    <row r="127">
      <c r="F127" s="7">
        <f>IF($A127="","",E127*M127/100)</f>
        <v/>
      </c>
      <c r="I127" s="7" t="n"/>
      <c r="J127" s="7" t="n"/>
      <c r="L127" s="7" t="n"/>
      <c r="M127" s="7" t="n"/>
      <c r="N127" s="7" t="n"/>
      <c r="O127" s="7" t="n"/>
      <c r="R127" s="11" t="n"/>
      <c r="U127">
        <f>IF($A127="","",IF($AA127=1,Settings!$C$6,Settings!$C$7)*100)</f>
        <v/>
      </c>
      <c r="V127" s="7">
        <f>IF($A127="","",M127*U127/100)</f>
        <v/>
      </c>
      <c r="W127" s="7">
        <f>IF($A127="","",M127-V127)</f>
        <v/>
      </c>
      <c r="X127" s="7">
        <f>IF($A127="","",W127-F127)</f>
        <v/>
      </c>
      <c r="Y127">
        <f>IF($A127="","",IF(COUNTIF($A$2:$A127,$A127)=1,1,0))</f>
        <v/>
      </c>
      <c r="Z127">
        <f>IF($Y127=1,SUMPRODUCT(--($AB$2:$AB$501&lt;$AB127))+1,"")</f>
        <v/>
      </c>
      <c r="AA127">
        <f>IF($A127="","",IF(OR($T127=TRUE(),$T127="TRUE"),1,0))</f>
        <v/>
      </c>
      <c r="AB127">
        <f>IF($Y127=1,IFERROR(VALUE(MID($A127,2,20)),1000000000)+ROW()/100000,"")</f>
        <v/>
      </c>
    </row>
    <row r="128">
      <c r="F128" s="7">
        <f>IF($A128="","",E128*M128/100)</f>
        <v/>
      </c>
      <c r="I128" s="7" t="n"/>
      <c r="J128" s="7" t="n"/>
      <c r="L128" s="7" t="n"/>
      <c r="M128" s="7" t="n"/>
      <c r="N128" s="7" t="n"/>
      <c r="O128" s="7" t="n"/>
      <c r="R128" s="11" t="n"/>
      <c r="U128">
        <f>IF($A128="","",IF($AA128=1,Settings!$C$6,Settings!$C$7)*100)</f>
        <v/>
      </c>
      <c r="V128" s="7">
        <f>IF($A128="","",M128*U128/100)</f>
        <v/>
      </c>
      <c r="W128" s="7">
        <f>IF($A128="","",M128-V128)</f>
        <v/>
      </c>
      <c r="X128" s="7">
        <f>IF($A128="","",W128-F128)</f>
        <v/>
      </c>
      <c r="Y128">
        <f>IF($A128="","",IF(COUNTIF($A$2:$A128,$A128)=1,1,0))</f>
        <v/>
      </c>
      <c r="Z128">
        <f>IF($Y128=1,SUMPRODUCT(--($AB$2:$AB$501&lt;$AB128))+1,"")</f>
        <v/>
      </c>
      <c r="AA128">
        <f>IF($A128="","",IF(OR($T128=TRUE(),$T128="TRUE"),1,0))</f>
        <v/>
      </c>
      <c r="AB128">
        <f>IF($Y128=1,IFERROR(VALUE(MID($A128,2,20)),1000000000)+ROW()/100000,"")</f>
        <v/>
      </c>
    </row>
    <row r="129">
      <c r="F129" s="7">
        <f>IF($A129="","",E129*M129/100)</f>
        <v/>
      </c>
      <c r="I129" s="7" t="n"/>
      <c r="J129" s="7" t="n"/>
      <c r="L129" s="7" t="n"/>
      <c r="M129" s="7" t="n"/>
      <c r="N129" s="7" t="n"/>
      <c r="O129" s="7" t="n"/>
      <c r="R129" s="11" t="n"/>
      <c r="U129">
        <f>IF($A129="","",IF($AA129=1,Settings!$C$6,Settings!$C$7)*100)</f>
        <v/>
      </c>
      <c r="V129" s="7">
        <f>IF($A129="","",M129*U129/100)</f>
        <v/>
      </c>
      <c r="W129" s="7">
        <f>IF($A129="","",M129-V129)</f>
        <v/>
      </c>
      <c r="X129" s="7">
        <f>IF($A129="","",W129-F129)</f>
        <v/>
      </c>
      <c r="Y129">
        <f>IF($A129="","",IF(COUNTIF($A$2:$A129,$A129)=1,1,0))</f>
        <v/>
      </c>
      <c r="Z129">
        <f>IF($Y129=1,SUMPRODUCT(--($AB$2:$AB$501&lt;$AB129))+1,"")</f>
        <v/>
      </c>
      <c r="AA129">
        <f>IF($A129="","",IF(OR($T129=TRUE(),$T129="TRUE"),1,0))</f>
        <v/>
      </c>
      <c r="AB129">
        <f>IF($Y129=1,IFERROR(VALUE(MID($A129,2,20)),1000000000)+ROW()/100000,"")</f>
        <v/>
      </c>
    </row>
    <row r="130">
      <c r="F130" s="7">
        <f>IF($A130="","",E130*M130/100)</f>
        <v/>
      </c>
      <c r="I130" s="7" t="n"/>
      <c r="J130" s="7" t="n"/>
      <c r="L130" s="7" t="n"/>
      <c r="M130" s="7" t="n"/>
      <c r="N130" s="7" t="n"/>
      <c r="O130" s="7" t="n"/>
      <c r="R130" s="11" t="n"/>
      <c r="U130">
        <f>IF($A130="","",IF($AA130=1,Settings!$C$6,Settings!$C$7)*100)</f>
        <v/>
      </c>
      <c r="V130" s="7">
        <f>IF($A130="","",M130*U130/100)</f>
        <v/>
      </c>
      <c r="W130" s="7">
        <f>IF($A130="","",M130-V130)</f>
        <v/>
      </c>
      <c r="X130" s="7">
        <f>IF($A130="","",W130-F130)</f>
        <v/>
      </c>
      <c r="Y130">
        <f>IF($A130="","",IF(COUNTIF($A$2:$A130,$A130)=1,1,0))</f>
        <v/>
      </c>
      <c r="Z130">
        <f>IF($Y130=1,SUMPRODUCT(--($AB$2:$AB$501&lt;$AB130))+1,"")</f>
        <v/>
      </c>
      <c r="AA130">
        <f>IF($A130="","",IF(OR($T130=TRUE(),$T130="TRUE"),1,0))</f>
        <v/>
      </c>
      <c r="AB130">
        <f>IF($Y130=1,IFERROR(VALUE(MID($A130,2,20)),1000000000)+ROW()/100000,"")</f>
        <v/>
      </c>
    </row>
    <row r="131">
      <c r="F131" s="7">
        <f>IF($A131="","",E131*M131/100)</f>
        <v/>
      </c>
      <c r="I131" s="7" t="n"/>
      <c r="J131" s="7" t="n"/>
      <c r="L131" s="7" t="n"/>
      <c r="M131" s="7" t="n"/>
      <c r="N131" s="7" t="n"/>
      <c r="O131" s="7" t="n"/>
      <c r="R131" s="11" t="n"/>
      <c r="U131">
        <f>IF($A131="","",IF($AA131=1,Settings!$C$6,Settings!$C$7)*100)</f>
        <v/>
      </c>
      <c r="V131" s="7">
        <f>IF($A131="","",M131*U131/100)</f>
        <v/>
      </c>
      <c r="W131" s="7">
        <f>IF($A131="","",M131-V131)</f>
        <v/>
      </c>
      <c r="X131" s="7">
        <f>IF($A131="","",W131-F131)</f>
        <v/>
      </c>
      <c r="Y131">
        <f>IF($A131="","",IF(COUNTIF($A$2:$A131,$A131)=1,1,0))</f>
        <v/>
      </c>
      <c r="Z131">
        <f>IF($Y131=1,SUMPRODUCT(--($AB$2:$AB$501&lt;$AB131))+1,"")</f>
        <v/>
      </c>
      <c r="AA131">
        <f>IF($A131="","",IF(OR($T131=TRUE(),$T131="TRUE"),1,0))</f>
        <v/>
      </c>
      <c r="AB131">
        <f>IF($Y131=1,IFERROR(VALUE(MID($A131,2,20)),1000000000)+ROW()/100000,"")</f>
        <v/>
      </c>
    </row>
    <row r="132">
      <c r="F132" s="7">
        <f>IF($A132="","",E132*M132/100)</f>
        <v/>
      </c>
      <c r="I132" s="7" t="n"/>
      <c r="J132" s="7" t="n"/>
      <c r="L132" s="7" t="n"/>
      <c r="M132" s="7" t="n"/>
      <c r="N132" s="7" t="n"/>
      <c r="O132" s="7" t="n"/>
      <c r="R132" s="11" t="n"/>
      <c r="U132">
        <f>IF($A132="","",IF($AA132=1,Settings!$C$6,Settings!$C$7)*100)</f>
        <v/>
      </c>
      <c r="V132" s="7">
        <f>IF($A132="","",M132*U132/100)</f>
        <v/>
      </c>
      <c r="W132" s="7">
        <f>IF($A132="","",M132-V132)</f>
        <v/>
      </c>
      <c r="X132" s="7">
        <f>IF($A132="","",W132-F132)</f>
        <v/>
      </c>
      <c r="Y132">
        <f>IF($A132="","",IF(COUNTIF($A$2:$A132,$A132)=1,1,0))</f>
        <v/>
      </c>
      <c r="Z132">
        <f>IF($Y132=1,SUMPRODUCT(--($AB$2:$AB$501&lt;$AB132))+1,"")</f>
        <v/>
      </c>
      <c r="AA132">
        <f>IF($A132="","",IF(OR($T132=TRUE(),$T132="TRUE"),1,0))</f>
        <v/>
      </c>
      <c r="AB132">
        <f>IF($Y132=1,IFERROR(VALUE(MID($A132,2,20)),1000000000)+ROW()/100000,"")</f>
        <v/>
      </c>
    </row>
    <row r="133">
      <c r="F133" s="7">
        <f>IF($A133="","",E133*M133/100)</f>
        <v/>
      </c>
      <c r="I133" s="7" t="n"/>
      <c r="J133" s="7" t="n"/>
      <c r="L133" s="7" t="n"/>
      <c r="M133" s="7" t="n"/>
      <c r="N133" s="7" t="n"/>
      <c r="O133" s="7" t="n"/>
      <c r="R133" s="11" t="n"/>
      <c r="U133">
        <f>IF($A133="","",IF($AA133=1,Settings!$C$6,Settings!$C$7)*100)</f>
        <v/>
      </c>
      <c r="V133" s="7">
        <f>IF($A133="","",M133*U133/100)</f>
        <v/>
      </c>
      <c r="W133" s="7">
        <f>IF($A133="","",M133-V133)</f>
        <v/>
      </c>
      <c r="X133" s="7">
        <f>IF($A133="","",W133-F133)</f>
        <v/>
      </c>
      <c r="Y133">
        <f>IF($A133="","",IF(COUNTIF($A$2:$A133,$A133)=1,1,0))</f>
        <v/>
      </c>
      <c r="Z133">
        <f>IF($Y133=1,SUMPRODUCT(--($AB$2:$AB$501&lt;$AB133))+1,"")</f>
        <v/>
      </c>
      <c r="AA133">
        <f>IF($A133="","",IF(OR($T133=TRUE(),$T133="TRUE"),1,0))</f>
        <v/>
      </c>
      <c r="AB133">
        <f>IF($Y133=1,IFERROR(VALUE(MID($A133,2,20)),1000000000)+ROW()/100000,"")</f>
        <v/>
      </c>
    </row>
    <row r="134">
      <c r="F134" s="7">
        <f>IF($A134="","",E134*M134/100)</f>
        <v/>
      </c>
      <c r="I134" s="7" t="n"/>
      <c r="J134" s="7" t="n"/>
      <c r="L134" s="7" t="n"/>
      <c r="M134" s="7" t="n"/>
      <c r="N134" s="7" t="n"/>
      <c r="O134" s="7" t="n"/>
      <c r="R134" s="11" t="n"/>
      <c r="U134">
        <f>IF($A134="","",IF($AA134=1,Settings!$C$6,Settings!$C$7)*100)</f>
        <v/>
      </c>
      <c r="V134" s="7">
        <f>IF($A134="","",M134*U134/100)</f>
        <v/>
      </c>
      <c r="W134" s="7">
        <f>IF($A134="","",M134-V134)</f>
        <v/>
      </c>
      <c r="X134" s="7">
        <f>IF($A134="","",W134-F134)</f>
        <v/>
      </c>
      <c r="Y134">
        <f>IF($A134="","",IF(COUNTIF($A$2:$A134,$A134)=1,1,0))</f>
        <v/>
      </c>
      <c r="Z134">
        <f>IF($Y134=1,SUMPRODUCT(--($AB$2:$AB$501&lt;$AB134))+1,"")</f>
        <v/>
      </c>
      <c r="AA134">
        <f>IF($A134="","",IF(OR($T134=TRUE(),$T134="TRUE"),1,0))</f>
        <v/>
      </c>
      <c r="AB134">
        <f>IF($Y134=1,IFERROR(VALUE(MID($A134,2,20)),1000000000)+ROW()/100000,"")</f>
        <v/>
      </c>
    </row>
    <row r="135">
      <c r="F135" s="7">
        <f>IF($A135="","",E135*M135/100)</f>
        <v/>
      </c>
      <c r="I135" s="7" t="n"/>
      <c r="J135" s="7" t="n"/>
      <c r="L135" s="7" t="n"/>
      <c r="M135" s="7" t="n"/>
      <c r="N135" s="7" t="n"/>
      <c r="O135" s="7" t="n"/>
      <c r="R135" s="11" t="n"/>
      <c r="U135">
        <f>IF($A135="","",IF($AA135=1,Settings!$C$6,Settings!$C$7)*100)</f>
        <v/>
      </c>
      <c r="V135" s="7">
        <f>IF($A135="","",M135*U135/100)</f>
        <v/>
      </c>
      <c r="W135" s="7">
        <f>IF($A135="","",M135-V135)</f>
        <v/>
      </c>
      <c r="X135" s="7">
        <f>IF($A135="","",W135-F135)</f>
        <v/>
      </c>
      <c r="Y135">
        <f>IF($A135="","",IF(COUNTIF($A$2:$A135,$A135)=1,1,0))</f>
        <v/>
      </c>
      <c r="Z135">
        <f>IF($Y135=1,SUMPRODUCT(--($AB$2:$AB$501&lt;$AB135))+1,"")</f>
        <v/>
      </c>
      <c r="AA135">
        <f>IF($A135="","",IF(OR($T135=TRUE(),$T135="TRUE"),1,0))</f>
        <v/>
      </c>
      <c r="AB135">
        <f>IF($Y135=1,IFERROR(VALUE(MID($A135,2,20)),1000000000)+ROW()/100000,"")</f>
        <v/>
      </c>
    </row>
    <row r="136">
      <c r="F136" s="7">
        <f>IF($A136="","",E136*M136/100)</f>
        <v/>
      </c>
      <c r="I136" s="7" t="n"/>
      <c r="J136" s="7" t="n"/>
      <c r="L136" s="7" t="n"/>
      <c r="M136" s="7" t="n"/>
      <c r="N136" s="7" t="n"/>
      <c r="O136" s="7" t="n"/>
      <c r="R136" s="11" t="n"/>
      <c r="U136">
        <f>IF($A136="","",IF($AA136=1,Settings!$C$6,Settings!$C$7)*100)</f>
        <v/>
      </c>
      <c r="V136" s="7">
        <f>IF($A136="","",M136*U136/100)</f>
        <v/>
      </c>
      <c r="W136" s="7">
        <f>IF($A136="","",M136-V136)</f>
        <v/>
      </c>
      <c r="X136" s="7">
        <f>IF($A136="","",W136-F136)</f>
        <v/>
      </c>
      <c r="Y136">
        <f>IF($A136="","",IF(COUNTIF($A$2:$A136,$A136)=1,1,0))</f>
        <v/>
      </c>
      <c r="Z136">
        <f>IF($Y136=1,SUMPRODUCT(--($AB$2:$AB$501&lt;$AB136))+1,"")</f>
        <v/>
      </c>
      <c r="AA136">
        <f>IF($A136="","",IF(OR($T136=TRUE(),$T136="TRUE"),1,0))</f>
        <v/>
      </c>
      <c r="AB136">
        <f>IF($Y136=1,IFERROR(VALUE(MID($A136,2,20)),1000000000)+ROW()/100000,"")</f>
        <v/>
      </c>
    </row>
    <row r="137">
      <c r="F137" s="7">
        <f>IF($A137="","",E137*M137/100)</f>
        <v/>
      </c>
      <c r="I137" s="7" t="n"/>
      <c r="J137" s="7" t="n"/>
      <c r="L137" s="7" t="n"/>
      <c r="M137" s="7" t="n"/>
      <c r="N137" s="7" t="n"/>
      <c r="O137" s="7" t="n"/>
      <c r="R137" s="11" t="n"/>
      <c r="U137">
        <f>IF($A137="","",IF($AA137=1,Settings!$C$6,Settings!$C$7)*100)</f>
        <v/>
      </c>
      <c r="V137" s="7">
        <f>IF($A137="","",M137*U137/100)</f>
        <v/>
      </c>
      <c r="W137" s="7">
        <f>IF($A137="","",M137-V137)</f>
        <v/>
      </c>
      <c r="X137" s="7">
        <f>IF($A137="","",W137-F137)</f>
        <v/>
      </c>
      <c r="Y137">
        <f>IF($A137="","",IF(COUNTIF($A$2:$A137,$A137)=1,1,0))</f>
        <v/>
      </c>
      <c r="Z137">
        <f>IF($Y137=1,SUMPRODUCT(--($AB$2:$AB$501&lt;$AB137))+1,"")</f>
        <v/>
      </c>
      <c r="AA137">
        <f>IF($A137="","",IF(OR($T137=TRUE(),$T137="TRUE"),1,0))</f>
        <v/>
      </c>
      <c r="AB137">
        <f>IF($Y137=1,IFERROR(VALUE(MID($A137,2,20)),1000000000)+ROW()/100000,"")</f>
        <v/>
      </c>
    </row>
    <row r="138">
      <c r="F138" s="7">
        <f>IF($A138="","",E138*M138/100)</f>
        <v/>
      </c>
      <c r="I138" s="7" t="n"/>
      <c r="J138" s="7" t="n"/>
      <c r="L138" s="7" t="n"/>
      <c r="M138" s="7" t="n"/>
      <c r="N138" s="7" t="n"/>
      <c r="O138" s="7" t="n"/>
      <c r="R138" s="11" t="n"/>
      <c r="U138">
        <f>IF($A138="","",IF($AA138=1,Settings!$C$6,Settings!$C$7)*100)</f>
        <v/>
      </c>
      <c r="V138" s="7">
        <f>IF($A138="","",M138*U138/100)</f>
        <v/>
      </c>
      <c r="W138" s="7">
        <f>IF($A138="","",M138-V138)</f>
        <v/>
      </c>
      <c r="X138" s="7">
        <f>IF($A138="","",W138-F138)</f>
        <v/>
      </c>
      <c r="Y138">
        <f>IF($A138="","",IF(COUNTIF($A$2:$A138,$A138)=1,1,0))</f>
        <v/>
      </c>
      <c r="Z138">
        <f>IF($Y138=1,SUMPRODUCT(--($AB$2:$AB$501&lt;$AB138))+1,"")</f>
        <v/>
      </c>
      <c r="AA138">
        <f>IF($A138="","",IF(OR($T138=TRUE(),$T138="TRUE"),1,0))</f>
        <v/>
      </c>
      <c r="AB138">
        <f>IF($Y138=1,IFERROR(VALUE(MID($A138,2,20)),1000000000)+ROW()/100000,"")</f>
        <v/>
      </c>
    </row>
    <row r="139">
      <c r="F139" s="7">
        <f>IF($A139="","",E139*M139/100)</f>
        <v/>
      </c>
      <c r="I139" s="7" t="n"/>
      <c r="J139" s="7" t="n"/>
      <c r="L139" s="7" t="n"/>
      <c r="M139" s="7" t="n"/>
      <c r="N139" s="7" t="n"/>
      <c r="O139" s="7" t="n"/>
      <c r="R139" s="11" t="n"/>
      <c r="U139">
        <f>IF($A139="","",IF($AA139=1,Settings!$C$6,Settings!$C$7)*100)</f>
        <v/>
      </c>
      <c r="V139" s="7">
        <f>IF($A139="","",M139*U139/100)</f>
        <v/>
      </c>
      <c r="W139" s="7">
        <f>IF($A139="","",M139-V139)</f>
        <v/>
      </c>
      <c r="X139" s="7">
        <f>IF($A139="","",W139-F139)</f>
        <v/>
      </c>
      <c r="Y139">
        <f>IF($A139="","",IF(COUNTIF($A$2:$A139,$A139)=1,1,0))</f>
        <v/>
      </c>
      <c r="Z139">
        <f>IF($Y139=1,SUMPRODUCT(--($AB$2:$AB$501&lt;$AB139))+1,"")</f>
        <v/>
      </c>
      <c r="AA139">
        <f>IF($A139="","",IF(OR($T139=TRUE(),$T139="TRUE"),1,0))</f>
        <v/>
      </c>
      <c r="AB139">
        <f>IF($Y139=1,IFERROR(VALUE(MID($A139,2,20)),1000000000)+ROW()/100000,"")</f>
        <v/>
      </c>
    </row>
    <row r="140">
      <c r="F140" s="7">
        <f>IF($A140="","",E140*M140/100)</f>
        <v/>
      </c>
      <c r="I140" s="7" t="n"/>
      <c r="J140" s="7" t="n"/>
      <c r="L140" s="7" t="n"/>
      <c r="M140" s="7" t="n"/>
      <c r="N140" s="7" t="n"/>
      <c r="O140" s="7" t="n"/>
      <c r="R140" s="11" t="n"/>
      <c r="U140">
        <f>IF($A140="","",IF($AA140=1,Settings!$C$6,Settings!$C$7)*100)</f>
        <v/>
      </c>
      <c r="V140" s="7">
        <f>IF($A140="","",M140*U140/100)</f>
        <v/>
      </c>
      <c r="W140" s="7">
        <f>IF($A140="","",M140-V140)</f>
        <v/>
      </c>
      <c r="X140" s="7">
        <f>IF($A140="","",W140-F140)</f>
        <v/>
      </c>
      <c r="Y140">
        <f>IF($A140="","",IF(COUNTIF($A$2:$A140,$A140)=1,1,0))</f>
        <v/>
      </c>
      <c r="Z140">
        <f>IF($Y140=1,SUMPRODUCT(--($AB$2:$AB$501&lt;$AB140))+1,"")</f>
        <v/>
      </c>
      <c r="AA140">
        <f>IF($A140="","",IF(OR($T140=TRUE(),$T140="TRUE"),1,0))</f>
        <v/>
      </c>
      <c r="AB140">
        <f>IF($Y140=1,IFERROR(VALUE(MID($A140,2,20)),1000000000)+ROW()/100000,"")</f>
        <v/>
      </c>
    </row>
    <row r="141">
      <c r="F141" s="7">
        <f>IF($A141="","",E141*M141/100)</f>
        <v/>
      </c>
      <c r="I141" s="7" t="n"/>
      <c r="J141" s="7" t="n"/>
      <c r="L141" s="7" t="n"/>
      <c r="M141" s="7" t="n"/>
      <c r="N141" s="7" t="n"/>
      <c r="O141" s="7" t="n"/>
      <c r="R141" s="11" t="n"/>
      <c r="U141">
        <f>IF($A141="","",IF($AA141=1,Settings!$C$6,Settings!$C$7)*100)</f>
        <v/>
      </c>
      <c r="V141" s="7">
        <f>IF($A141="","",M141*U141/100)</f>
        <v/>
      </c>
      <c r="W141" s="7">
        <f>IF($A141="","",M141-V141)</f>
        <v/>
      </c>
      <c r="X141" s="7">
        <f>IF($A141="","",W141-F141)</f>
        <v/>
      </c>
      <c r="Y141">
        <f>IF($A141="","",IF(COUNTIF($A$2:$A141,$A141)=1,1,0))</f>
        <v/>
      </c>
      <c r="Z141">
        <f>IF($Y141=1,SUMPRODUCT(--($AB$2:$AB$501&lt;$AB141))+1,"")</f>
        <v/>
      </c>
      <c r="AA141">
        <f>IF($A141="","",IF(OR($T141=TRUE(),$T141="TRUE"),1,0))</f>
        <v/>
      </c>
      <c r="AB141">
        <f>IF($Y141=1,IFERROR(VALUE(MID($A141,2,20)),1000000000)+ROW()/100000,"")</f>
        <v/>
      </c>
    </row>
    <row r="142">
      <c r="F142" s="7">
        <f>IF($A142="","",E142*M142/100)</f>
        <v/>
      </c>
      <c r="I142" s="7" t="n"/>
      <c r="J142" s="7" t="n"/>
      <c r="L142" s="7" t="n"/>
      <c r="M142" s="7" t="n"/>
      <c r="N142" s="7" t="n"/>
      <c r="O142" s="7" t="n"/>
      <c r="R142" s="11" t="n"/>
      <c r="U142">
        <f>IF($A142="","",IF($AA142=1,Settings!$C$6,Settings!$C$7)*100)</f>
        <v/>
      </c>
      <c r="V142" s="7">
        <f>IF($A142="","",M142*U142/100)</f>
        <v/>
      </c>
      <c r="W142" s="7">
        <f>IF($A142="","",M142-V142)</f>
        <v/>
      </c>
      <c r="X142" s="7">
        <f>IF($A142="","",W142-F142)</f>
        <v/>
      </c>
      <c r="Y142">
        <f>IF($A142="","",IF(COUNTIF($A$2:$A142,$A142)=1,1,0))</f>
        <v/>
      </c>
      <c r="Z142">
        <f>IF($Y142=1,SUMPRODUCT(--($AB$2:$AB$501&lt;$AB142))+1,"")</f>
        <v/>
      </c>
      <c r="AA142">
        <f>IF($A142="","",IF(OR($T142=TRUE(),$T142="TRUE"),1,0))</f>
        <v/>
      </c>
      <c r="AB142">
        <f>IF($Y142=1,IFERROR(VALUE(MID($A142,2,20)),1000000000)+ROW()/100000,"")</f>
        <v/>
      </c>
    </row>
    <row r="143">
      <c r="F143" s="7">
        <f>IF($A143="","",E143*M143/100)</f>
        <v/>
      </c>
      <c r="I143" s="7" t="n"/>
      <c r="J143" s="7" t="n"/>
      <c r="L143" s="7" t="n"/>
      <c r="M143" s="7" t="n"/>
      <c r="N143" s="7" t="n"/>
      <c r="O143" s="7" t="n"/>
      <c r="R143" s="11" t="n"/>
      <c r="U143">
        <f>IF($A143="","",IF($AA143=1,Settings!$C$6,Settings!$C$7)*100)</f>
        <v/>
      </c>
      <c r="V143" s="7">
        <f>IF($A143="","",M143*U143/100)</f>
        <v/>
      </c>
      <c r="W143" s="7">
        <f>IF($A143="","",M143-V143)</f>
        <v/>
      </c>
      <c r="X143" s="7">
        <f>IF($A143="","",W143-F143)</f>
        <v/>
      </c>
      <c r="Y143">
        <f>IF($A143="","",IF(COUNTIF($A$2:$A143,$A143)=1,1,0))</f>
        <v/>
      </c>
      <c r="Z143">
        <f>IF($Y143=1,SUMPRODUCT(--($AB$2:$AB$501&lt;$AB143))+1,"")</f>
        <v/>
      </c>
      <c r="AA143">
        <f>IF($A143="","",IF(OR($T143=TRUE(),$T143="TRUE"),1,0))</f>
        <v/>
      </c>
      <c r="AB143">
        <f>IF($Y143=1,IFERROR(VALUE(MID($A143,2,20)),1000000000)+ROW()/100000,"")</f>
        <v/>
      </c>
    </row>
    <row r="144">
      <c r="F144" s="7">
        <f>IF($A144="","",E144*M144/100)</f>
        <v/>
      </c>
      <c r="I144" s="7" t="n"/>
      <c r="J144" s="7" t="n"/>
      <c r="L144" s="7" t="n"/>
      <c r="M144" s="7" t="n"/>
      <c r="N144" s="7" t="n"/>
      <c r="O144" s="7" t="n"/>
      <c r="R144" s="11" t="n"/>
      <c r="U144">
        <f>IF($A144="","",IF($AA144=1,Settings!$C$6,Settings!$C$7)*100)</f>
        <v/>
      </c>
      <c r="V144" s="7">
        <f>IF($A144="","",M144*U144/100)</f>
        <v/>
      </c>
      <c r="W144" s="7">
        <f>IF($A144="","",M144-V144)</f>
        <v/>
      </c>
      <c r="X144" s="7">
        <f>IF($A144="","",W144-F144)</f>
        <v/>
      </c>
      <c r="Y144">
        <f>IF($A144="","",IF(COUNTIF($A$2:$A144,$A144)=1,1,0))</f>
        <v/>
      </c>
      <c r="Z144">
        <f>IF($Y144=1,SUMPRODUCT(--($AB$2:$AB$501&lt;$AB144))+1,"")</f>
        <v/>
      </c>
      <c r="AA144">
        <f>IF($A144="","",IF(OR($T144=TRUE(),$T144="TRUE"),1,0))</f>
        <v/>
      </c>
      <c r="AB144">
        <f>IF($Y144=1,IFERROR(VALUE(MID($A144,2,20)),1000000000)+ROW()/100000,"")</f>
        <v/>
      </c>
    </row>
    <row r="145">
      <c r="F145" s="7">
        <f>IF($A145="","",E145*M145/100)</f>
        <v/>
      </c>
      <c r="I145" s="7" t="n"/>
      <c r="J145" s="7" t="n"/>
      <c r="L145" s="7" t="n"/>
      <c r="M145" s="7" t="n"/>
      <c r="N145" s="7" t="n"/>
      <c r="O145" s="7" t="n"/>
      <c r="R145" s="11" t="n"/>
      <c r="U145">
        <f>IF($A145="","",IF($AA145=1,Settings!$C$6,Settings!$C$7)*100)</f>
        <v/>
      </c>
      <c r="V145" s="7">
        <f>IF($A145="","",M145*U145/100)</f>
        <v/>
      </c>
      <c r="W145" s="7">
        <f>IF($A145="","",M145-V145)</f>
        <v/>
      </c>
      <c r="X145" s="7">
        <f>IF($A145="","",W145-F145)</f>
        <v/>
      </c>
      <c r="Y145">
        <f>IF($A145="","",IF(COUNTIF($A$2:$A145,$A145)=1,1,0))</f>
        <v/>
      </c>
      <c r="Z145">
        <f>IF($Y145=1,SUMPRODUCT(--($AB$2:$AB$501&lt;$AB145))+1,"")</f>
        <v/>
      </c>
      <c r="AA145">
        <f>IF($A145="","",IF(OR($T145=TRUE(),$T145="TRUE"),1,0))</f>
        <v/>
      </c>
      <c r="AB145">
        <f>IF($Y145=1,IFERROR(VALUE(MID($A145,2,20)),1000000000)+ROW()/100000,"")</f>
        <v/>
      </c>
    </row>
    <row r="146">
      <c r="F146" s="7">
        <f>IF($A146="","",E146*M146/100)</f>
        <v/>
      </c>
      <c r="I146" s="7" t="n"/>
      <c r="J146" s="7" t="n"/>
      <c r="L146" s="7" t="n"/>
      <c r="M146" s="7" t="n"/>
      <c r="N146" s="7" t="n"/>
      <c r="O146" s="7" t="n"/>
      <c r="R146" s="11" t="n"/>
      <c r="U146">
        <f>IF($A146="","",IF($AA146=1,Settings!$C$6,Settings!$C$7)*100)</f>
        <v/>
      </c>
      <c r="V146" s="7">
        <f>IF($A146="","",M146*U146/100)</f>
        <v/>
      </c>
      <c r="W146" s="7">
        <f>IF($A146="","",M146-V146)</f>
        <v/>
      </c>
      <c r="X146" s="7">
        <f>IF($A146="","",W146-F146)</f>
        <v/>
      </c>
      <c r="Y146">
        <f>IF($A146="","",IF(COUNTIF($A$2:$A146,$A146)=1,1,0))</f>
        <v/>
      </c>
      <c r="Z146">
        <f>IF($Y146=1,SUMPRODUCT(--($AB$2:$AB$501&lt;$AB146))+1,"")</f>
        <v/>
      </c>
      <c r="AA146">
        <f>IF($A146="","",IF(OR($T146=TRUE(),$T146="TRUE"),1,0))</f>
        <v/>
      </c>
      <c r="AB146">
        <f>IF($Y146=1,IFERROR(VALUE(MID($A146,2,20)),1000000000)+ROW()/100000,"")</f>
        <v/>
      </c>
    </row>
    <row r="147">
      <c r="F147" s="7">
        <f>IF($A147="","",E147*M147/100)</f>
        <v/>
      </c>
      <c r="I147" s="7" t="n"/>
      <c r="J147" s="7" t="n"/>
      <c r="L147" s="7" t="n"/>
      <c r="M147" s="7" t="n"/>
      <c r="N147" s="7" t="n"/>
      <c r="O147" s="7" t="n"/>
      <c r="R147" s="11" t="n"/>
      <c r="U147">
        <f>IF($A147="","",IF($AA147=1,Settings!$C$6,Settings!$C$7)*100)</f>
        <v/>
      </c>
      <c r="V147" s="7">
        <f>IF($A147="","",M147*U147/100)</f>
        <v/>
      </c>
      <c r="W147" s="7">
        <f>IF($A147="","",M147-V147)</f>
        <v/>
      </c>
      <c r="X147" s="7">
        <f>IF($A147="","",W147-F147)</f>
        <v/>
      </c>
      <c r="Y147">
        <f>IF($A147="","",IF(COUNTIF($A$2:$A147,$A147)=1,1,0))</f>
        <v/>
      </c>
      <c r="Z147">
        <f>IF($Y147=1,SUMPRODUCT(--($AB$2:$AB$501&lt;$AB147))+1,"")</f>
        <v/>
      </c>
      <c r="AA147">
        <f>IF($A147="","",IF(OR($T147=TRUE(),$T147="TRUE"),1,0))</f>
        <v/>
      </c>
      <c r="AB147">
        <f>IF($Y147=1,IFERROR(VALUE(MID($A147,2,20)),1000000000)+ROW()/100000,"")</f>
        <v/>
      </c>
    </row>
    <row r="148">
      <c r="F148" s="7">
        <f>IF($A148="","",E148*M148/100)</f>
        <v/>
      </c>
      <c r="I148" s="7" t="n"/>
      <c r="J148" s="7" t="n"/>
      <c r="L148" s="7" t="n"/>
      <c r="M148" s="7" t="n"/>
      <c r="N148" s="7" t="n"/>
      <c r="O148" s="7" t="n"/>
      <c r="R148" s="11" t="n"/>
      <c r="U148">
        <f>IF($A148="","",IF($AA148=1,Settings!$C$6,Settings!$C$7)*100)</f>
        <v/>
      </c>
      <c r="V148" s="7">
        <f>IF($A148="","",M148*U148/100)</f>
        <v/>
      </c>
      <c r="W148" s="7">
        <f>IF($A148="","",M148-V148)</f>
        <v/>
      </c>
      <c r="X148" s="7">
        <f>IF($A148="","",W148-F148)</f>
        <v/>
      </c>
      <c r="Y148">
        <f>IF($A148="","",IF(COUNTIF($A$2:$A148,$A148)=1,1,0))</f>
        <v/>
      </c>
      <c r="Z148">
        <f>IF($Y148=1,SUMPRODUCT(--($AB$2:$AB$501&lt;$AB148))+1,"")</f>
        <v/>
      </c>
      <c r="AA148">
        <f>IF($A148="","",IF(OR($T148=TRUE(),$T148="TRUE"),1,0))</f>
        <v/>
      </c>
      <c r="AB148">
        <f>IF($Y148=1,IFERROR(VALUE(MID($A148,2,20)),1000000000)+ROW()/100000,"")</f>
        <v/>
      </c>
    </row>
    <row r="149">
      <c r="F149" s="7">
        <f>IF($A149="","",E149*M149/100)</f>
        <v/>
      </c>
      <c r="I149" s="7" t="n"/>
      <c r="J149" s="7" t="n"/>
      <c r="L149" s="7" t="n"/>
      <c r="M149" s="7" t="n"/>
      <c r="N149" s="7" t="n"/>
      <c r="O149" s="7" t="n"/>
      <c r="R149" s="11" t="n"/>
      <c r="U149">
        <f>IF($A149="","",IF($AA149=1,Settings!$C$6,Settings!$C$7)*100)</f>
        <v/>
      </c>
      <c r="V149" s="7">
        <f>IF($A149="","",M149*U149/100)</f>
        <v/>
      </c>
      <c r="W149" s="7">
        <f>IF($A149="","",M149-V149)</f>
        <v/>
      </c>
      <c r="X149" s="7">
        <f>IF($A149="","",W149-F149)</f>
        <v/>
      </c>
      <c r="Y149">
        <f>IF($A149="","",IF(COUNTIF($A$2:$A149,$A149)=1,1,0))</f>
        <v/>
      </c>
      <c r="Z149">
        <f>IF($Y149=1,SUMPRODUCT(--($AB$2:$AB$501&lt;$AB149))+1,"")</f>
        <v/>
      </c>
      <c r="AA149">
        <f>IF($A149="","",IF(OR($T149=TRUE(),$T149="TRUE"),1,0))</f>
        <v/>
      </c>
      <c r="AB149">
        <f>IF($Y149=1,IFERROR(VALUE(MID($A149,2,20)),1000000000)+ROW()/100000,"")</f>
        <v/>
      </c>
    </row>
    <row r="150">
      <c r="F150" s="7">
        <f>IF($A150="","",E150*M150/100)</f>
        <v/>
      </c>
      <c r="I150" s="7" t="n"/>
      <c r="J150" s="7" t="n"/>
      <c r="L150" s="7" t="n"/>
      <c r="M150" s="7" t="n"/>
      <c r="N150" s="7" t="n"/>
      <c r="O150" s="7" t="n"/>
      <c r="R150" s="11" t="n"/>
      <c r="U150">
        <f>IF($A150="","",IF($AA150=1,Settings!$C$6,Settings!$C$7)*100)</f>
        <v/>
      </c>
      <c r="V150" s="7">
        <f>IF($A150="","",M150*U150/100)</f>
        <v/>
      </c>
      <c r="W150" s="7">
        <f>IF($A150="","",M150-V150)</f>
        <v/>
      </c>
      <c r="X150" s="7">
        <f>IF($A150="","",W150-F150)</f>
        <v/>
      </c>
      <c r="Y150">
        <f>IF($A150="","",IF(COUNTIF($A$2:$A150,$A150)=1,1,0))</f>
        <v/>
      </c>
      <c r="Z150">
        <f>IF($Y150=1,SUMPRODUCT(--($AB$2:$AB$501&lt;$AB150))+1,"")</f>
        <v/>
      </c>
      <c r="AA150">
        <f>IF($A150="","",IF(OR($T150=TRUE(),$T150="TRUE"),1,0))</f>
        <v/>
      </c>
      <c r="AB150">
        <f>IF($Y150=1,IFERROR(VALUE(MID($A150,2,20)),1000000000)+ROW()/100000,"")</f>
        <v/>
      </c>
    </row>
    <row r="151">
      <c r="F151" s="7">
        <f>IF($A151="","",E151*M151/100)</f>
        <v/>
      </c>
      <c r="I151" s="7" t="n"/>
      <c r="J151" s="7" t="n"/>
      <c r="L151" s="7" t="n"/>
      <c r="M151" s="7" t="n"/>
      <c r="N151" s="7" t="n"/>
      <c r="O151" s="7" t="n"/>
      <c r="R151" s="11" t="n"/>
      <c r="U151">
        <f>IF($A151="","",IF($AA151=1,Settings!$C$6,Settings!$C$7)*100)</f>
        <v/>
      </c>
      <c r="V151" s="7">
        <f>IF($A151="","",M151*U151/100)</f>
        <v/>
      </c>
      <c r="W151" s="7">
        <f>IF($A151="","",M151-V151)</f>
        <v/>
      </c>
      <c r="X151" s="7">
        <f>IF($A151="","",W151-F151)</f>
        <v/>
      </c>
      <c r="Y151">
        <f>IF($A151="","",IF(COUNTIF($A$2:$A151,$A151)=1,1,0))</f>
        <v/>
      </c>
      <c r="Z151">
        <f>IF($Y151=1,SUMPRODUCT(--($AB$2:$AB$501&lt;$AB151))+1,"")</f>
        <v/>
      </c>
      <c r="AA151">
        <f>IF($A151="","",IF(OR($T151=TRUE(),$T151="TRUE"),1,0))</f>
        <v/>
      </c>
      <c r="AB151">
        <f>IF($Y151=1,IFERROR(VALUE(MID($A151,2,20)),1000000000)+ROW()/100000,"")</f>
        <v/>
      </c>
    </row>
    <row r="152">
      <c r="F152" s="7">
        <f>IF($A152="","",E152*M152/100)</f>
        <v/>
      </c>
      <c r="I152" s="7" t="n"/>
      <c r="J152" s="7" t="n"/>
      <c r="L152" s="7" t="n"/>
      <c r="M152" s="7" t="n"/>
      <c r="N152" s="7" t="n"/>
      <c r="O152" s="7" t="n"/>
      <c r="R152" s="11" t="n"/>
      <c r="U152">
        <f>IF($A152="","",IF($AA152=1,Settings!$C$6,Settings!$C$7)*100)</f>
        <v/>
      </c>
      <c r="V152" s="7">
        <f>IF($A152="","",M152*U152/100)</f>
        <v/>
      </c>
      <c r="W152" s="7">
        <f>IF($A152="","",M152-V152)</f>
        <v/>
      </c>
      <c r="X152" s="7">
        <f>IF($A152="","",W152-F152)</f>
        <v/>
      </c>
      <c r="Y152">
        <f>IF($A152="","",IF(COUNTIF($A$2:$A152,$A152)=1,1,0))</f>
        <v/>
      </c>
      <c r="Z152">
        <f>IF($Y152=1,SUMPRODUCT(--($AB$2:$AB$501&lt;$AB152))+1,"")</f>
        <v/>
      </c>
      <c r="AA152">
        <f>IF($A152="","",IF(OR($T152=TRUE(),$T152="TRUE"),1,0))</f>
        <v/>
      </c>
      <c r="AB152">
        <f>IF($Y152=1,IFERROR(VALUE(MID($A152,2,20)),1000000000)+ROW()/100000,"")</f>
        <v/>
      </c>
    </row>
    <row r="153">
      <c r="F153" s="7">
        <f>IF($A153="","",E153*M153/100)</f>
        <v/>
      </c>
      <c r="I153" s="7" t="n"/>
      <c r="J153" s="7" t="n"/>
      <c r="L153" s="7" t="n"/>
      <c r="M153" s="7" t="n"/>
      <c r="N153" s="7" t="n"/>
      <c r="O153" s="7" t="n"/>
      <c r="R153" s="11" t="n"/>
      <c r="U153">
        <f>IF($A153="","",IF($AA153=1,Settings!$C$6,Settings!$C$7)*100)</f>
        <v/>
      </c>
      <c r="V153" s="7">
        <f>IF($A153="","",M153*U153/100)</f>
        <v/>
      </c>
      <c r="W153" s="7">
        <f>IF($A153="","",M153-V153)</f>
        <v/>
      </c>
      <c r="X153" s="7">
        <f>IF($A153="","",W153-F153)</f>
        <v/>
      </c>
      <c r="Y153">
        <f>IF($A153="","",IF(COUNTIF($A$2:$A153,$A153)=1,1,0))</f>
        <v/>
      </c>
      <c r="Z153">
        <f>IF($Y153=1,SUMPRODUCT(--($AB$2:$AB$501&lt;$AB153))+1,"")</f>
        <v/>
      </c>
      <c r="AA153">
        <f>IF($A153="","",IF(OR($T153=TRUE(),$T153="TRUE"),1,0))</f>
        <v/>
      </c>
      <c r="AB153">
        <f>IF($Y153=1,IFERROR(VALUE(MID($A153,2,20)),1000000000)+ROW()/100000,"")</f>
        <v/>
      </c>
    </row>
    <row r="154">
      <c r="F154" s="7">
        <f>IF($A154="","",E154*M154/100)</f>
        <v/>
      </c>
      <c r="I154" s="7" t="n"/>
      <c r="J154" s="7" t="n"/>
      <c r="L154" s="7" t="n"/>
      <c r="M154" s="7" t="n"/>
      <c r="N154" s="7" t="n"/>
      <c r="O154" s="7" t="n"/>
      <c r="R154" s="11" t="n"/>
      <c r="U154">
        <f>IF($A154="","",IF($AA154=1,Settings!$C$6,Settings!$C$7)*100)</f>
        <v/>
      </c>
      <c r="V154" s="7">
        <f>IF($A154="","",M154*U154/100)</f>
        <v/>
      </c>
      <c r="W154" s="7">
        <f>IF($A154="","",M154-V154)</f>
        <v/>
      </c>
      <c r="X154" s="7">
        <f>IF($A154="","",W154-F154)</f>
        <v/>
      </c>
      <c r="Y154">
        <f>IF($A154="","",IF(COUNTIF($A$2:$A154,$A154)=1,1,0))</f>
        <v/>
      </c>
      <c r="Z154">
        <f>IF($Y154=1,SUMPRODUCT(--($AB$2:$AB$501&lt;$AB154))+1,"")</f>
        <v/>
      </c>
      <c r="AA154">
        <f>IF($A154="","",IF(OR($T154=TRUE(),$T154="TRUE"),1,0))</f>
        <v/>
      </c>
      <c r="AB154">
        <f>IF($Y154=1,IFERROR(VALUE(MID($A154,2,20)),1000000000)+ROW()/100000,"")</f>
        <v/>
      </c>
    </row>
    <row r="155">
      <c r="F155" s="7">
        <f>IF($A155="","",E155*M155/100)</f>
        <v/>
      </c>
      <c r="I155" s="7" t="n"/>
      <c r="J155" s="7" t="n"/>
      <c r="L155" s="7" t="n"/>
      <c r="M155" s="7" t="n"/>
      <c r="N155" s="7" t="n"/>
      <c r="O155" s="7" t="n"/>
      <c r="R155" s="11" t="n"/>
      <c r="U155">
        <f>IF($A155="","",IF($AA155=1,Settings!$C$6,Settings!$C$7)*100)</f>
        <v/>
      </c>
      <c r="V155" s="7">
        <f>IF($A155="","",M155*U155/100)</f>
        <v/>
      </c>
      <c r="W155" s="7">
        <f>IF($A155="","",M155-V155)</f>
        <v/>
      </c>
      <c r="X155" s="7">
        <f>IF($A155="","",W155-F155)</f>
        <v/>
      </c>
      <c r="Y155">
        <f>IF($A155="","",IF(COUNTIF($A$2:$A155,$A155)=1,1,0))</f>
        <v/>
      </c>
      <c r="Z155">
        <f>IF($Y155=1,SUMPRODUCT(--($AB$2:$AB$501&lt;$AB155))+1,"")</f>
        <v/>
      </c>
      <c r="AA155">
        <f>IF($A155="","",IF(OR($T155=TRUE(),$T155="TRUE"),1,0))</f>
        <v/>
      </c>
      <c r="AB155">
        <f>IF($Y155=1,IFERROR(VALUE(MID($A155,2,20)),1000000000)+ROW()/100000,"")</f>
        <v/>
      </c>
    </row>
    <row r="156">
      <c r="F156" s="7">
        <f>IF($A156="","",E156*M156/100)</f>
        <v/>
      </c>
      <c r="I156" s="7" t="n"/>
      <c r="J156" s="7" t="n"/>
      <c r="L156" s="7" t="n"/>
      <c r="M156" s="7" t="n"/>
      <c r="N156" s="7" t="n"/>
      <c r="O156" s="7" t="n"/>
      <c r="R156" s="11" t="n"/>
      <c r="U156">
        <f>IF($A156="","",IF($AA156=1,Settings!$C$6,Settings!$C$7)*100)</f>
        <v/>
      </c>
      <c r="V156" s="7">
        <f>IF($A156="","",M156*U156/100)</f>
        <v/>
      </c>
      <c r="W156" s="7">
        <f>IF($A156="","",M156-V156)</f>
        <v/>
      </c>
      <c r="X156" s="7">
        <f>IF($A156="","",W156-F156)</f>
        <v/>
      </c>
      <c r="Y156">
        <f>IF($A156="","",IF(COUNTIF($A$2:$A156,$A156)=1,1,0))</f>
        <v/>
      </c>
      <c r="Z156">
        <f>IF($Y156=1,SUMPRODUCT(--($AB$2:$AB$501&lt;$AB156))+1,"")</f>
        <v/>
      </c>
      <c r="AA156">
        <f>IF($A156="","",IF(OR($T156=TRUE(),$T156="TRUE"),1,0))</f>
        <v/>
      </c>
      <c r="AB156">
        <f>IF($Y156=1,IFERROR(VALUE(MID($A156,2,20)),1000000000)+ROW()/100000,"")</f>
        <v/>
      </c>
    </row>
    <row r="157">
      <c r="F157" s="7">
        <f>IF($A157="","",E157*M157/100)</f>
        <v/>
      </c>
      <c r="I157" s="7" t="n"/>
      <c r="J157" s="7" t="n"/>
      <c r="L157" s="7" t="n"/>
      <c r="M157" s="7" t="n"/>
      <c r="N157" s="7" t="n"/>
      <c r="O157" s="7" t="n"/>
      <c r="R157" s="11" t="n"/>
      <c r="U157">
        <f>IF($A157="","",IF($AA157=1,Settings!$C$6,Settings!$C$7)*100)</f>
        <v/>
      </c>
      <c r="V157" s="7">
        <f>IF($A157="","",M157*U157/100)</f>
        <v/>
      </c>
      <c r="W157" s="7">
        <f>IF($A157="","",M157-V157)</f>
        <v/>
      </c>
      <c r="X157" s="7">
        <f>IF($A157="","",W157-F157)</f>
        <v/>
      </c>
      <c r="Y157">
        <f>IF($A157="","",IF(COUNTIF($A$2:$A157,$A157)=1,1,0))</f>
        <v/>
      </c>
      <c r="Z157">
        <f>IF($Y157=1,SUMPRODUCT(--($AB$2:$AB$501&lt;$AB157))+1,"")</f>
        <v/>
      </c>
      <c r="AA157">
        <f>IF($A157="","",IF(OR($T157=TRUE(),$T157="TRUE"),1,0))</f>
        <v/>
      </c>
      <c r="AB157">
        <f>IF($Y157=1,IFERROR(VALUE(MID($A157,2,20)),1000000000)+ROW()/100000,"")</f>
        <v/>
      </c>
    </row>
    <row r="158">
      <c r="F158" s="7">
        <f>IF($A158="","",E158*M158/100)</f>
        <v/>
      </c>
      <c r="I158" s="7" t="n"/>
      <c r="J158" s="7" t="n"/>
      <c r="L158" s="7" t="n"/>
      <c r="M158" s="7" t="n"/>
      <c r="N158" s="7" t="n"/>
      <c r="O158" s="7" t="n"/>
      <c r="R158" s="11" t="n"/>
      <c r="U158">
        <f>IF($A158="","",IF($AA158=1,Settings!$C$6,Settings!$C$7)*100)</f>
        <v/>
      </c>
      <c r="V158" s="7">
        <f>IF($A158="","",M158*U158/100)</f>
        <v/>
      </c>
      <c r="W158" s="7">
        <f>IF($A158="","",M158-V158)</f>
        <v/>
      </c>
      <c r="X158" s="7">
        <f>IF($A158="","",W158-F158)</f>
        <v/>
      </c>
      <c r="Y158">
        <f>IF($A158="","",IF(COUNTIF($A$2:$A158,$A158)=1,1,0))</f>
        <v/>
      </c>
      <c r="Z158">
        <f>IF($Y158=1,SUMPRODUCT(--($AB$2:$AB$501&lt;$AB158))+1,"")</f>
        <v/>
      </c>
      <c r="AA158">
        <f>IF($A158="","",IF(OR($T158=TRUE(),$T158="TRUE"),1,0))</f>
        <v/>
      </c>
      <c r="AB158">
        <f>IF($Y158=1,IFERROR(VALUE(MID($A158,2,20)),1000000000)+ROW()/100000,"")</f>
        <v/>
      </c>
    </row>
    <row r="159">
      <c r="F159" s="7">
        <f>IF($A159="","",E159*M159/100)</f>
        <v/>
      </c>
      <c r="I159" s="7" t="n"/>
      <c r="J159" s="7" t="n"/>
      <c r="L159" s="7" t="n"/>
      <c r="M159" s="7" t="n"/>
      <c r="N159" s="7" t="n"/>
      <c r="O159" s="7" t="n"/>
      <c r="R159" s="11" t="n"/>
      <c r="U159">
        <f>IF($A159="","",IF($AA159=1,Settings!$C$6,Settings!$C$7)*100)</f>
        <v/>
      </c>
      <c r="V159" s="7">
        <f>IF($A159="","",M159*U159/100)</f>
        <v/>
      </c>
      <c r="W159" s="7">
        <f>IF($A159="","",M159-V159)</f>
        <v/>
      </c>
      <c r="X159" s="7">
        <f>IF($A159="","",W159-F159)</f>
        <v/>
      </c>
      <c r="Y159">
        <f>IF($A159="","",IF(COUNTIF($A$2:$A159,$A159)=1,1,0))</f>
        <v/>
      </c>
      <c r="Z159">
        <f>IF($Y159=1,SUMPRODUCT(--($AB$2:$AB$501&lt;$AB159))+1,"")</f>
        <v/>
      </c>
      <c r="AA159">
        <f>IF($A159="","",IF(OR($T159=TRUE(),$T159="TRUE"),1,0))</f>
        <v/>
      </c>
      <c r="AB159">
        <f>IF($Y159=1,IFERROR(VALUE(MID($A159,2,20)),1000000000)+ROW()/100000,"")</f>
        <v/>
      </c>
    </row>
    <row r="160">
      <c r="F160" s="7">
        <f>IF($A160="","",E160*M160/100)</f>
        <v/>
      </c>
      <c r="I160" s="7" t="n"/>
      <c r="J160" s="7" t="n"/>
      <c r="L160" s="7" t="n"/>
      <c r="M160" s="7" t="n"/>
      <c r="N160" s="7" t="n"/>
      <c r="O160" s="7" t="n"/>
      <c r="R160" s="11" t="n"/>
      <c r="U160">
        <f>IF($A160="","",IF($AA160=1,Settings!$C$6,Settings!$C$7)*100)</f>
        <v/>
      </c>
      <c r="V160" s="7">
        <f>IF($A160="","",M160*U160/100)</f>
        <v/>
      </c>
      <c r="W160" s="7">
        <f>IF($A160="","",M160-V160)</f>
        <v/>
      </c>
      <c r="X160" s="7">
        <f>IF($A160="","",W160-F160)</f>
        <v/>
      </c>
      <c r="Y160">
        <f>IF($A160="","",IF(COUNTIF($A$2:$A160,$A160)=1,1,0))</f>
        <v/>
      </c>
      <c r="Z160">
        <f>IF($Y160=1,SUMPRODUCT(--($AB$2:$AB$501&lt;$AB160))+1,"")</f>
        <v/>
      </c>
      <c r="AA160">
        <f>IF($A160="","",IF(OR($T160=TRUE(),$T160="TRUE"),1,0))</f>
        <v/>
      </c>
      <c r="AB160">
        <f>IF($Y160=1,IFERROR(VALUE(MID($A160,2,20)),1000000000)+ROW()/100000,"")</f>
        <v/>
      </c>
    </row>
    <row r="161">
      <c r="F161" s="7">
        <f>IF($A161="","",E161*M161/100)</f>
        <v/>
      </c>
      <c r="I161" s="7" t="n"/>
      <c r="J161" s="7" t="n"/>
      <c r="L161" s="7" t="n"/>
      <c r="M161" s="7" t="n"/>
      <c r="N161" s="7" t="n"/>
      <c r="O161" s="7" t="n"/>
      <c r="R161" s="11" t="n"/>
      <c r="U161">
        <f>IF($A161="","",IF($AA161=1,Settings!$C$6,Settings!$C$7)*100)</f>
        <v/>
      </c>
      <c r="V161" s="7">
        <f>IF($A161="","",M161*U161/100)</f>
        <v/>
      </c>
      <c r="W161" s="7">
        <f>IF($A161="","",M161-V161)</f>
        <v/>
      </c>
      <c r="X161" s="7">
        <f>IF($A161="","",W161-F161)</f>
        <v/>
      </c>
      <c r="Y161">
        <f>IF($A161="","",IF(COUNTIF($A$2:$A161,$A161)=1,1,0))</f>
        <v/>
      </c>
      <c r="Z161">
        <f>IF($Y161=1,SUMPRODUCT(--($AB$2:$AB$501&lt;$AB161))+1,"")</f>
        <v/>
      </c>
      <c r="AA161">
        <f>IF($A161="","",IF(OR($T161=TRUE(),$T161="TRUE"),1,0))</f>
        <v/>
      </c>
      <c r="AB161">
        <f>IF($Y161=1,IFERROR(VALUE(MID($A161,2,20)),1000000000)+ROW()/100000,"")</f>
        <v/>
      </c>
    </row>
    <row r="162">
      <c r="F162" s="7">
        <f>IF($A162="","",E162*M162/100)</f>
        <v/>
      </c>
      <c r="I162" s="7" t="n"/>
      <c r="J162" s="7" t="n"/>
      <c r="L162" s="7" t="n"/>
      <c r="M162" s="7" t="n"/>
      <c r="N162" s="7" t="n"/>
      <c r="O162" s="7" t="n"/>
      <c r="R162" s="11" t="n"/>
      <c r="U162">
        <f>IF($A162="","",IF($AA162=1,Settings!$C$6,Settings!$C$7)*100)</f>
        <v/>
      </c>
      <c r="V162" s="7">
        <f>IF($A162="","",M162*U162/100)</f>
        <v/>
      </c>
      <c r="W162" s="7">
        <f>IF($A162="","",M162-V162)</f>
        <v/>
      </c>
      <c r="X162" s="7">
        <f>IF($A162="","",W162-F162)</f>
        <v/>
      </c>
      <c r="Y162">
        <f>IF($A162="","",IF(COUNTIF($A$2:$A162,$A162)=1,1,0))</f>
        <v/>
      </c>
      <c r="Z162">
        <f>IF($Y162=1,SUMPRODUCT(--($AB$2:$AB$501&lt;$AB162))+1,"")</f>
        <v/>
      </c>
      <c r="AA162">
        <f>IF($A162="","",IF(OR($T162=TRUE(),$T162="TRUE"),1,0))</f>
        <v/>
      </c>
      <c r="AB162">
        <f>IF($Y162=1,IFERROR(VALUE(MID($A162,2,20)),1000000000)+ROW()/100000,"")</f>
        <v/>
      </c>
    </row>
    <row r="163">
      <c r="F163" s="7">
        <f>IF($A163="","",E163*M163/100)</f>
        <v/>
      </c>
      <c r="I163" s="7" t="n"/>
      <c r="J163" s="7" t="n"/>
      <c r="L163" s="7" t="n"/>
      <c r="M163" s="7" t="n"/>
      <c r="N163" s="7" t="n"/>
      <c r="O163" s="7" t="n"/>
      <c r="R163" s="11" t="n"/>
      <c r="U163">
        <f>IF($A163="","",IF($AA163=1,Settings!$C$6,Settings!$C$7)*100)</f>
        <v/>
      </c>
      <c r="V163" s="7">
        <f>IF($A163="","",M163*U163/100)</f>
        <v/>
      </c>
      <c r="W163" s="7">
        <f>IF($A163="","",M163-V163)</f>
        <v/>
      </c>
      <c r="X163" s="7">
        <f>IF($A163="","",W163-F163)</f>
        <v/>
      </c>
      <c r="Y163">
        <f>IF($A163="","",IF(COUNTIF($A$2:$A163,$A163)=1,1,0))</f>
        <v/>
      </c>
      <c r="Z163">
        <f>IF($Y163=1,SUMPRODUCT(--($AB$2:$AB$501&lt;$AB163))+1,"")</f>
        <v/>
      </c>
      <c r="AA163">
        <f>IF($A163="","",IF(OR($T163=TRUE(),$T163="TRUE"),1,0))</f>
        <v/>
      </c>
      <c r="AB163">
        <f>IF($Y163=1,IFERROR(VALUE(MID($A163,2,20)),1000000000)+ROW()/100000,"")</f>
        <v/>
      </c>
    </row>
    <row r="164">
      <c r="F164" s="7">
        <f>IF($A164="","",E164*M164/100)</f>
        <v/>
      </c>
      <c r="I164" s="7" t="n"/>
      <c r="J164" s="7" t="n"/>
      <c r="L164" s="7" t="n"/>
      <c r="M164" s="7" t="n"/>
      <c r="N164" s="7" t="n"/>
      <c r="O164" s="7" t="n"/>
      <c r="R164" s="11" t="n"/>
      <c r="U164">
        <f>IF($A164="","",IF($AA164=1,Settings!$C$6,Settings!$C$7)*100)</f>
        <v/>
      </c>
      <c r="V164" s="7">
        <f>IF($A164="","",M164*U164/100)</f>
        <v/>
      </c>
      <c r="W164" s="7">
        <f>IF($A164="","",M164-V164)</f>
        <v/>
      </c>
      <c r="X164" s="7">
        <f>IF($A164="","",W164-F164)</f>
        <v/>
      </c>
      <c r="Y164">
        <f>IF($A164="","",IF(COUNTIF($A$2:$A164,$A164)=1,1,0))</f>
        <v/>
      </c>
      <c r="Z164">
        <f>IF($Y164=1,SUMPRODUCT(--($AB$2:$AB$501&lt;$AB164))+1,"")</f>
        <v/>
      </c>
      <c r="AA164">
        <f>IF($A164="","",IF(OR($T164=TRUE(),$T164="TRUE"),1,0))</f>
        <v/>
      </c>
      <c r="AB164">
        <f>IF($Y164=1,IFERROR(VALUE(MID($A164,2,20)),1000000000)+ROW()/100000,"")</f>
        <v/>
      </c>
    </row>
    <row r="165">
      <c r="F165" s="7">
        <f>IF($A165="","",E165*M165/100)</f>
        <v/>
      </c>
      <c r="I165" s="7" t="n"/>
      <c r="J165" s="7" t="n"/>
      <c r="L165" s="7" t="n"/>
      <c r="M165" s="7" t="n"/>
      <c r="N165" s="7" t="n"/>
      <c r="O165" s="7" t="n"/>
      <c r="R165" s="11" t="n"/>
      <c r="U165">
        <f>IF($A165="","",IF($AA165=1,Settings!$C$6,Settings!$C$7)*100)</f>
        <v/>
      </c>
      <c r="V165" s="7">
        <f>IF($A165="","",M165*U165/100)</f>
        <v/>
      </c>
      <c r="W165" s="7">
        <f>IF($A165="","",M165-V165)</f>
        <v/>
      </c>
      <c r="X165" s="7">
        <f>IF($A165="","",W165-F165)</f>
        <v/>
      </c>
      <c r="Y165">
        <f>IF($A165="","",IF(COUNTIF($A$2:$A165,$A165)=1,1,0))</f>
        <v/>
      </c>
      <c r="Z165">
        <f>IF($Y165=1,SUMPRODUCT(--($AB$2:$AB$501&lt;$AB165))+1,"")</f>
        <v/>
      </c>
      <c r="AA165">
        <f>IF($A165="","",IF(OR($T165=TRUE(),$T165="TRUE"),1,0))</f>
        <v/>
      </c>
      <c r="AB165">
        <f>IF($Y165=1,IFERROR(VALUE(MID($A165,2,20)),1000000000)+ROW()/100000,"")</f>
        <v/>
      </c>
    </row>
    <row r="166">
      <c r="F166" s="7">
        <f>IF($A166="","",E166*M166/100)</f>
        <v/>
      </c>
      <c r="I166" s="7" t="n"/>
      <c r="J166" s="7" t="n"/>
      <c r="L166" s="7" t="n"/>
      <c r="M166" s="7" t="n"/>
      <c r="N166" s="7" t="n"/>
      <c r="O166" s="7" t="n"/>
      <c r="R166" s="11" t="n"/>
      <c r="U166">
        <f>IF($A166="","",IF($AA166=1,Settings!$C$6,Settings!$C$7)*100)</f>
        <v/>
      </c>
      <c r="V166" s="7">
        <f>IF($A166="","",M166*U166/100)</f>
        <v/>
      </c>
      <c r="W166" s="7">
        <f>IF($A166="","",M166-V166)</f>
        <v/>
      </c>
      <c r="X166" s="7">
        <f>IF($A166="","",W166-F166)</f>
        <v/>
      </c>
      <c r="Y166">
        <f>IF($A166="","",IF(COUNTIF($A$2:$A166,$A166)=1,1,0))</f>
        <v/>
      </c>
      <c r="Z166">
        <f>IF($Y166=1,SUMPRODUCT(--($AB$2:$AB$501&lt;$AB166))+1,"")</f>
        <v/>
      </c>
      <c r="AA166">
        <f>IF($A166="","",IF(OR($T166=TRUE(),$T166="TRUE"),1,0))</f>
        <v/>
      </c>
      <c r="AB166">
        <f>IF($Y166=1,IFERROR(VALUE(MID($A166,2,20)),1000000000)+ROW()/100000,"")</f>
        <v/>
      </c>
    </row>
    <row r="167">
      <c r="F167" s="7">
        <f>IF($A167="","",E167*M167/100)</f>
        <v/>
      </c>
      <c r="I167" s="7" t="n"/>
      <c r="J167" s="7" t="n"/>
      <c r="L167" s="7" t="n"/>
      <c r="M167" s="7" t="n"/>
      <c r="N167" s="7" t="n"/>
      <c r="O167" s="7" t="n"/>
      <c r="R167" s="11" t="n"/>
      <c r="U167">
        <f>IF($A167="","",IF($AA167=1,Settings!$C$6,Settings!$C$7)*100)</f>
        <v/>
      </c>
      <c r="V167" s="7">
        <f>IF($A167="","",M167*U167/100)</f>
        <v/>
      </c>
      <c r="W167" s="7">
        <f>IF($A167="","",M167-V167)</f>
        <v/>
      </c>
      <c r="X167" s="7">
        <f>IF($A167="","",W167-F167)</f>
        <v/>
      </c>
      <c r="Y167">
        <f>IF($A167="","",IF(COUNTIF($A$2:$A167,$A167)=1,1,0))</f>
        <v/>
      </c>
      <c r="Z167">
        <f>IF($Y167=1,SUMPRODUCT(--($AB$2:$AB$501&lt;$AB167))+1,"")</f>
        <v/>
      </c>
      <c r="AA167">
        <f>IF($A167="","",IF(OR($T167=TRUE(),$T167="TRUE"),1,0))</f>
        <v/>
      </c>
      <c r="AB167">
        <f>IF($Y167=1,IFERROR(VALUE(MID($A167,2,20)),1000000000)+ROW()/100000,"")</f>
        <v/>
      </c>
    </row>
    <row r="168">
      <c r="F168" s="7">
        <f>IF($A168="","",E168*M168/100)</f>
        <v/>
      </c>
      <c r="I168" s="7" t="n"/>
      <c r="J168" s="7" t="n"/>
      <c r="L168" s="7" t="n"/>
      <c r="M168" s="7" t="n"/>
      <c r="N168" s="7" t="n"/>
      <c r="O168" s="7" t="n"/>
      <c r="R168" s="11" t="n"/>
      <c r="U168">
        <f>IF($A168="","",IF($AA168=1,Settings!$C$6,Settings!$C$7)*100)</f>
        <v/>
      </c>
      <c r="V168" s="7">
        <f>IF($A168="","",M168*U168/100)</f>
        <v/>
      </c>
      <c r="W168" s="7">
        <f>IF($A168="","",M168-V168)</f>
        <v/>
      </c>
      <c r="X168" s="7">
        <f>IF($A168="","",W168-F168)</f>
        <v/>
      </c>
      <c r="Y168">
        <f>IF($A168="","",IF(COUNTIF($A$2:$A168,$A168)=1,1,0))</f>
        <v/>
      </c>
      <c r="Z168">
        <f>IF($Y168=1,SUMPRODUCT(--($AB$2:$AB$501&lt;$AB168))+1,"")</f>
        <v/>
      </c>
      <c r="AA168">
        <f>IF($A168="","",IF(OR($T168=TRUE(),$T168="TRUE"),1,0))</f>
        <v/>
      </c>
      <c r="AB168">
        <f>IF($Y168=1,IFERROR(VALUE(MID($A168,2,20)),1000000000)+ROW()/100000,"")</f>
        <v/>
      </c>
    </row>
    <row r="169">
      <c r="F169" s="7">
        <f>IF($A169="","",E169*M169/100)</f>
        <v/>
      </c>
      <c r="I169" s="7" t="n"/>
      <c r="J169" s="7" t="n"/>
      <c r="L169" s="7" t="n"/>
      <c r="M169" s="7" t="n"/>
      <c r="N169" s="7" t="n"/>
      <c r="O169" s="7" t="n"/>
      <c r="R169" s="11" t="n"/>
      <c r="U169">
        <f>IF($A169="","",IF($AA169=1,Settings!$C$6,Settings!$C$7)*100)</f>
        <v/>
      </c>
      <c r="V169" s="7">
        <f>IF($A169="","",M169*U169/100)</f>
        <v/>
      </c>
      <c r="W169" s="7">
        <f>IF($A169="","",M169-V169)</f>
        <v/>
      </c>
      <c r="X169" s="7">
        <f>IF($A169="","",W169-F169)</f>
        <v/>
      </c>
      <c r="Y169">
        <f>IF($A169="","",IF(COUNTIF($A$2:$A169,$A169)=1,1,0))</f>
        <v/>
      </c>
      <c r="Z169">
        <f>IF($Y169=1,SUMPRODUCT(--($AB$2:$AB$501&lt;$AB169))+1,"")</f>
        <v/>
      </c>
      <c r="AA169">
        <f>IF($A169="","",IF(OR($T169=TRUE(),$T169="TRUE"),1,0))</f>
        <v/>
      </c>
      <c r="AB169">
        <f>IF($Y169=1,IFERROR(VALUE(MID($A169,2,20)),1000000000)+ROW()/100000,"")</f>
        <v/>
      </c>
    </row>
    <row r="170">
      <c r="F170" s="7">
        <f>IF($A170="","",E170*M170/100)</f>
        <v/>
      </c>
      <c r="I170" s="7" t="n"/>
      <c r="J170" s="7" t="n"/>
      <c r="L170" s="7" t="n"/>
      <c r="M170" s="7" t="n"/>
      <c r="N170" s="7" t="n"/>
      <c r="O170" s="7" t="n"/>
      <c r="R170" s="11" t="n"/>
      <c r="U170">
        <f>IF($A170="","",IF($AA170=1,Settings!$C$6,Settings!$C$7)*100)</f>
        <v/>
      </c>
      <c r="V170" s="7">
        <f>IF($A170="","",M170*U170/100)</f>
        <v/>
      </c>
      <c r="W170" s="7">
        <f>IF($A170="","",M170-V170)</f>
        <v/>
      </c>
      <c r="X170" s="7">
        <f>IF($A170="","",W170-F170)</f>
        <v/>
      </c>
      <c r="Y170">
        <f>IF($A170="","",IF(COUNTIF($A$2:$A170,$A170)=1,1,0))</f>
        <v/>
      </c>
      <c r="Z170">
        <f>IF($Y170=1,SUMPRODUCT(--($AB$2:$AB$501&lt;$AB170))+1,"")</f>
        <v/>
      </c>
      <c r="AA170">
        <f>IF($A170="","",IF(OR($T170=TRUE(),$T170="TRUE"),1,0))</f>
        <v/>
      </c>
      <c r="AB170">
        <f>IF($Y170=1,IFERROR(VALUE(MID($A170,2,20)),1000000000)+ROW()/100000,"")</f>
        <v/>
      </c>
    </row>
    <row r="171">
      <c r="F171" s="7">
        <f>IF($A171="","",E171*M171/100)</f>
        <v/>
      </c>
      <c r="I171" s="7" t="n"/>
      <c r="J171" s="7" t="n"/>
      <c r="L171" s="7" t="n"/>
      <c r="M171" s="7" t="n"/>
      <c r="N171" s="7" t="n"/>
      <c r="O171" s="7" t="n"/>
      <c r="R171" s="11" t="n"/>
      <c r="U171">
        <f>IF($A171="","",IF($AA171=1,Settings!$C$6,Settings!$C$7)*100)</f>
        <v/>
      </c>
      <c r="V171" s="7">
        <f>IF($A171="","",M171*U171/100)</f>
        <v/>
      </c>
      <c r="W171" s="7">
        <f>IF($A171="","",M171-V171)</f>
        <v/>
      </c>
      <c r="X171" s="7">
        <f>IF($A171="","",W171-F171)</f>
        <v/>
      </c>
      <c r="Y171">
        <f>IF($A171="","",IF(COUNTIF($A$2:$A171,$A171)=1,1,0))</f>
        <v/>
      </c>
      <c r="Z171">
        <f>IF($Y171=1,SUMPRODUCT(--($AB$2:$AB$501&lt;$AB171))+1,"")</f>
        <v/>
      </c>
      <c r="AA171">
        <f>IF($A171="","",IF(OR($T171=TRUE(),$T171="TRUE"),1,0))</f>
        <v/>
      </c>
      <c r="AB171">
        <f>IF($Y171=1,IFERROR(VALUE(MID($A171,2,20)),1000000000)+ROW()/100000,"")</f>
        <v/>
      </c>
    </row>
    <row r="172">
      <c r="F172" s="7">
        <f>IF($A172="","",E172*M172/100)</f>
        <v/>
      </c>
      <c r="I172" s="7" t="n"/>
      <c r="J172" s="7" t="n"/>
      <c r="L172" s="7" t="n"/>
      <c r="M172" s="7" t="n"/>
      <c r="N172" s="7" t="n"/>
      <c r="O172" s="7" t="n"/>
      <c r="R172" s="11" t="n"/>
      <c r="U172">
        <f>IF($A172="","",IF($AA172=1,Settings!$C$6,Settings!$C$7)*100)</f>
        <v/>
      </c>
      <c r="V172" s="7">
        <f>IF($A172="","",M172*U172/100)</f>
        <v/>
      </c>
      <c r="W172" s="7">
        <f>IF($A172="","",M172-V172)</f>
        <v/>
      </c>
      <c r="X172" s="7">
        <f>IF($A172="","",W172-F172)</f>
        <v/>
      </c>
      <c r="Y172">
        <f>IF($A172="","",IF(COUNTIF($A$2:$A172,$A172)=1,1,0))</f>
        <v/>
      </c>
      <c r="Z172">
        <f>IF($Y172=1,SUMPRODUCT(--($AB$2:$AB$501&lt;$AB172))+1,"")</f>
        <v/>
      </c>
      <c r="AA172">
        <f>IF($A172="","",IF(OR($T172=TRUE(),$T172="TRUE"),1,0))</f>
        <v/>
      </c>
      <c r="AB172">
        <f>IF($Y172=1,IFERROR(VALUE(MID($A172,2,20)),1000000000)+ROW()/100000,"")</f>
        <v/>
      </c>
    </row>
    <row r="173">
      <c r="F173" s="7">
        <f>IF($A173="","",E173*M173/100)</f>
        <v/>
      </c>
      <c r="I173" s="7" t="n"/>
      <c r="J173" s="7" t="n"/>
      <c r="L173" s="7" t="n"/>
      <c r="M173" s="7" t="n"/>
      <c r="N173" s="7" t="n"/>
      <c r="O173" s="7" t="n"/>
      <c r="R173" s="11" t="n"/>
      <c r="U173">
        <f>IF($A173="","",IF($AA173=1,Settings!$C$6,Settings!$C$7)*100)</f>
        <v/>
      </c>
      <c r="V173" s="7">
        <f>IF($A173="","",M173*U173/100)</f>
        <v/>
      </c>
      <c r="W173" s="7">
        <f>IF($A173="","",M173-V173)</f>
        <v/>
      </c>
      <c r="X173" s="7">
        <f>IF($A173="","",W173-F173)</f>
        <v/>
      </c>
      <c r="Y173">
        <f>IF($A173="","",IF(COUNTIF($A$2:$A173,$A173)=1,1,0))</f>
        <v/>
      </c>
      <c r="Z173">
        <f>IF($Y173=1,SUMPRODUCT(--($AB$2:$AB$501&lt;$AB173))+1,"")</f>
        <v/>
      </c>
      <c r="AA173">
        <f>IF($A173="","",IF(OR($T173=TRUE(),$T173="TRUE"),1,0))</f>
        <v/>
      </c>
      <c r="AB173">
        <f>IF($Y173=1,IFERROR(VALUE(MID($A173,2,20)),1000000000)+ROW()/100000,"")</f>
        <v/>
      </c>
    </row>
    <row r="174">
      <c r="F174" s="7">
        <f>IF($A174="","",E174*M174/100)</f>
        <v/>
      </c>
      <c r="I174" s="7" t="n"/>
      <c r="J174" s="7" t="n"/>
      <c r="L174" s="7" t="n"/>
      <c r="M174" s="7" t="n"/>
      <c r="N174" s="7" t="n"/>
      <c r="O174" s="7" t="n"/>
      <c r="R174" s="11" t="n"/>
      <c r="U174">
        <f>IF($A174="","",IF($AA174=1,Settings!$C$6,Settings!$C$7)*100)</f>
        <v/>
      </c>
      <c r="V174" s="7">
        <f>IF($A174="","",M174*U174/100)</f>
        <v/>
      </c>
      <c r="W174" s="7">
        <f>IF($A174="","",M174-V174)</f>
        <v/>
      </c>
      <c r="X174" s="7">
        <f>IF($A174="","",W174-F174)</f>
        <v/>
      </c>
      <c r="Y174">
        <f>IF($A174="","",IF(COUNTIF($A$2:$A174,$A174)=1,1,0))</f>
        <v/>
      </c>
      <c r="Z174">
        <f>IF($Y174=1,SUMPRODUCT(--($AB$2:$AB$501&lt;$AB174))+1,"")</f>
        <v/>
      </c>
      <c r="AA174">
        <f>IF($A174="","",IF(OR($T174=TRUE(),$T174="TRUE"),1,0))</f>
        <v/>
      </c>
      <c r="AB174">
        <f>IF($Y174=1,IFERROR(VALUE(MID($A174,2,20)),1000000000)+ROW()/100000,"")</f>
        <v/>
      </c>
    </row>
    <row r="175">
      <c r="F175" s="7">
        <f>IF($A175="","",E175*M175/100)</f>
        <v/>
      </c>
      <c r="I175" s="7" t="n"/>
      <c r="J175" s="7" t="n"/>
      <c r="L175" s="7" t="n"/>
      <c r="M175" s="7" t="n"/>
      <c r="N175" s="7" t="n"/>
      <c r="O175" s="7" t="n"/>
      <c r="R175" s="11" t="n"/>
      <c r="U175">
        <f>IF($A175="","",IF($AA175=1,Settings!$C$6,Settings!$C$7)*100)</f>
        <v/>
      </c>
      <c r="V175" s="7">
        <f>IF($A175="","",M175*U175/100)</f>
        <v/>
      </c>
      <c r="W175" s="7">
        <f>IF($A175="","",M175-V175)</f>
        <v/>
      </c>
      <c r="X175" s="7">
        <f>IF($A175="","",W175-F175)</f>
        <v/>
      </c>
      <c r="Y175">
        <f>IF($A175="","",IF(COUNTIF($A$2:$A175,$A175)=1,1,0))</f>
        <v/>
      </c>
      <c r="Z175">
        <f>IF($Y175=1,SUMPRODUCT(--($AB$2:$AB$501&lt;$AB175))+1,"")</f>
        <v/>
      </c>
      <c r="AA175">
        <f>IF($A175="","",IF(OR($T175=TRUE(),$T175="TRUE"),1,0))</f>
        <v/>
      </c>
      <c r="AB175">
        <f>IF($Y175=1,IFERROR(VALUE(MID($A175,2,20)),1000000000)+ROW()/100000,"")</f>
        <v/>
      </c>
    </row>
    <row r="176">
      <c r="F176" s="7">
        <f>IF($A176="","",E176*M176/100)</f>
        <v/>
      </c>
      <c r="I176" s="7" t="n"/>
      <c r="J176" s="7" t="n"/>
      <c r="L176" s="7" t="n"/>
      <c r="M176" s="7" t="n"/>
      <c r="N176" s="7" t="n"/>
      <c r="O176" s="7" t="n"/>
      <c r="R176" s="11" t="n"/>
      <c r="U176">
        <f>IF($A176="","",IF($AA176=1,Settings!$C$6,Settings!$C$7)*100)</f>
        <v/>
      </c>
      <c r="V176" s="7">
        <f>IF($A176="","",M176*U176/100)</f>
        <v/>
      </c>
      <c r="W176" s="7">
        <f>IF($A176="","",M176-V176)</f>
        <v/>
      </c>
      <c r="X176" s="7">
        <f>IF($A176="","",W176-F176)</f>
        <v/>
      </c>
      <c r="Y176">
        <f>IF($A176="","",IF(COUNTIF($A$2:$A176,$A176)=1,1,0))</f>
        <v/>
      </c>
      <c r="Z176">
        <f>IF($Y176=1,SUMPRODUCT(--($AB$2:$AB$501&lt;$AB176))+1,"")</f>
        <v/>
      </c>
      <c r="AA176">
        <f>IF($A176="","",IF(OR($T176=TRUE(),$T176="TRUE"),1,0))</f>
        <v/>
      </c>
      <c r="AB176">
        <f>IF($Y176=1,IFERROR(VALUE(MID($A176,2,20)),1000000000)+ROW()/100000,"")</f>
        <v/>
      </c>
    </row>
    <row r="177">
      <c r="F177" s="7">
        <f>IF($A177="","",E177*M177/100)</f>
        <v/>
      </c>
      <c r="I177" s="7" t="n"/>
      <c r="J177" s="7" t="n"/>
      <c r="L177" s="7" t="n"/>
      <c r="M177" s="7" t="n"/>
      <c r="N177" s="7" t="n"/>
      <c r="O177" s="7" t="n"/>
      <c r="R177" s="11" t="n"/>
      <c r="U177">
        <f>IF($A177="","",IF($AA177=1,Settings!$C$6,Settings!$C$7)*100)</f>
        <v/>
      </c>
      <c r="V177" s="7">
        <f>IF($A177="","",M177*U177/100)</f>
        <v/>
      </c>
      <c r="W177" s="7">
        <f>IF($A177="","",M177-V177)</f>
        <v/>
      </c>
      <c r="X177" s="7">
        <f>IF($A177="","",W177-F177)</f>
        <v/>
      </c>
      <c r="Y177">
        <f>IF($A177="","",IF(COUNTIF($A$2:$A177,$A177)=1,1,0))</f>
        <v/>
      </c>
      <c r="Z177">
        <f>IF($Y177=1,SUMPRODUCT(--($AB$2:$AB$501&lt;$AB177))+1,"")</f>
        <v/>
      </c>
      <c r="AA177">
        <f>IF($A177="","",IF(OR($T177=TRUE(),$T177="TRUE"),1,0))</f>
        <v/>
      </c>
      <c r="AB177">
        <f>IF($Y177=1,IFERROR(VALUE(MID($A177,2,20)),1000000000)+ROW()/100000,"")</f>
        <v/>
      </c>
    </row>
    <row r="178">
      <c r="F178" s="7">
        <f>IF($A178="","",E178*M178/100)</f>
        <v/>
      </c>
      <c r="I178" s="7" t="n"/>
      <c r="J178" s="7" t="n"/>
      <c r="L178" s="7" t="n"/>
      <c r="M178" s="7" t="n"/>
      <c r="N178" s="7" t="n"/>
      <c r="O178" s="7" t="n"/>
      <c r="R178" s="11" t="n"/>
      <c r="U178">
        <f>IF($A178="","",IF($AA178=1,Settings!$C$6,Settings!$C$7)*100)</f>
        <v/>
      </c>
      <c r="V178" s="7">
        <f>IF($A178="","",M178*U178/100)</f>
        <v/>
      </c>
      <c r="W178" s="7">
        <f>IF($A178="","",M178-V178)</f>
        <v/>
      </c>
      <c r="X178" s="7">
        <f>IF($A178="","",W178-F178)</f>
        <v/>
      </c>
      <c r="Y178">
        <f>IF($A178="","",IF(COUNTIF($A$2:$A178,$A178)=1,1,0))</f>
        <v/>
      </c>
      <c r="Z178">
        <f>IF($Y178=1,SUMPRODUCT(--($AB$2:$AB$501&lt;$AB178))+1,"")</f>
        <v/>
      </c>
      <c r="AA178">
        <f>IF($A178="","",IF(OR($T178=TRUE(),$T178="TRUE"),1,0))</f>
        <v/>
      </c>
      <c r="AB178">
        <f>IF($Y178=1,IFERROR(VALUE(MID($A178,2,20)),1000000000)+ROW()/100000,"")</f>
        <v/>
      </c>
    </row>
    <row r="179">
      <c r="F179" s="7">
        <f>IF($A179="","",E179*M179/100)</f>
        <v/>
      </c>
      <c r="I179" s="7" t="n"/>
      <c r="J179" s="7" t="n"/>
      <c r="L179" s="7" t="n"/>
      <c r="M179" s="7" t="n"/>
      <c r="N179" s="7" t="n"/>
      <c r="O179" s="7" t="n"/>
      <c r="R179" s="11" t="n"/>
      <c r="U179">
        <f>IF($A179="","",IF($AA179=1,Settings!$C$6,Settings!$C$7)*100)</f>
        <v/>
      </c>
      <c r="V179" s="7">
        <f>IF($A179="","",M179*U179/100)</f>
        <v/>
      </c>
      <c r="W179" s="7">
        <f>IF($A179="","",M179-V179)</f>
        <v/>
      </c>
      <c r="X179" s="7">
        <f>IF($A179="","",W179-F179)</f>
        <v/>
      </c>
      <c r="Y179">
        <f>IF($A179="","",IF(COUNTIF($A$2:$A179,$A179)=1,1,0))</f>
        <v/>
      </c>
      <c r="Z179">
        <f>IF($Y179=1,SUMPRODUCT(--($AB$2:$AB$501&lt;$AB179))+1,"")</f>
        <v/>
      </c>
      <c r="AA179">
        <f>IF($A179="","",IF(OR($T179=TRUE(),$T179="TRUE"),1,0))</f>
        <v/>
      </c>
      <c r="AB179">
        <f>IF($Y179=1,IFERROR(VALUE(MID($A179,2,20)),1000000000)+ROW()/100000,"")</f>
        <v/>
      </c>
    </row>
    <row r="180">
      <c r="F180" s="7">
        <f>IF($A180="","",E180*M180/100)</f>
        <v/>
      </c>
      <c r="I180" s="7" t="n"/>
      <c r="J180" s="7" t="n"/>
      <c r="L180" s="7" t="n"/>
      <c r="M180" s="7" t="n"/>
      <c r="N180" s="7" t="n"/>
      <c r="O180" s="7" t="n"/>
      <c r="R180" s="11" t="n"/>
      <c r="U180">
        <f>IF($A180="","",IF($AA180=1,Settings!$C$6,Settings!$C$7)*100)</f>
        <v/>
      </c>
      <c r="V180" s="7">
        <f>IF($A180="","",M180*U180/100)</f>
        <v/>
      </c>
      <c r="W180" s="7">
        <f>IF($A180="","",M180-V180)</f>
        <v/>
      </c>
      <c r="X180" s="7">
        <f>IF($A180="","",W180-F180)</f>
        <v/>
      </c>
      <c r="Y180">
        <f>IF($A180="","",IF(COUNTIF($A$2:$A180,$A180)=1,1,0))</f>
        <v/>
      </c>
      <c r="Z180">
        <f>IF($Y180=1,SUMPRODUCT(--($AB$2:$AB$501&lt;$AB180))+1,"")</f>
        <v/>
      </c>
      <c r="AA180">
        <f>IF($A180="","",IF(OR($T180=TRUE(),$T180="TRUE"),1,0))</f>
        <v/>
      </c>
      <c r="AB180">
        <f>IF($Y180=1,IFERROR(VALUE(MID($A180,2,20)),1000000000)+ROW()/100000,"")</f>
        <v/>
      </c>
    </row>
    <row r="181">
      <c r="F181" s="7">
        <f>IF($A181="","",E181*M181/100)</f>
        <v/>
      </c>
      <c r="I181" s="7" t="n"/>
      <c r="J181" s="7" t="n"/>
      <c r="L181" s="7" t="n"/>
      <c r="M181" s="7" t="n"/>
      <c r="N181" s="7" t="n"/>
      <c r="O181" s="7" t="n"/>
      <c r="R181" s="11" t="n"/>
      <c r="U181">
        <f>IF($A181="","",IF($AA181=1,Settings!$C$6,Settings!$C$7)*100)</f>
        <v/>
      </c>
      <c r="V181" s="7">
        <f>IF($A181="","",M181*U181/100)</f>
        <v/>
      </c>
      <c r="W181" s="7">
        <f>IF($A181="","",M181-V181)</f>
        <v/>
      </c>
      <c r="X181" s="7">
        <f>IF($A181="","",W181-F181)</f>
        <v/>
      </c>
      <c r="Y181">
        <f>IF($A181="","",IF(COUNTIF($A$2:$A181,$A181)=1,1,0))</f>
        <v/>
      </c>
      <c r="Z181">
        <f>IF($Y181=1,SUMPRODUCT(--($AB$2:$AB$501&lt;$AB181))+1,"")</f>
        <v/>
      </c>
      <c r="AA181">
        <f>IF($A181="","",IF(OR($T181=TRUE(),$T181="TRUE"),1,0))</f>
        <v/>
      </c>
      <c r="AB181">
        <f>IF($Y181=1,IFERROR(VALUE(MID($A181,2,20)),1000000000)+ROW()/100000,"")</f>
        <v/>
      </c>
    </row>
    <row r="182">
      <c r="F182" s="7">
        <f>IF($A182="","",E182*M182/100)</f>
        <v/>
      </c>
      <c r="I182" s="7" t="n"/>
      <c r="J182" s="7" t="n"/>
      <c r="L182" s="7" t="n"/>
      <c r="M182" s="7" t="n"/>
      <c r="N182" s="7" t="n"/>
      <c r="O182" s="7" t="n"/>
      <c r="R182" s="11" t="n"/>
      <c r="U182">
        <f>IF($A182="","",IF($AA182=1,Settings!$C$6,Settings!$C$7)*100)</f>
        <v/>
      </c>
      <c r="V182" s="7">
        <f>IF($A182="","",M182*U182/100)</f>
        <v/>
      </c>
      <c r="W182" s="7">
        <f>IF($A182="","",M182-V182)</f>
        <v/>
      </c>
      <c r="X182" s="7">
        <f>IF($A182="","",W182-F182)</f>
        <v/>
      </c>
      <c r="Y182">
        <f>IF($A182="","",IF(COUNTIF($A$2:$A182,$A182)=1,1,0))</f>
        <v/>
      </c>
      <c r="Z182">
        <f>IF($Y182=1,SUMPRODUCT(--($AB$2:$AB$501&lt;$AB182))+1,"")</f>
        <v/>
      </c>
      <c r="AA182">
        <f>IF($A182="","",IF(OR($T182=TRUE(),$T182="TRUE"),1,0))</f>
        <v/>
      </c>
      <c r="AB182">
        <f>IF($Y182=1,IFERROR(VALUE(MID($A182,2,20)),1000000000)+ROW()/100000,"")</f>
        <v/>
      </c>
    </row>
    <row r="183">
      <c r="F183" s="7">
        <f>IF($A183="","",E183*M183/100)</f>
        <v/>
      </c>
      <c r="I183" s="7" t="n"/>
      <c r="J183" s="7" t="n"/>
      <c r="L183" s="7" t="n"/>
      <c r="M183" s="7" t="n"/>
      <c r="N183" s="7" t="n"/>
      <c r="O183" s="7" t="n"/>
      <c r="R183" s="11" t="n"/>
      <c r="U183">
        <f>IF($A183="","",IF($AA183=1,Settings!$C$6,Settings!$C$7)*100)</f>
        <v/>
      </c>
      <c r="V183" s="7">
        <f>IF($A183="","",M183*U183/100)</f>
        <v/>
      </c>
      <c r="W183" s="7">
        <f>IF($A183="","",M183-V183)</f>
        <v/>
      </c>
      <c r="X183" s="7">
        <f>IF($A183="","",W183-F183)</f>
        <v/>
      </c>
      <c r="Y183">
        <f>IF($A183="","",IF(COUNTIF($A$2:$A183,$A183)=1,1,0))</f>
        <v/>
      </c>
      <c r="Z183">
        <f>IF($Y183=1,SUMPRODUCT(--($AB$2:$AB$501&lt;$AB183))+1,"")</f>
        <v/>
      </c>
      <c r="AA183">
        <f>IF($A183="","",IF(OR($T183=TRUE(),$T183="TRUE"),1,0))</f>
        <v/>
      </c>
      <c r="AB183">
        <f>IF($Y183=1,IFERROR(VALUE(MID($A183,2,20)),1000000000)+ROW()/100000,"")</f>
        <v/>
      </c>
    </row>
    <row r="184">
      <c r="F184" s="7">
        <f>IF($A184="","",E184*M184/100)</f>
        <v/>
      </c>
      <c r="I184" s="7" t="n"/>
      <c r="J184" s="7" t="n"/>
      <c r="L184" s="7" t="n"/>
      <c r="M184" s="7" t="n"/>
      <c r="N184" s="7" t="n"/>
      <c r="O184" s="7" t="n"/>
      <c r="R184" s="11" t="n"/>
      <c r="U184">
        <f>IF($A184="","",IF($AA184=1,Settings!$C$6,Settings!$C$7)*100)</f>
        <v/>
      </c>
      <c r="V184" s="7">
        <f>IF($A184="","",M184*U184/100)</f>
        <v/>
      </c>
      <c r="W184" s="7">
        <f>IF($A184="","",M184-V184)</f>
        <v/>
      </c>
      <c r="X184" s="7">
        <f>IF($A184="","",W184-F184)</f>
        <v/>
      </c>
      <c r="Y184">
        <f>IF($A184="","",IF(COUNTIF($A$2:$A184,$A184)=1,1,0))</f>
        <v/>
      </c>
      <c r="Z184">
        <f>IF($Y184=1,SUMPRODUCT(--($AB$2:$AB$501&lt;$AB184))+1,"")</f>
        <v/>
      </c>
      <c r="AA184">
        <f>IF($A184="","",IF(OR($T184=TRUE(),$T184="TRUE"),1,0))</f>
        <v/>
      </c>
      <c r="AB184">
        <f>IF($Y184=1,IFERROR(VALUE(MID($A184,2,20)),1000000000)+ROW()/100000,"")</f>
        <v/>
      </c>
    </row>
    <row r="185">
      <c r="F185" s="7">
        <f>IF($A185="","",E185*M185/100)</f>
        <v/>
      </c>
      <c r="I185" s="7" t="n"/>
      <c r="J185" s="7" t="n"/>
      <c r="L185" s="7" t="n"/>
      <c r="M185" s="7" t="n"/>
      <c r="N185" s="7" t="n"/>
      <c r="O185" s="7" t="n"/>
      <c r="R185" s="11" t="n"/>
      <c r="U185">
        <f>IF($A185="","",IF($AA185=1,Settings!$C$6,Settings!$C$7)*100)</f>
        <v/>
      </c>
      <c r="V185" s="7">
        <f>IF($A185="","",M185*U185/100)</f>
        <v/>
      </c>
      <c r="W185" s="7">
        <f>IF($A185="","",M185-V185)</f>
        <v/>
      </c>
      <c r="X185" s="7">
        <f>IF($A185="","",W185-F185)</f>
        <v/>
      </c>
      <c r="Y185">
        <f>IF($A185="","",IF(COUNTIF($A$2:$A185,$A185)=1,1,0))</f>
        <v/>
      </c>
      <c r="Z185">
        <f>IF($Y185=1,SUMPRODUCT(--($AB$2:$AB$501&lt;$AB185))+1,"")</f>
        <v/>
      </c>
      <c r="AA185">
        <f>IF($A185="","",IF(OR($T185=TRUE(),$T185="TRUE"),1,0))</f>
        <v/>
      </c>
      <c r="AB185">
        <f>IF($Y185=1,IFERROR(VALUE(MID($A185,2,20)),1000000000)+ROW()/100000,"")</f>
        <v/>
      </c>
    </row>
    <row r="186">
      <c r="F186" s="7">
        <f>IF($A186="","",E186*M186/100)</f>
        <v/>
      </c>
      <c r="I186" s="7" t="n"/>
      <c r="J186" s="7" t="n"/>
      <c r="L186" s="7" t="n"/>
      <c r="M186" s="7" t="n"/>
      <c r="N186" s="7" t="n"/>
      <c r="O186" s="7" t="n"/>
      <c r="R186" s="11" t="n"/>
      <c r="U186">
        <f>IF($A186="","",IF($AA186=1,Settings!$C$6,Settings!$C$7)*100)</f>
        <v/>
      </c>
      <c r="V186" s="7">
        <f>IF($A186="","",M186*U186/100)</f>
        <v/>
      </c>
      <c r="W186" s="7">
        <f>IF($A186="","",M186-V186)</f>
        <v/>
      </c>
      <c r="X186" s="7">
        <f>IF($A186="","",W186-F186)</f>
        <v/>
      </c>
      <c r="Y186">
        <f>IF($A186="","",IF(COUNTIF($A$2:$A186,$A186)=1,1,0))</f>
        <v/>
      </c>
      <c r="Z186">
        <f>IF($Y186=1,SUMPRODUCT(--($AB$2:$AB$501&lt;$AB186))+1,"")</f>
        <v/>
      </c>
      <c r="AA186">
        <f>IF($A186="","",IF(OR($T186=TRUE(),$T186="TRUE"),1,0))</f>
        <v/>
      </c>
      <c r="AB186">
        <f>IF($Y186=1,IFERROR(VALUE(MID($A186,2,20)),1000000000)+ROW()/100000,"")</f>
        <v/>
      </c>
    </row>
    <row r="187">
      <c r="F187" s="7">
        <f>IF($A187="","",E187*M187/100)</f>
        <v/>
      </c>
      <c r="I187" s="7" t="n"/>
      <c r="J187" s="7" t="n"/>
      <c r="L187" s="7" t="n"/>
      <c r="M187" s="7" t="n"/>
      <c r="N187" s="7" t="n"/>
      <c r="O187" s="7" t="n"/>
      <c r="R187" s="11" t="n"/>
      <c r="U187">
        <f>IF($A187="","",IF($AA187=1,Settings!$C$6,Settings!$C$7)*100)</f>
        <v/>
      </c>
      <c r="V187" s="7">
        <f>IF($A187="","",M187*U187/100)</f>
        <v/>
      </c>
      <c r="W187" s="7">
        <f>IF($A187="","",M187-V187)</f>
        <v/>
      </c>
      <c r="X187" s="7">
        <f>IF($A187="","",W187-F187)</f>
        <v/>
      </c>
      <c r="Y187">
        <f>IF($A187="","",IF(COUNTIF($A$2:$A187,$A187)=1,1,0))</f>
        <v/>
      </c>
      <c r="Z187">
        <f>IF($Y187=1,SUMPRODUCT(--($AB$2:$AB$501&lt;$AB187))+1,"")</f>
        <v/>
      </c>
      <c r="AA187">
        <f>IF($A187="","",IF(OR($T187=TRUE(),$T187="TRUE"),1,0))</f>
        <v/>
      </c>
      <c r="AB187">
        <f>IF($Y187=1,IFERROR(VALUE(MID($A187,2,20)),1000000000)+ROW()/100000,"")</f>
        <v/>
      </c>
    </row>
    <row r="188">
      <c r="F188" s="7">
        <f>IF($A188="","",E188*M188/100)</f>
        <v/>
      </c>
      <c r="I188" s="7" t="n"/>
      <c r="J188" s="7" t="n"/>
      <c r="L188" s="7" t="n"/>
      <c r="M188" s="7" t="n"/>
      <c r="N188" s="7" t="n"/>
      <c r="O188" s="7" t="n"/>
      <c r="R188" s="11" t="n"/>
      <c r="U188">
        <f>IF($A188="","",IF($AA188=1,Settings!$C$6,Settings!$C$7)*100)</f>
        <v/>
      </c>
      <c r="V188" s="7">
        <f>IF($A188="","",M188*U188/100)</f>
        <v/>
      </c>
      <c r="W188" s="7">
        <f>IF($A188="","",M188-V188)</f>
        <v/>
      </c>
      <c r="X188" s="7">
        <f>IF($A188="","",W188-F188)</f>
        <v/>
      </c>
      <c r="Y188">
        <f>IF($A188="","",IF(COUNTIF($A$2:$A188,$A188)=1,1,0))</f>
        <v/>
      </c>
      <c r="Z188">
        <f>IF($Y188=1,SUMPRODUCT(--($AB$2:$AB$501&lt;$AB188))+1,"")</f>
        <v/>
      </c>
      <c r="AA188">
        <f>IF($A188="","",IF(OR($T188=TRUE(),$T188="TRUE"),1,0))</f>
        <v/>
      </c>
      <c r="AB188">
        <f>IF($Y188=1,IFERROR(VALUE(MID($A188,2,20)),1000000000)+ROW()/100000,"")</f>
        <v/>
      </c>
    </row>
    <row r="189">
      <c r="F189" s="7">
        <f>IF($A189="","",E189*M189/100)</f>
        <v/>
      </c>
      <c r="I189" s="7" t="n"/>
      <c r="J189" s="7" t="n"/>
      <c r="L189" s="7" t="n"/>
      <c r="M189" s="7" t="n"/>
      <c r="N189" s="7" t="n"/>
      <c r="O189" s="7" t="n"/>
      <c r="R189" s="11" t="n"/>
      <c r="U189">
        <f>IF($A189="","",IF($AA189=1,Settings!$C$6,Settings!$C$7)*100)</f>
        <v/>
      </c>
      <c r="V189" s="7">
        <f>IF($A189="","",M189*U189/100)</f>
        <v/>
      </c>
      <c r="W189" s="7">
        <f>IF($A189="","",M189-V189)</f>
        <v/>
      </c>
      <c r="X189" s="7">
        <f>IF($A189="","",W189-F189)</f>
        <v/>
      </c>
      <c r="Y189">
        <f>IF($A189="","",IF(COUNTIF($A$2:$A189,$A189)=1,1,0))</f>
        <v/>
      </c>
      <c r="Z189">
        <f>IF($Y189=1,SUMPRODUCT(--($AB$2:$AB$501&lt;$AB189))+1,"")</f>
        <v/>
      </c>
      <c r="AA189">
        <f>IF($A189="","",IF(OR($T189=TRUE(),$T189="TRUE"),1,0))</f>
        <v/>
      </c>
      <c r="AB189">
        <f>IF($Y189=1,IFERROR(VALUE(MID($A189,2,20)),1000000000)+ROW()/100000,"")</f>
        <v/>
      </c>
    </row>
    <row r="190">
      <c r="F190" s="7">
        <f>IF($A190="","",E190*M190/100)</f>
        <v/>
      </c>
      <c r="I190" s="7" t="n"/>
      <c r="J190" s="7" t="n"/>
      <c r="L190" s="7" t="n"/>
      <c r="M190" s="7" t="n"/>
      <c r="N190" s="7" t="n"/>
      <c r="O190" s="7" t="n"/>
      <c r="R190" s="11" t="n"/>
      <c r="U190">
        <f>IF($A190="","",IF($AA190=1,Settings!$C$6,Settings!$C$7)*100)</f>
        <v/>
      </c>
      <c r="V190" s="7">
        <f>IF($A190="","",M190*U190/100)</f>
        <v/>
      </c>
      <c r="W190" s="7">
        <f>IF($A190="","",M190-V190)</f>
        <v/>
      </c>
      <c r="X190" s="7">
        <f>IF($A190="","",W190-F190)</f>
        <v/>
      </c>
      <c r="Y190">
        <f>IF($A190="","",IF(COUNTIF($A$2:$A190,$A190)=1,1,0))</f>
        <v/>
      </c>
      <c r="Z190">
        <f>IF($Y190=1,SUMPRODUCT(--($AB$2:$AB$501&lt;$AB190))+1,"")</f>
        <v/>
      </c>
      <c r="AA190">
        <f>IF($A190="","",IF(OR($T190=TRUE(),$T190="TRUE"),1,0))</f>
        <v/>
      </c>
      <c r="AB190">
        <f>IF($Y190=1,IFERROR(VALUE(MID($A190,2,20)),1000000000)+ROW()/100000,"")</f>
        <v/>
      </c>
    </row>
    <row r="191">
      <c r="F191" s="7">
        <f>IF($A191="","",E191*M191/100)</f>
        <v/>
      </c>
      <c r="I191" s="7" t="n"/>
      <c r="J191" s="7" t="n"/>
      <c r="L191" s="7" t="n"/>
      <c r="M191" s="7" t="n"/>
      <c r="N191" s="7" t="n"/>
      <c r="O191" s="7" t="n"/>
      <c r="R191" s="11" t="n"/>
      <c r="U191">
        <f>IF($A191="","",IF($AA191=1,Settings!$C$6,Settings!$C$7)*100)</f>
        <v/>
      </c>
      <c r="V191" s="7">
        <f>IF($A191="","",M191*U191/100)</f>
        <v/>
      </c>
      <c r="W191" s="7">
        <f>IF($A191="","",M191-V191)</f>
        <v/>
      </c>
      <c r="X191" s="7">
        <f>IF($A191="","",W191-F191)</f>
        <v/>
      </c>
      <c r="Y191">
        <f>IF($A191="","",IF(COUNTIF($A$2:$A191,$A191)=1,1,0))</f>
        <v/>
      </c>
      <c r="Z191">
        <f>IF($Y191=1,SUMPRODUCT(--($AB$2:$AB$501&lt;$AB191))+1,"")</f>
        <v/>
      </c>
      <c r="AA191">
        <f>IF($A191="","",IF(OR($T191=TRUE(),$T191="TRUE"),1,0))</f>
        <v/>
      </c>
      <c r="AB191">
        <f>IF($Y191=1,IFERROR(VALUE(MID($A191,2,20)),1000000000)+ROW()/100000,"")</f>
        <v/>
      </c>
    </row>
    <row r="192">
      <c r="F192" s="7">
        <f>IF($A192="","",E192*M192/100)</f>
        <v/>
      </c>
      <c r="I192" s="7" t="n"/>
      <c r="J192" s="7" t="n"/>
      <c r="L192" s="7" t="n"/>
      <c r="M192" s="7" t="n"/>
      <c r="N192" s="7" t="n"/>
      <c r="O192" s="7" t="n"/>
      <c r="R192" s="11" t="n"/>
      <c r="U192">
        <f>IF($A192="","",IF($AA192=1,Settings!$C$6,Settings!$C$7)*100)</f>
        <v/>
      </c>
      <c r="V192" s="7">
        <f>IF($A192="","",M192*U192/100)</f>
        <v/>
      </c>
      <c r="W192" s="7">
        <f>IF($A192="","",M192-V192)</f>
        <v/>
      </c>
      <c r="X192" s="7">
        <f>IF($A192="","",W192-F192)</f>
        <v/>
      </c>
      <c r="Y192">
        <f>IF($A192="","",IF(COUNTIF($A$2:$A192,$A192)=1,1,0))</f>
        <v/>
      </c>
      <c r="Z192">
        <f>IF($Y192=1,SUMPRODUCT(--($AB$2:$AB$501&lt;$AB192))+1,"")</f>
        <v/>
      </c>
      <c r="AA192">
        <f>IF($A192="","",IF(OR($T192=TRUE(),$T192="TRUE"),1,0))</f>
        <v/>
      </c>
      <c r="AB192">
        <f>IF($Y192=1,IFERROR(VALUE(MID($A192,2,20)),1000000000)+ROW()/100000,"")</f>
        <v/>
      </c>
    </row>
    <row r="193">
      <c r="F193" s="7">
        <f>IF($A193="","",E193*M193/100)</f>
        <v/>
      </c>
      <c r="I193" s="7" t="n"/>
      <c r="J193" s="7" t="n"/>
      <c r="L193" s="7" t="n"/>
      <c r="M193" s="7" t="n"/>
      <c r="N193" s="7" t="n"/>
      <c r="O193" s="7" t="n"/>
      <c r="R193" s="11" t="n"/>
      <c r="U193">
        <f>IF($A193="","",IF($AA193=1,Settings!$C$6,Settings!$C$7)*100)</f>
        <v/>
      </c>
      <c r="V193" s="7">
        <f>IF($A193="","",M193*U193/100)</f>
        <v/>
      </c>
      <c r="W193" s="7">
        <f>IF($A193="","",M193-V193)</f>
        <v/>
      </c>
      <c r="X193" s="7">
        <f>IF($A193="","",W193-F193)</f>
        <v/>
      </c>
      <c r="Y193">
        <f>IF($A193="","",IF(COUNTIF($A$2:$A193,$A193)=1,1,0))</f>
        <v/>
      </c>
      <c r="Z193">
        <f>IF($Y193=1,SUMPRODUCT(--($AB$2:$AB$501&lt;$AB193))+1,"")</f>
        <v/>
      </c>
      <c r="AA193">
        <f>IF($A193="","",IF(OR($T193=TRUE(),$T193="TRUE"),1,0))</f>
        <v/>
      </c>
      <c r="AB193">
        <f>IF($Y193=1,IFERROR(VALUE(MID($A193,2,20)),1000000000)+ROW()/100000,"")</f>
        <v/>
      </c>
    </row>
    <row r="194">
      <c r="F194" s="7">
        <f>IF($A194="","",E194*M194/100)</f>
        <v/>
      </c>
      <c r="I194" s="7" t="n"/>
      <c r="J194" s="7" t="n"/>
      <c r="L194" s="7" t="n"/>
      <c r="M194" s="7" t="n"/>
      <c r="N194" s="7" t="n"/>
      <c r="O194" s="7" t="n"/>
      <c r="R194" s="11" t="n"/>
      <c r="U194">
        <f>IF($A194="","",IF($AA194=1,Settings!$C$6,Settings!$C$7)*100)</f>
        <v/>
      </c>
      <c r="V194" s="7">
        <f>IF($A194="","",M194*U194/100)</f>
        <v/>
      </c>
      <c r="W194" s="7">
        <f>IF($A194="","",M194-V194)</f>
        <v/>
      </c>
      <c r="X194" s="7">
        <f>IF($A194="","",W194-F194)</f>
        <v/>
      </c>
      <c r="Y194">
        <f>IF($A194="","",IF(COUNTIF($A$2:$A194,$A194)=1,1,0))</f>
        <v/>
      </c>
      <c r="Z194">
        <f>IF($Y194=1,SUMPRODUCT(--($AB$2:$AB$501&lt;$AB194))+1,"")</f>
        <v/>
      </c>
      <c r="AA194">
        <f>IF($A194="","",IF(OR($T194=TRUE(),$T194="TRUE"),1,0))</f>
        <v/>
      </c>
      <c r="AB194">
        <f>IF($Y194=1,IFERROR(VALUE(MID($A194,2,20)),1000000000)+ROW()/100000,"")</f>
        <v/>
      </c>
    </row>
    <row r="195">
      <c r="F195" s="7">
        <f>IF($A195="","",E195*M195/100)</f>
        <v/>
      </c>
      <c r="I195" s="7" t="n"/>
      <c r="J195" s="7" t="n"/>
      <c r="L195" s="7" t="n"/>
      <c r="M195" s="7" t="n"/>
      <c r="N195" s="7" t="n"/>
      <c r="O195" s="7" t="n"/>
      <c r="R195" s="11" t="n"/>
      <c r="U195">
        <f>IF($A195="","",IF($AA195=1,Settings!$C$6,Settings!$C$7)*100)</f>
        <v/>
      </c>
      <c r="V195" s="7">
        <f>IF($A195="","",M195*U195/100)</f>
        <v/>
      </c>
      <c r="W195" s="7">
        <f>IF($A195="","",M195-V195)</f>
        <v/>
      </c>
      <c r="X195" s="7">
        <f>IF($A195="","",W195-F195)</f>
        <v/>
      </c>
      <c r="Y195">
        <f>IF($A195="","",IF(COUNTIF($A$2:$A195,$A195)=1,1,0))</f>
        <v/>
      </c>
      <c r="Z195">
        <f>IF($Y195=1,SUMPRODUCT(--($AB$2:$AB$501&lt;$AB195))+1,"")</f>
        <v/>
      </c>
      <c r="AA195">
        <f>IF($A195="","",IF(OR($T195=TRUE(),$T195="TRUE"),1,0))</f>
        <v/>
      </c>
      <c r="AB195">
        <f>IF($Y195=1,IFERROR(VALUE(MID($A195,2,20)),1000000000)+ROW()/100000,"")</f>
        <v/>
      </c>
    </row>
    <row r="196">
      <c r="F196" s="7">
        <f>IF($A196="","",E196*M196/100)</f>
        <v/>
      </c>
      <c r="I196" s="7" t="n"/>
      <c r="J196" s="7" t="n"/>
      <c r="L196" s="7" t="n"/>
      <c r="M196" s="7" t="n"/>
      <c r="N196" s="7" t="n"/>
      <c r="O196" s="7" t="n"/>
      <c r="R196" s="11" t="n"/>
      <c r="U196">
        <f>IF($A196="","",IF($AA196=1,Settings!$C$6,Settings!$C$7)*100)</f>
        <v/>
      </c>
      <c r="V196" s="7">
        <f>IF($A196="","",M196*U196/100)</f>
        <v/>
      </c>
      <c r="W196" s="7">
        <f>IF($A196="","",M196-V196)</f>
        <v/>
      </c>
      <c r="X196" s="7">
        <f>IF($A196="","",W196-F196)</f>
        <v/>
      </c>
      <c r="Y196">
        <f>IF($A196="","",IF(COUNTIF($A$2:$A196,$A196)=1,1,0))</f>
        <v/>
      </c>
      <c r="Z196">
        <f>IF($Y196=1,SUMPRODUCT(--($AB$2:$AB$501&lt;$AB196))+1,"")</f>
        <v/>
      </c>
      <c r="AA196">
        <f>IF($A196="","",IF(OR($T196=TRUE(),$T196="TRUE"),1,0))</f>
        <v/>
      </c>
      <c r="AB196">
        <f>IF($Y196=1,IFERROR(VALUE(MID($A196,2,20)),1000000000)+ROW()/100000,"")</f>
        <v/>
      </c>
    </row>
    <row r="197">
      <c r="F197" s="7">
        <f>IF($A197="","",E197*M197/100)</f>
        <v/>
      </c>
      <c r="I197" s="7" t="n"/>
      <c r="J197" s="7" t="n"/>
      <c r="L197" s="7" t="n"/>
      <c r="M197" s="7" t="n"/>
      <c r="N197" s="7" t="n"/>
      <c r="O197" s="7" t="n"/>
      <c r="R197" s="11" t="n"/>
      <c r="U197">
        <f>IF($A197="","",IF($AA197=1,Settings!$C$6,Settings!$C$7)*100)</f>
        <v/>
      </c>
      <c r="V197" s="7">
        <f>IF($A197="","",M197*U197/100)</f>
        <v/>
      </c>
      <c r="W197" s="7">
        <f>IF($A197="","",M197-V197)</f>
        <v/>
      </c>
      <c r="X197" s="7">
        <f>IF($A197="","",W197-F197)</f>
        <v/>
      </c>
      <c r="Y197">
        <f>IF($A197="","",IF(COUNTIF($A$2:$A197,$A197)=1,1,0))</f>
        <v/>
      </c>
      <c r="Z197">
        <f>IF($Y197=1,SUMPRODUCT(--($AB$2:$AB$501&lt;$AB197))+1,"")</f>
        <v/>
      </c>
      <c r="AA197">
        <f>IF($A197="","",IF(OR($T197=TRUE(),$T197="TRUE"),1,0))</f>
        <v/>
      </c>
      <c r="AB197">
        <f>IF($Y197=1,IFERROR(VALUE(MID($A197,2,20)),1000000000)+ROW()/100000,"")</f>
        <v/>
      </c>
    </row>
    <row r="198">
      <c r="F198" s="7">
        <f>IF($A198="","",E198*M198/100)</f>
        <v/>
      </c>
      <c r="I198" s="7" t="n"/>
      <c r="J198" s="7" t="n"/>
      <c r="L198" s="7" t="n"/>
      <c r="M198" s="7" t="n"/>
      <c r="N198" s="7" t="n"/>
      <c r="O198" s="7" t="n"/>
      <c r="R198" s="11" t="n"/>
      <c r="U198">
        <f>IF($A198="","",IF($AA198=1,Settings!$C$6,Settings!$C$7)*100)</f>
        <v/>
      </c>
      <c r="V198" s="7">
        <f>IF($A198="","",M198*U198/100)</f>
        <v/>
      </c>
      <c r="W198" s="7">
        <f>IF($A198="","",M198-V198)</f>
        <v/>
      </c>
      <c r="X198" s="7">
        <f>IF($A198="","",W198-F198)</f>
        <v/>
      </c>
      <c r="Y198">
        <f>IF($A198="","",IF(COUNTIF($A$2:$A198,$A198)=1,1,0))</f>
        <v/>
      </c>
      <c r="Z198">
        <f>IF($Y198=1,SUMPRODUCT(--($AB$2:$AB$501&lt;$AB198))+1,"")</f>
        <v/>
      </c>
      <c r="AA198">
        <f>IF($A198="","",IF(OR($T198=TRUE(),$T198="TRUE"),1,0))</f>
        <v/>
      </c>
      <c r="AB198">
        <f>IF($Y198=1,IFERROR(VALUE(MID($A198,2,20)),1000000000)+ROW()/100000,"")</f>
        <v/>
      </c>
    </row>
    <row r="199">
      <c r="F199" s="7">
        <f>IF($A199="","",E199*M199/100)</f>
        <v/>
      </c>
      <c r="I199" s="7" t="n"/>
      <c r="J199" s="7" t="n"/>
      <c r="L199" s="7" t="n"/>
      <c r="M199" s="7" t="n"/>
      <c r="N199" s="7" t="n"/>
      <c r="O199" s="7" t="n"/>
      <c r="R199" s="11" t="n"/>
      <c r="U199">
        <f>IF($A199="","",IF($AA199=1,Settings!$C$6,Settings!$C$7)*100)</f>
        <v/>
      </c>
      <c r="V199" s="7">
        <f>IF($A199="","",M199*U199/100)</f>
        <v/>
      </c>
      <c r="W199" s="7">
        <f>IF($A199="","",M199-V199)</f>
        <v/>
      </c>
      <c r="X199" s="7">
        <f>IF($A199="","",W199-F199)</f>
        <v/>
      </c>
      <c r="Y199">
        <f>IF($A199="","",IF(COUNTIF($A$2:$A199,$A199)=1,1,0))</f>
        <v/>
      </c>
      <c r="Z199">
        <f>IF($Y199=1,SUMPRODUCT(--($AB$2:$AB$501&lt;$AB199))+1,"")</f>
        <v/>
      </c>
      <c r="AA199">
        <f>IF($A199="","",IF(OR($T199=TRUE(),$T199="TRUE"),1,0))</f>
        <v/>
      </c>
      <c r="AB199">
        <f>IF($Y199=1,IFERROR(VALUE(MID($A199,2,20)),1000000000)+ROW()/100000,"")</f>
        <v/>
      </c>
    </row>
    <row r="200">
      <c r="F200" s="7">
        <f>IF($A200="","",E200*M200/100)</f>
        <v/>
      </c>
      <c r="I200" s="7" t="n"/>
      <c r="J200" s="7" t="n"/>
      <c r="L200" s="7" t="n"/>
      <c r="M200" s="7" t="n"/>
      <c r="N200" s="7" t="n"/>
      <c r="O200" s="7" t="n"/>
      <c r="R200" s="11" t="n"/>
      <c r="U200">
        <f>IF($A200="","",IF($AA200=1,Settings!$C$6,Settings!$C$7)*100)</f>
        <v/>
      </c>
      <c r="V200" s="7">
        <f>IF($A200="","",M200*U200/100)</f>
        <v/>
      </c>
      <c r="W200" s="7">
        <f>IF($A200="","",M200-V200)</f>
        <v/>
      </c>
      <c r="X200" s="7">
        <f>IF($A200="","",W200-F200)</f>
        <v/>
      </c>
      <c r="Y200">
        <f>IF($A200="","",IF(COUNTIF($A$2:$A200,$A200)=1,1,0))</f>
        <v/>
      </c>
      <c r="Z200">
        <f>IF($Y200=1,SUMPRODUCT(--($AB$2:$AB$501&lt;$AB200))+1,"")</f>
        <v/>
      </c>
      <c r="AA200">
        <f>IF($A200="","",IF(OR($T200=TRUE(),$T200="TRUE"),1,0))</f>
        <v/>
      </c>
      <c r="AB200">
        <f>IF($Y200=1,IFERROR(VALUE(MID($A200,2,20)),1000000000)+ROW()/100000,"")</f>
        <v/>
      </c>
    </row>
    <row r="201">
      <c r="F201" s="7">
        <f>IF($A201="","",E201*M201/100)</f>
        <v/>
      </c>
      <c r="I201" s="7" t="n"/>
      <c r="J201" s="7" t="n"/>
      <c r="L201" s="7" t="n"/>
      <c r="M201" s="7" t="n"/>
      <c r="N201" s="7" t="n"/>
      <c r="O201" s="7" t="n"/>
      <c r="R201" s="11" t="n"/>
      <c r="U201">
        <f>IF($A201="","",IF($AA201=1,Settings!$C$6,Settings!$C$7)*100)</f>
        <v/>
      </c>
      <c r="V201" s="7">
        <f>IF($A201="","",M201*U201/100)</f>
        <v/>
      </c>
      <c r="W201" s="7">
        <f>IF($A201="","",M201-V201)</f>
        <v/>
      </c>
      <c r="X201" s="7">
        <f>IF($A201="","",W201-F201)</f>
        <v/>
      </c>
      <c r="Y201">
        <f>IF($A201="","",IF(COUNTIF($A$2:$A201,$A201)=1,1,0))</f>
        <v/>
      </c>
      <c r="Z201">
        <f>IF($Y201=1,SUMPRODUCT(--($AB$2:$AB$501&lt;$AB201))+1,"")</f>
        <v/>
      </c>
      <c r="AA201">
        <f>IF($A201="","",IF(OR($T201=TRUE(),$T201="TRUE"),1,0))</f>
        <v/>
      </c>
      <c r="AB201">
        <f>IF($Y201=1,IFERROR(VALUE(MID($A201,2,20)),1000000000)+ROW()/100000,"")</f>
        <v/>
      </c>
    </row>
    <row r="202">
      <c r="F202" s="7">
        <f>IF($A202="","",E202*M202/100)</f>
        <v/>
      </c>
      <c r="I202" s="7" t="n"/>
      <c r="J202" s="7" t="n"/>
      <c r="L202" s="7" t="n"/>
      <c r="M202" s="7" t="n"/>
      <c r="N202" s="7" t="n"/>
      <c r="O202" s="7" t="n"/>
      <c r="R202" s="11" t="n"/>
      <c r="U202">
        <f>IF($A202="","",IF($AA202=1,Settings!$C$6,Settings!$C$7)*100)</f>
        <v/>
      </c>
      <c r="V202" s="7">
        <f>IF($A202="","",M202*U202/100)</f>
        <v/>
      </c>
      <c r="W202" s="7">
        <f>IF($A202="","",M202-V202)</f>
        <v/>
      </c>
      <c r="X202" s="7">
        <f>IF($A202="","",W202-F202)</f>
        <v/>
      </c>
      <c r="Y202">
        <f>IF($A202="","",IF(COUNTIF($A$2:$A202,$A202)=1,1,0))</f>
        <v/>
      </c>
      <c r="Z202">
        <f>IF($Y202=1,SUMPRODUCT(--($AB$2:$AB$501&lt;$AB202))+1,"")</f>
        <v/>
      </c>
      <c r="AA202">
        <f>IF($A202="","",IF(OR($T202=TRUE(),$T202="TRUE"),1,0))</f>
        <v/>
      </c>
      <c r="AB202">
        <f>IF($Y202=1,IFERROR(VALUE(MID($A202,2,20)),1000000000)+ROW()/100000,"")</f>
        <v/>
      </c>
    </row>
    <row r="203">
      <c r="F203" s="7">
        <f>IF($A203="","",E203*M203/100)</f>
        <v/>
      </c>
      <c r="I203" s="7" t="n"/>
      <c r="J203" s="7" t="n"/>
      <c r="L203" s="7" t="n"/>
      <c r="M203" s="7" t="n"/>
      <c r="N203" s="7" t="n"/>
      <c r="O203" s="7" t="n"/>
      <c r="R203" s="11" t="n"/>
      <c r="U203">
        <f>IF($A203="","",IF($AA203=1,Settings!$C$6,Settings!$C$7)*100)</f>
        <v/>
      </c>
      <c r="V203" s="7">
        <f>IF($A203="","",M203*U203/100)</f>
        <v/>
      </c>
      <c r="W203" s="7">
        <f>IF($A203="","",M203-V203)</f>
        <v/>
      </c>
      <c r="X203" s="7">
        <f>IF($A203="","",W203-F203)</f>
        <v/>
      </c>
      <c r="Y203">
        <f>IF($A203="","",IF(COUNTIF($A$2:$A203,$A203)=1,1,0))</f>
        <v/>
      </c>
      <c r="Z203">
        <f>IF($Y203=1,SUMPRODUCT(--($AB$2:$AB$501&lt;$AB203))+1,"")</f>
        <v/>
      </c>
      <c r="AA203">
        <f>IF($A203="","",IF(OR($T203=TRUE(),$T203="TRUE"),1,0))</f>
        <v/>
      </c>
      <c r="AB203">
        <f>IF($Y203=1,IFERROR(VALUE(MID($A203,2,20)),1000000000)+ROW()/100000,"")</f>
        <v/>
      </c>
    </row>
    <row r="204">
      <c r="F204" s="7">
        <f>IF($A204="","",E204*M204/100)</f>
        <v/>
      </c>
      <c r="I204" s="7" t="n"/>
      <c r="J204" s="7" t="n"/>
      <c r="L204" s="7" t="n"/>
      <c r="M204" s="7" t="n"/>
      <c r="N204" s="7" t="n"/>
      <c r="O204" s="7" t="n"/>
      <c r="R204" s="11" t="n"/>
      <c r="U204">
        <f>IF($A204="","",IF($AA204=1,Settings!$C$6,Settings!$C$7)*100)</f>
        <v/>
      </c>
      <c r="V204" s="7">
        <f>IF($A204="","",M204*U204/100)</f>
        <v/>
      </c>
      <c r="W204" s="7">
        <f>IF($A204="","",M204-V204)</f>
        <v/>
      </c>
      <c r="X204" s="7">
        <f>IF($A204="","",W204-F204)</f>
        <v/>
      </c>
      <c r="Y204">
        <f>IF($A204="","",IF(COUNTIF($A$2:$A204,$A204)=1,1,0))</f>
        <v/>
      </c>
      <c r="Z204">
        <f>IF($Y204=1,SUMPRODUCT(--($AB$2:$AB$501&lt;$AB204))+1,"")</f>
        <v/>
      </c>
      <c r="AA204">
        <f>IF($A204="","",IF(OR($T204=TRUE(),$T204="TRUE"),1,0))</f>
        <v/>
      </c>
      <c r="AB204">
        <f>IF($Y204=1,IFERROR(VALUE(MID($A204,2,20)),1000000000)+ROW()/100000,"")</f>
        <v/>
      </c>
    </row>
    <row r="205">
      <c r="F205" s="7">
        <f>IF($A205="","",E205*M205/100)</f>
        <v/>
      </c>
      <c r="I205" s="7" t="n"/>
      <c r="J205" s="7" t="n"/>
      <c r="L205" s="7" t="n"/>
      <c r="M205" s="7" t="n"/>
      <c r="N205" s="7" t="n"/>
      <c r="O205" s="7" t="n"/>
      <c r="R205" s="11" t="n"/>
      <c r="U205">
        <f>IF($A205="","",IF($AA205=1,Settings!$C$6,Settings!$C$7)*100)</f>
        <v/>
      </c>
      <c r="V205" s="7">
        <f>IF($A205="","",M205*U205/100)</f>
        <v/>
      </c>
      <c r="W205" s="7">
        <f>IF($A205="","",M205-V205)</f>
        <v/>
      </c>
      <c r="X205" s="7">
        <f>IF($A205="","",W205-F205)</f>
        <v/>
      </c>
      <c r="Y205">
        <f>IF($A205="","",IF(COUNTIF($A$2:$A205,$A205)=1,1,0))</f>
        <v/>
      </c>
      <c r="Z205">
        <f>IF($Y205=1,SUMPRODUCT(--($AB$2:$AB$501&lt;$AB205))+1,"")</f>
        <v/>
      </c>
      <c r="AA205">
        <f>IF($A205="","",IF(OR($T205=TRUE(),$T205="TRUE"),1,0))</f>
        <v/>
      </c>
      <c r="AB205">
        <f>IF($Y205=1,IFERROR(VALUE(MID($A205,2,20)),1000000000)+ROW()/100000,"")</f>
        <v/>
      </c>
    </row>
    <row r="206">
      <c r="F206" s="7">
        <f>IF($A206="","",E206*M206/100)</f>
        <v/>
      </c>
      <c r="I206" s="7" t="n"/>
      <c r="J206" s="7" t="n"/>
      <c r="L206" s="7" t="n"/>
      <c r="M206" s="7" t="n"/>
      <c r="N206" s="7" t="n"/>
      <c r="O206" s="7" t="n"/>
      <c r="R206" s="11" t="n"/>
      <c r="U206">
        <f>IF($A206="","",IF($AA206=1,Settings!$C$6,Settings!$C$7)*100)</f>
        <v/>
      </c>
      <c r="V206" s="7">
        <f>IF($A206="","",M206*U206/100)</f>
        <v/>
      </c>
      <c r="W206" s="7">
        <f>IF($A206="","",M206-V206)</f>
        <v/>
      </c>
      <c r="X206" s="7">
        <f>IF($A206="","",W206-F206)</f>
        <v/>
      </c>
      <c r="Y206">
        <f>IF($A206="","",IF(COUNTIF($A$2:$A206,$A206)=1,1,0))</f>
        <v/>
      </c>
      <c r="Z206">
        <f>IF($Y206=1,SUMPRODUCT(--($AB$2:$AB$501&lt;$AB206))+1,"")</f>
        <v/>
      </c>
      <c r="AA206">
        <f>IF($A206="","",IF(OR($T206=TRUE(),$T206="TRUE"),1,0))</f>
        <v/>
      </c>
      <c r="AB206">
        <f>IF($Y206=1,IFERROR(VALUE(MID($A206,2,20)),1000000000)+ROW()/100000,"")</f>
        <v/>
      </c>
    </row>
    <row r="207">
      <c r="F207" s="7">
        <f>IF($A207="","",E207*M207/100)</f>
        <v/>
      </c>
      <c r="I207" s="7" t="n"/>
      <c r="J207" s="7" t="n"/>
      <c r="L207" s="7" t="n"/>
      <c r="M207" s="7" t="n"/>
      <c r="N207" s="7" t="n"/>
      <c r="O207" s="7" t="n"/>
      <c r="R207" s="11" t="n"/>
      <c r="U207">
        <f>IF($A207="","",IF($AA207=1,Settings!$C$6,Settings!$C$7)*100)</f>
        <v/>
      </c>
      <c r="V207" s="7">
        <f>IF($A207="","",M207*U207/100)</f>
        <v/>
      </c>
      <c r="W207" s="7">
        <f>IF($A207="","",M207-V207)</f>
        <v/>
      </c>
      <c r="X207" s="7">
        <f>IF($A207="","",W207-F207)</f>
        <v/>
      </c>
      <c r="Y207">
        <f>IF($A207="","",IF(COUNTIF($A$2:$A207,$A207)=1,1,0))</f>
        <v/>
      </c>
      <c r="Z207">
        <f>IF($Y207=1,SUMPRODUCT(--($AB$2:$AB$501&lt;$AB207))+1,"")</f>
        <v/>
      </c>
      <c r="AA207">
        <f>IF($A207="","",IF(OR($T207=TRUE(),$T207="TRUE"),1,0))</f>
        <v/>
      </c>
      <c r="AB207">
        <f>IF($Y207=1,IFERROR(VALUE(MID($A207,2,20)),1000000000)+ROW()/100000,"")</f>
        <v/>
      </c>
    </row>
    <row r="208">
      <c r="F208" s="7">
        <f>IF($A208="","",E208*M208/100)</f>
        <v/>
      </c>
      <c r="I208" s="7" t="n"/>
      <c r="J208" s="7" t="n"/>
      <c r="L208" s="7" t="n"/>
      <c r="M208" s="7" t="n"/>
      <c r="N208" s="7" t="n"/>
      <c r="O208" s="7" t="n"/>
      <c r="R208" s="11" t="n"/>
      <c r="U208">
        <f>IF($A208="","",IF($AA208=1,Settings!$C$6,Settings!$C$7)*100)</f>
        <v/>
      </c>
      <c r="V208" s="7">
        <f>IF($A208="","",M208*U208/100)</f>
        <v/>
      </c>
      <c r="W208" s="7">
        <f>IF($A208="","",M208-V208)</f>
        <v/>
      </c>
      <c r="X208" s="7">
        <f>IF($A208="","",W208-F208)</f>
        <v/>
      </c>
      <c r="Y208">
        <f>IF($A208="","",IF(COUNTIF($A$2:$A208,$A208)=1,1,0))</f>
        <v/>
      </c>
      <c r="Z208">
        <f>IF($Y208=1,SUMPRODUCT(--($AB$2:$AB$501&lt;$AB208))+1,"")</f>
        <v/>
      </c>
      <c r="AA208">
        <f>IF($A208="","",IF(OR($T208=TRUE(),$T208="TRUE"),1,0))</f>
        <v/>
      </c>
      <c r="AB208">
        <f>IF($Y208=1,IFERROR(VALUE(MID($A208,2,20)),1000000000)+ROW()/100000,"")</f>
        <v/>
      </c>
    </row>
    <row r="209">
      <c r="F209" s="7">
        <f>IF($A209="","",E209*M209/100)</f>
        <v/>
      </c>
      <c r="I209" s="7" t="n"/>
      <c r="J209" s="7" t="n"/>
      <c r="L209" s="7" t="n"/>
      <c r="M209" s="7" t="n"/>
      <c r="N209" s="7" t="n"/>
      <c r="O209" s="7" t="n"/>
      <c r="R209" s="11" t="n"/>
      <c r="U209">
        <f>IF($A209="","",IF($AA209=1,Settings!$C$6,Settings!$C$7)*100)</f>
        <v/>
      </c>
      <c r="V209" s="7">
        <f>IF($A209="","",M209*U209/100)</f>
        <v/>
      </c>
      <c r="W209" s="7">
        <f>IF($A209="","",M209-V209)</f>
        <v/>
      </c>
      <c r="X209" s="7">
        <f>IF($A209="","",W209-F209)</f>
        <v/>
      </c>
      <c r="Y209">
        <f>IF($A209="","",IF(COUNTIF($A$2:$A209,$A209)=1,1,0))</f>
        <v/>
      </c>
      <c r="Z209">
        <f>IF($Y209=1,SUMPRODUCT(--($AB$2:$AB$501&lt;$AB209))+1,"")</f>
        <v/>
      </c>
      <c r="AA209">
        <f>IF($A209="","",IF(OR($T209=TRUE(),$T209="TRUE"),1,0))</f>
        <v/>
      </c>
      <c r="AB209">
        <f>IF($Y209=1,IFERROR(VALUE(MID($A209,2,20)),1000000000)+ROW()/100000,"")</f>
        <v/>
      </c>
    </row>
    <row r="210">
      <c r="F210" s="7">
        <f>IF($A210="","",E210*M210/100)</f>
        <v/>
      </c>
      <c r="I210" s="7" t="n"/>
      <c r="J210" s="7" t="n"/>
      <c r="L210" s="7" t="n"/>
      <c r="M210" s="7" t="n"/>
      <c r="N210" s="7" t="n"/>
      <c r="O210" s="7" t="n"/>
      <c r="R210" s="11" t="n"/>
      <c r="U210">
        <f>IF($A210="","",IF($AA210=1,Settings!$C$6,Settings!$C$7)*100)</f>
        <v/>
      </c>
      <c r="V210" s="7">
        <f>IF($A210="","",M210*U210/100)</f>
        <v/>
      </c>
      <c r="W210" s="7">
        <f>IF($A210="","",M210-V210)</f>
        <v/>
      </c>
      <c r="X210" s="7">
        <f>IF($A210="","",W210-F210)</f>
        <v/>
      </c>
      <c r="Y210">
        <f>IF($A210="","",IF(COUNTIF($A$2:$A210,$A210)=1,1,0))</f>
        <v/>
      </c>
      <c r="Z210">
        <f>IF($Y210=1,SUMPRODUCT(--($AB$2:$AB$501&lt;$AB210))+1,"")</f>
        <v/>
      </c>
      <c r="AA210">
        <f>IF($A210="","",IF(OR($T210=TRUE(),$T210="TRUE"),1,0))</f>
        <v/>
      </c>
      <c r="AB210">
        <f>IF($Y210=1,IFERROR(VALUE(MID($A210,2,20)),1000000000)+ROW()/100000,"")</f>
        <v/>
      </c>
    </row>
    <row r="211">
      <c r="F211" s="7">
        <f>IF($A211="","",E211*M211/100)</f>
        <v/>
      </c>
      <c r="I211" s="7" t="n"/>
      <c r="J211" s="7" t="n"/>
      <c r="L211" s="7" t="n"/>
      <c r="M211" s="7" t="n"/>
      <c r="N211" s="7" t="n"/>
      <c r="O211" s="7" t="n"/>
      <c r="R211" s="11" t="n"/>
      <c r="U211">
        <f>IF($A211="","",IF($AA211=1,Settings!$C$6,Settings!$C$7)*100)</f>
        <v/>
      </c>
      <c r="V211" s="7">
        <f>IF($A211="","",M211*U211/100)</f>
        <v/>
      </c>
      <c r="W211" s="7">
        <f>IF($A211="","",M211-V211)</f>
        <v/>
      </c>
      <c r="X211" s="7">
        <f>IF($A211="","",W211-F211)</f>
        <v/>
      </c>
      <c r="Y211">
        <f>IF($A211="","",IF(COUNTIF($A$2:$A211,$A211)=1,1,0))</f>
        <v/>
      </c>
      <c r="Z211">
        <f>IF($Y211=1,SUMPRODUCT(--($AB$2:$AB$501&lt;$AB211))+1,"")</f>
        <v/>
      </c>
      <c r="AA211">
        <f>IF($A211="","",IF(OR($T211=TRUE(),$T211="TRUE"),1,0))</f>
        <v/>
      </c>
      <c r="AB211">
        <f>IF($Y211=1,IFERROR(VALUE(MID($A211,2,20)),1000000000)+ROW()/100000,"")</f>
        <v/>
      </c>
    </row>
    <row r="212">
      <c r="F212" s="7">
        <f>IF($A212="","",E212*M212/100)</f>
        <v/>
      </c>
      <c r="I212" s="7" t="n"/>
      <c r="J212" s="7" t="n"/>
      <c r="L212" s="7" t="n"/>
      <c r="M212" s="7" t="n"/>
      <c r="N212" s="7" t="n"/>
      <c r="O212" s="7" t="n"/>
      <c r="R212" s="11" t="n"/>
      <c r="U212">
        <f>IF($A212="","",IF($AA212=1,Settings!$C$6,Settings!$C$7)*100)</f>
        <v/>
      </c>
      <c r="V212" s="7">
        <f>IF($A212="","",M212*U212/100)</f>
        <v/>
      </c>
      <c r="W212" s="7">
        <f>IF($A212="","",M212-V212)</f>
        <v/>
      </c>
      <c r="X212" s="7">
        <f>IF($A212="","",W212-F212)</f>
        <v/>
      </c>
      <c r="Y212">
        <f>IF($A212="","",IF(COUNTIF($A$2:$A212,$A212)=1,1,0))</f>
        <v/>
      </c>
      <c r="Z212">
        <f>IF($Y212=1,SUMPRODUCT(--($AB$2:$AB$501&lt;$AB212))+1,"")</f>
        <v/>
      </c>
      <c r="AA212">
        <f>IF($A212="","",IF(OR($T212=TRUE(),$T212="TRUE"),1,0))</f>
        <v/>
      </c>
      <c r="AB212">
        <f>IF($Y212=1,IFERROR(VALUE(MID($A212,2,20)),1000000000)+ROW()/100000,"")</f>
        <v/>
      </c>
    </row>
    <row r="213">
      <c r="F213" s="7">
        <f>IF($A213="","",E213*M213/100)</f>
        <v/>
      </c>
      <c r="I213" s="7" t="n"/>
      <c r="J213" s="7" t="n"/>
      <c r="L213" s="7" t="n"/>
      <c r="M213" s="7" t="n"/>
      <c r="N213" s="7" t="n"/>
      <c r="O213" s="7" t="n"/>
      <c r="R213" s="11" t="n"/>
      <c r="U213">
        <f>IF($A213="","",IF($AA213=1,Settings!$C$6,Settings!$C$7)*100)</f>
        <v/>
      </c>
      <c r="V213" s="7">
        <f>IF($A213="","",M213*U213/100)</f>
        <v/>
      </c>
      <c r="W213" s="7">
        <f>IF($A213="","",M213-V213)</f>
        <v/>
      </c>
      <c r="X213" s="7">
        <f>IF($A213="","",W213-F213)</f>
        <v/>
      </c>
      <c r="Y213">
        <f>IF($A213="","",IF(COUNTIF($A$2:$A213,$A213)=1,1,0))</f>
        <v/>
      </c>
      <c r="Z213">
        <f>IF($Y213=1,SUMPRODUCT(--($AB$2:$AB$501&lt;$AB213))+1,"")</f>
        <v/>
      </c>
      <c r="AA213">
        <f>IF($A213="","",IF(OR($T213=TRUE(),$T213="TRUE"),1,0))</f>
        <v/>
      </c>
      <c r="AB213">
        <f>IF($Y213=1,IFERROR(VALUE(MID($A213,2,20)),1000000000)+ROW()/100000,"")</f>
        <v/>
      </c>
    </row>
    <row r="214">
      <c r="F214" s="7">
        <f>IF($A214="","",E214*M214/100)</f>
        <v/>
      </c>
      <c r="I214" s="7" t="n"/>
      <c r="J214" s="7" t="n"/>
      <c r="L214" s="7" t="n"/>
      <c r="M214" s="7" t="n"/>
      <c r="N214" s="7" t="n"/>
      <c r="O214" s="7" t="n"/>
      <c r="R214" s="11" t="n"/>
      <c r="U214">
        <f>IF($A214="","",IF($AA214=1,Settings!$C$6,Settings!$C$7)*100)</f>
        <v/>
      </c>
      <c r="V214" s="7">
        <f>IF($A214="","",M214*U214/100)</f>
        <v/>
      </c>
      <c r="W214" s="7">
        <f>IF($A214="","",M214-V214)</f>
        <v/>
      </c>
      <c r="X214" s="7">
        <f>IF($A214="","",W214-F214)</f>
        <v/>
      </c>
      <c r="Y214">
        <f>IF($A214="","",IF(COUNTIF($A$2:$A214,$A214)=1,1,0))</f>
        <v/>
      </c>
      <c r="Z214">
        <f>IF($Y214=1,SUMPRODUCT(--($AB$2:$AB$501&lt;$AB214))+1,"")</f>
        <v/>
      </c>
      <c r="AA214">
        <f>IF($A214="","",IF(OR($T214=TRUE(),$T214="TRUE"),1,0))</f>
        <v/>
      </c>
      <c r="AB214">
        <f>IF($Y214=1,IFERROR(VALUE(MID($A214,2,20)),1000000000)+ROW()/100000,"")</f>
        <v/>
      </c>
    </row>
    <row r="215">
      <c r="F215" s="7">
        <f>IF($A215="","",E215*M215/100)</f>
        <v/>
      </c>
      <c r="I215" s="7" t="n"/>
      <c r="J215" s="7" t="n"/>
      <c r="L215" s="7" t="n"/>
      <c r="M215" s="7" t="n"/>
      <c r="N215" s="7" t="n"/>
      <c r="O215" s="7" t="n"/>
      <c r="R215" s="11" t="n"/>
      <c r="U215">
        <f>IF($A215="","",IF($AA215=1,Settings!$C$6,Settings!$C$7)*100)</f>
        <v/>
      </c>
      <c r="V215" s="7">
        <f>IF($A215="","",M215*U215/100)</f>
        <v/>
      </c>
      <c r="W215" s="7">
        <f>IF($A215="","",M215-V215)</f>
        <v/>
      </c>
      <c r="X215" s="7">
        <f>IF($A215="","",W215-F215)</f>
        <v/>
      </c>
      <c r="Y215">
        <f>IF($A215="","",IF(COUNTIF($A$2:$A215,$A215)=1,1,0))</f>
        <v/>
      </c>
      <c r="Z215">
        <f>IF($Y215=1,SUMPRODUCT(--($AB$2:$AB$501&lt;$AB215))+1,"")</f>
        <v/>
      </c>
      <c r="AA215">
        <f>IF($A215="","",IF(OR($T215=TRUE(),$T215="TRUE"),1,0))</f>
        <v/>
      </c>
      <c r="AB215">
        <f>IF($Y215=1,IFERROR(VALUE(MID($A215,2,20)),1000000000)+ROW()/100000,"")</f>
        <v/>
      </c>
    </row>
    <row r="216">
      <c r="F216" s="7">
        <f>IF($A216="","",E216*M216/100)</f>
        <v/>
      </c>
      <c r="I216" s="7" t="n"/>
      <c r="J216" s="7" t="n"/>
      <c r="L216" s="7" t="n"/>
      <c r="M216" s="7" t="n"/>
      <c r="N216" s="7" t="n"/>
      <c r="O216" s="7" t="n"/>
      <c r="R216" s="11" t="n"/>
      <c r="U216">
        <f>IF($A216="","",IF($AA216=1,Settings!$C$6,Settings!$C$7)*100)</f>
        <v/>
      </c>
      <c r="V216" s="7">
        <f>IF($A216="","",M216*U216/100)</f>
        <v/>
      </c>
      <c r="W216" s="7">
        <f>IF($A216="","",M216-V216)</f>
        <v/>
      </c>
      <c r="X216" s="7">
        <f>IF($A216="","",W216-F216)</f>
        <v/>
      </c>
      <c r="Y216">
        <f>IF($A216="","",IF(COUNTIF($A$2:$A216,$A216)=1,1,0))</f>
        <v/>
      </c>
      <c r="Z216">
        <f>IF($Y216=1,SUMPRODUCT(--($AB$2:$AB$501&lt;$AB216))+1,"")</f>
        <v/>
      </c>
      <c r="AA216">
        <f>IF($A216="","",IF(OR($T216=TRUE(),$T216="TRUE"),1,0))</f>
        <v/>
      </c>
      <c r="AB216">
        <f>IF($Y216=1,IFERROR(VALUE(MID($A216,2,20)),1000000000)+ROW()/100000,"")</f>
        <v/>
      </c>
    </row>
    <row r="217">
      <c r="F217" s="7">
        <f>IF($A217="","",E217*M217/100)</f>
        <v/>
      </c>
      <c r="I217" s="7" t="n"/>
      <c r="J217" s="7" t="n"/>
      <c r="L217" s="7" t="n"/>
      <c r="M217" s="7" t="n"/>
      <c r="N217" s="7" t="n"/>
      <c r="O217" s="7" t="n"/>
      <c r="R217" s="11" t="n"/>
      <c r="U217">
        <f>IF($A217="","",IF($AA217=1,Settings!$C$6,Settings!$C$7)*100)</f>
        <v/>
      </c>
      <c r="V217" s="7">
        <f>IF($A217="","",M217*U217/100)</f>
        <v/>
      </c>
      <c r="W217" s="7">
        <f>IF($A217="","",M217-V217)</f>
        <v/>
      </c>
      <c r="X217" s="7">
        <f>IF($A217="","",W217-F217)</f>
        <v/>
      </c>
      <c r="Y217">
        <f>IF($A217="","",IF(COUNTIF($A$2:$A217,$A217)=1,1,0))</f>
        <v/>
      </c>
      <c r="Z217">
        <f>IF($Y217=1,SUMPRODUCT(--($AB$2:$AB$501&lt;$AB217))+1,"")</f>
        <v/>
      </c>
      <c r="AA217">
        <f>IF($A217="","",IF(OR($T217=TRUE(),$T217="TRUE"),1,0))</f>
        <v/>
      </c>
      <c r="AB217">
        <f>IF($Y217=1,IFERROR(VALUE(MID($A217,2,20)),1000000000)+ROW()/100000,"")</f>
        <v/>
      </c>
    </row>
    <row r="218">
      <c r="F218" s="7">
        <f>IF($A218="","",E218*M218/100)</f>
        <v/>
      </c>
      <c r="I218" s="7" t="n"/>
      <c r="J218" s="7" t="n"/>
      <c r="L218" s="7" t="n"/>
      <c r="M218" s="7" t="n"/>
      <c r="N218" s="7" t="n"/>
      <c r="O218" s="7" t="n"/>
      <c r="R218" s="11" t="n"/>
      <c r="U218">
        <f>IF($A218="","",IF($AA218=1,Settings!$C$6,Settings!$C$7)*100)</f>
        <v/>
      </c>
      <c r="V218" s="7">
        <f>IF($A218="","",M218*U218/100)</f>
        <v/>
      </c>
      <c r="W218" s="7">
        <f>IF($A218="","",M218-V218)</f>
        <v/>
      </c>
      <c r="X218" s="7">
        <f>IF($A218="","",W218-F218)</f>
        <v/>
      </c>
      <c r="Y218">
        <f>IF($A218="","",IF(COUNTIF($A$2:$A218,$A218)=1,1,0))</f>
        <v/>
      </c>
      <c r="Z218">
        <f>IF($Y218=1,SUMPRODUCT(--($AB$2:$AB$501&lt;$AB218))+1,"")</f>
        <v/>
      </c>
      <c r="AA218">
        <f>IF($A218="","",IF(OR($T218=TRUE(),$T218="TRUE"),1,0))</f>
        <v/>
      </c>
      <c r="AB218">
        <f>IF($Y218=1,IFERROR(VALUE(MID($A218,2,20)),1000000000)+ROW()/100000,"")</f>
        <v/>
      </c>
    </row>
    <row r="219">
      <c r="F219" s="7">
        <f>IF($A219="","",E219*M219/100)</f>
        <v/>
      </c>
      <c r="I219" s="7" t="n"/>
      <c r="J219" s="7" t="n"/>
      <c r="L219" s="7" t="n"/>
      <c r="M219" s="7" t="n"/>
      <c r="N219" s="7" t="n"/>
      <c r="O219" s="7" t="n"/>
      <c r="R219" s="11" t="n"/>
      <c r="U219">
        <f>IF($A219="","",IF($AA219=1,Settings!$C$6,Settings!$C$7)*100)</f>
        <v/>
      </c>
      <c r="V219" s="7">
        <f>IF($A219="","",M219*U219/100)</f>
        <v/>
      </c>
      <c r="W219" s="7">
        <f>IF($A219="","",M219-V219)</f>
        <v/>
      </c>
      <c r="X219" s="7">
        <f>IF($A219="","",W219-F219)</f>
        <v/>
      </c>
      <c r="Y219">
        <f>IF($A219="","",IF(COUNTIF($A$2:$A219,$A219)=1,1,0))</f>
        <v/>
      </c>
      <c r="Z219">
        <f>IF($Y219=1,SUMPRODUCT(--($AB$2:$AB$501&lt;$AB219))+1,"")</f>
        <v/>
      </c>
      <c r="AA219">
        <f>IF($A219="","",IF(OR($T219=TRUE(),$T219="TRUE"),1,0))</f>
        <v/>
      </c>
      <c r="AB219">
        <f>IF($Y219=1,IFERROR(VALUE(MID($A219,2,20)),1000000000)+ROW()/100000,"")</f>
        <v/>
      </c>
    </row>
    <row r="220">
      <c r="F220" s="7">
        <f>IF($A220="","",E220*M220/100)</f>
        <v/>
      </c>
      <c r="I220" s="7" t="n"/>
      <c r="J220" s="7" t="n"/>
      <c r="L220" s="7" t="n"/>
      <c r="M220" s="7" t="n"/>
      <c r="N220" s="7" t="n"/>
      <c r="O220" s="7" t="n"/>
      <c r="R220" s="11" t="n"/>
      <c r="U220">
        <f>IF($A220="","",IF($AA220=1,Settings!$C$6,Settings!$C$7)*100)</f>
        <v/>
      </c>
      <c r="V220" s="7">
        <f>IF($A220="","",M220*U220/100)</f>
        <v/>
      </c>
      <c r="W220" s="7">
        <f>IF($A220="","",M220-V220)</f>
        <v/>
      </c>
      <c r="X220" s="7">
        <f>IF($A220="","",W220-F220)</f>
        <v/>
      </c>
      <c r="Y220">
        <f>IF($A220="","",IF(COUNTIF($A$2:$A220,$A220)=1,1,0))</f>
        <v/>
      </c>
      <c r="Z220">
        <f>IF($Y220=1,SUMPRODUCT(--($AB$2:$AB$501&lt;$AB220))+1,"")</f>
        <v/>
      </c>
      <c r="AA220">
        <f>IF($A220="","",IF(OR($T220=TRUE(),$T220="TRUE"),1,0))</f>
        <v/>
      </c>
      <c r="AB220">
        <f>IF($Y220=1,IFERROR(VALUE(MID($A220,2,20)),1000000000)+ROW()/100000,"")</f>
        <v/>
      </c>
    </row>
    <row r="221">
      <c r="F221" s="7">
        <f>IF($A221="","",E221*M221/100)</f>
        <v/>
      </c>
      <c r="I221" s="7" t="n"/>
      <c r="J221" s="7" t="n"/>
      <c r="L221" s="7" t="n"/>
      <c r="M221" s="7" t="n"/>
      <c r="N221" s="7" t="n"/>
      <c r="O221" s="7" t="n"/>
      <c r="R221" s="11" t="n"/>
      <c r="U221">
        <f>IF($A221="","",IF($AA221=1,Settings!$C$6,Settings!$C$7)*100)</f>
        <v/>
      </c>
      <c r="V221" s="7">
        <f>IF($A221="","",M221*U221/100)</f>
        <v/>
      </c>
      <c r="W221" s="7">
        <f>IF($A221="","",M221-V221)</f>
        <v/>
      </c>
      <c r="X221" s="7">
        <f>IF($A221="","",W221-F221)</f>
        <v/>
      </c>
      <c r="Y221">
        <f>IF($A221="","",IF(COUNTIF($A$2:$A221,$A221)=1,1,0))</f>
        <v/>
      </c>
      <c r="Z221">
        <f>IF($Y221=1,SUMPRODUCT(--($AB$2:$AB$501&lt;$AB221))+1,"")</f>
        <v/>
      </c>
      <c r="AA221">
        <f>IF($A221="","",IF(OR($T221=TRUE(),$T221="TRUE"),1,0))</f>
        <v/>
      </c>
      <c r="AB221">
        <f>IF($Y221=1,IFERROR(VALUE(MID($A221,2,20)),1000000000)+ROW()/100000,"")</f>
        <v/>
      </c>
    </row>
    <row r="222">
      <c r="F222" s="7">
        <f>IF($A222="","",E222*M222/100)</f>
        <v/>
      </c>
      <c r="I222" s="7" t="n"/>
      <c r="J222" s="7" t="n"/>
      <c r="L222" s="7" t="n"/>
      <c r="M222" s="7" t="n"/>
      <c r="N222" s="7" t="n"/>
      <c r="O222" s="7" t="n"/>
      <c r="R222" s="11" t="n"/>
      <c r="U222">
        <f>IF($A222="","",IF($AA222=1,Settings!$C$6,Settings!$C$7)*100)</f>
        <v/>
      </c>
      <c r="V222" s="7">
        <f>IF($A222="","",M222*U222/100)</f>
        <v/>
      </c>
      <c r="W222" s="7">
        <f>IF($A222="","",M222-V222)</f>
        <v/>
      </c>
      <c r="X222" s="7">
        <f>IF($A222="","",W222-F222)</f>
        <v/>
      </c>
      <c r="Y222">
        <f>IF($A222="","",IF(COUNTIF($A$2:$A222,$A222)=1,1,0))</f>
        <v/>
      </c>
      <c r="Z222">
        <f>IF($Y222=1,SUMPRODUCT(--($AB$2:$AB$501&lt;$AB222))+1,"")</f>
        <v/>
      </c>
      <c r="AA222">
        <f>IF($A222="","",IF(OR($T222=TRUE(),$T222="TRUE"),1,0))</f>
        <v/>
      </c>
      <c r="AB222">
        <f>IF($Y222=1,IFERROR(VALUE(MID($A222,2,20)),1000000000)+ROW()/100000,"")</f>
        <v/>
      </c>
    </row>
    <row r="223">
      <c r="F223" s="7">
        <f>IF($A223="","",E223*M223/100)</f>
        <v/>
      </c>
      <c r="I223" s="7" t="n"/>
      <c r="J223" s="7" t="n"/>
      <c r="L223" s="7" t="n"/>
      <c r="M223" s="7" t="n"/>
      <c r="N223" s="7" t="n"/>
      <c r="O223" s="7" t="n"/>
      <c r="R223" s="11" t="n"/>
      <c r="U223">
        <f>IF($A223="","",IF($AA223=1,Settings!$C$6,Settings!$C$7)*100)</f>
        <v/>
      </c>
      <c r="V223" s="7">
        <f>IF($A223="","",M223*U223/100)</f>
        <v/>
      </c>
      <c r="W223" s="7">
        <f>IF($A223="","",M223-V223)</f>
        <v/>
      </c>
      <c r="X223" s="7">
        <f>IF($A223="","",W223-F223)</f>
        <v/>
      </c>
      <c r="Y223">
        <f>IF($A223="","",IF(COUNTIF($A$2:$A223,$A223)=1,1,0))</f>
        <v/>
      </c>
      <c r="Z223">
        <f>IF($Y223=1,SUMPRODUCT(--($AB$2:$AB$501&lt;$AB223))+1,"")</f>
        <v/>
      </c>
      <c r="AA223">
        <f>IF($A223="","",IF(OR($T223=TRUE(),$T223="TRUE"),1,0))</f>
        <v/>
      </c>
      <c r="AB223">
        <f>IF($Y223=1,IFERROR(VALUE(MID($A223,2,20)),1000000000)+ROW()/100000,"")</f>
        <v/>
      </c>
    </row>
    <row r="224">
      <c r="F224" s="7">
        <f>IF($A224="","",E224*M224/100)</f>
        <v/>
      </c>
      <c r="I224" s="7" t="n"/>
      <c r="J224" s="7" t="n"/>
      <c r="L224" s="7" t="n"/>
      <c r="M224" s="7" t="n"/>
      <c r="N224" s="7" t="n"/>
      <c r="O224" s="7" t="n"/>
      <c r="R224" s="11" t="n"/>
      <c r="U224">
        <f>IF($A224="","",IF($AA224=1,Settings!$C$6,Settings!$C$7)*100)</f>
        <v/>
      </c>
      <c r="V224" s="7">
        <f>IF($A224="","",M224*U224/100)</f>
        <v/>
      </c>
      <c r="W224" s="7">
        <f>IF($A224="","",M224-V224)</f>
        <v/>
      </c>
      <c r="X224" s="7">
        <f>IF($A224="","",W224-F224)</f>
        <v/>
      </c>
      <c r="Y224">
        <f>IF($A224="","",IF(COUNTIF($A$2:$A224,$A224)=1,1,0))</f>
        <v/>
      </c>
      <c r="Z224">
        <f>IF($Y224=1,SUMPRODUCT(--($AB$2:$AB$501&lt;$AB224))+1,"")</f>
        <v/>
      </c>
      <c r="AA224">
        <f>IF($A224="","",IF(OR($T224=TRUE(),$T224="TRUE"),1,0))</f>
        <v/>
      </c>
      <c r="AB224">
        <f>IF($Y224=1,IFERROR(VALUE(MID($A224,2,20)),1000000000)+ROW()/100000,"")</f>
        <v/>
      </c>
    </row>
    <row r="225">
      <c r="F225" s="7">
        <f>IF($A225="","",E225*M225/100)</f>
        <v/>
      </c>
      <c r="I225" s="7" t="n"/>
      <c r="J225" s="7" t="n"/>
      <c r="L225" s="7" t="n"/>
      <c r="M225" s="7" t="n"/>
      <c r="N225" s="7" t="n"/>
      <c r="O225" s="7" t="n"/>
      <c r="R225" s="11" t="n"/>
      <c r="U225">
        <f>IF($A225="","",IF($AA225=1,Settings!$C$6,Settings!$C$7)*100)</f>
        <v/>
      </c>
      <c r="V225" s="7">
        <f>IF($A225="","",M225*U225/100)</f>
        <v/>
      </c>
      <c r="W225" s="7">
        <f>IF($A225="","",M225-V225)</f>
        <v/>
      </c>
      <c r="X225" s="7">
        <f>IF($A225="","",W225-F225)</f>
        <v/>
      </c>
      <c r="Y225">
        <f>IF($A225="","",IF(COUNTIF($A$2:$A225,$A225)=1,1,0))</f>
        <v/>
      </c>
      <c r="Z225">
        <f>IF($Y225=1,SUMPRODUCT(--($AB$2:$AB$501&lt;$AB225))+1,"")</f>
        <v/>
      </c>
      <c r="AA225">
        <f>IF($A225="","",IF(OR($T225=TRUE(),$T225="TRUE"),1,0))</f>
        <v/>
      </c>
      <c r="AB225">
        <f>IF($Y225=1,IFERROR(VALUE(MID($A225,2,20)),1000000000)+ROW()/100000,"")</f>
        <v/>
      </c>
    </row>
    <row r="226">
      <c r="F226" s="7">
        <f>IF($A226="","",E226*M226/100)</f>
        <v/>
      </c>
      <c r="I226" s="7" t="n"/>
      <c r="J226" s="7" t="n"/>
      <c r="L226" s="7" t="n"/>
      <c r="M226" s="7" t="n"/>
      <c r="N226" s="7" t="n"/>
      <c r="O226" s="7" t="n"/>
      <c r="R226" s="11" t="n"/>
      <c r="U226">
        <f>IF($A226="","",IF($AA226=1,Settings!$C$6,Settings!$C$7)*100)</f>
        <v/>
      </c>
      <c r="V226" s="7">
        <f>IF($A226="","",M226*U226/100)</f>
        <v/>
      </c>
      <c r="W226" s="7">
        <f>IF($A226="","",M226-V226)</f>
        <v/>
      </c>
      <c r="X226" s="7">
        <f>IF($A226="","",W226-F226)</f>
        <v/>
      </c>
      <c r="Y226">
        <f>IF($A226="","",IF(COUNTIF($A$2:$A226,$A226)=1,1,0))</f>
        <v/>
      </c>
      <c r="Z226">
        <f>IF($Y226=1,SUMPRODUCT(--($AB$2:$AB$501&lt;$AB226))+1,"")</f>
        <v/>
      </c>
      <c r="AA226">
        <f>IF($A226="","",IF(OR($T226=TRUE(),$T226="TRUE"),1,0))</f>
        <v/>
      </c>
      <c r="AB226">
        <f>IF($Y226=1,IFERROR(VALUE(MID($A226,2,20)),1000000000)+ROW()/100000,"")</f>
        <v/>
      </c>
    </row>
    <row r="227">
      <c r="F227" s="7">
        <f>IF($A227="","",E227*M227/100)</f>
        <v/>
      </c>
      <c r="I227" s="7" t="n"/>
      <c r="J227" s="7" t="n"/>
      <c r="L227" s="7" t="n"/>
      <c r="M227" s="7" t="n"/>
      <c r="N227" s="7" t="n"/>
      <c r="O227" s="7" t="n"/>
      <c r="R227" s="11" t="n"/>
      <c r="U227">
        <f>IF($A227="","",IF($AA227=1,Settings!$C$6,Settings!$C$7)*100)</f>
        <v/>
      </c>
      <c r="V227" s="7">
        <f>IF($A227="","",M227*U227/100)</f>
        <v/>
      </c>
      <c r="W227" s="7">
        <f>IF($A227="","",M227-V227)</f>
        <v/>
      </c>
      <c r="X227" s="7">
        <f>IF($A227="","",W227-F227)</f>
        <v/>
      </c>
      <c r="Y227">
        <f>IF($A227="","",IF(COUNTIF($A$2:$A227,$A227)=1,1,0))</f>
        <v/>
      </c>
      <c r="Z227">
        <f>IF($Y227=1,SUMPRODUCT(--($AB$2:$AB$501&lt;$AB227))+1,"")</f>
        <v/>
      </c>
      <c r="AA227">
        <f>IF($A227="","",IF(OR($T227=TRUE(),$T227="TRUE"),1,0))</f>
        <v/>
      </c>
      <c r="AB227">
        <f>IF($Y227=1,IFERROR(VALUE(MID($A227,2,20)),1000000000)+ROW()/100000,"")</f>
        <v/>
      </c>
    </row>
    <row r="228">
      <c r="F228" s="7">
        <f>IF($A228="","",E228*M228/100)</f>
        <v/>
      </c>
      <c r="I228" s="7" t="n"/>
      <c r="J228" s="7" t="n"/>
      <c r="L228" s="7" t="n"/>
      <c r="M228" s="7" t="n"/>
      <c r="N228" s="7" t="n"/>
      <c r="O228" s="7" t="n"/>
      <c r="R228" s="11" t="n"/>
      <c r="U228">
        <f>IF($A228="","",IF($AA228=1,Settings!$C$6,Settings!$C$7)*100)</f>
        <v/>
      </c>
      <c r="V228" s="7">
        <f>IF($A228="","",M228*U228/100)</f>
        <v/>
      </c>
      <c r="W228" s="7">
        <f>IF($A228="","",M228-V228)</f>
        <v/>
      </c>
      <c r="X228" s="7">
        <f>IF($A228="","",W228-F228)</f>
        <v/>
      </c>
      <c r="Y228">
        <f>IF($A228="","",IF(COUNTIF($A$2:$A228,$A228)=1,1,0))</f>
        <v/>
      </c>
      <c r="Z228">
        <f>IF($Y228=1,SUMPRODUCT(--($AB$2:$AB$501&lt;$AB228))+1,"")</f>
        <v/>
      </c>
      <c r="AA228">
        <f>IF($A228="","",IF(OR($T228=TRUE(),$T228="TRUE"),1,0))</f>
        <v/>
      </c>
      <c r="AB228">
        <f>IF($Y228=1,IFERROR(VALUE(MID($A228,2,20)),1000000000)+ROW()/100000,"")</f>
        <v/>
      </c>
    </row>
    <row r="229">
      <c r="F229" s="7">
        <f>IF($A229="","",E229*M229/100)</f>
        <v/>
      </c>
      <c r="I229" s="7" t="n"/>
      <c r="J229" s="7" t="n"/>
      <c r="L229" s="7" t="n"/>
      <c r="M229" s="7" t="n"/>
      <c r="N229" s="7" t="n"/>
      <c r="O229" s="7" t="n"/>
      <c r="R229" s="11" t="n"/>
      <c r="U229">
        <f>IF($A229="","",IF($AA229=1,Settings!$C$6,Settings!$C$7)*100)</f>
        <v/>
      </c>
      <c r="V229" s="7">
        <f>IF($A229="","",M229*U229/100)</f>
        <v/>
      </c>
      <c r="W229" s="7">
        <f>IF($A229="","",M229-V229)</f>
        <v/>
      </c>
      <c r="X229" s="7">
        <f>IF($A229="","",W229-F229)</f>
        <v/>
      </c>
      <c r="Y229">
        <f>IF($A229="","",IF(COUNTIF($A$2:$A229,$A229)=1,1,0))</f>
        <v/>
      </c>
      <c r="Z229">
        <f>IF($Y229=1,SUMPRODUCT(--($AB$2:$AB$501&lt;$AB229))+1,"")</f>
        <v/>
      </c>
      <c r="AA229">
        <f>IF($A229="","",IF(OR($T229=TRUE(),$T229="TRUE"),1,0))</f>
        <v/>
      </c>
      <c r="AB229">
        <f>IF($Y229=1,IFERROR(VALUE(MID($A229,2,20)),1000000000)+ROW()/100000,"")</f>
        <v/>
      </c>
    </row>
    <row r="230">
      <c r="F230" s="7">
        <f>IF($A230="","",E230*M230/100)</f>
        <v/>
      </c>
      <c r="I230" s="7" t="n"/>
      <c r="J230" s="7" t="n"/>
      <c r="L230" s="7" t="n"/>
      <c r="M230" s="7" t="n"/>
      <c r="N230" s="7" t="n"/>
      <c r="O230" s="7" t="n"/>
      <c r="R230" s="11" t="n"/>
      <c r="U230">
        <f>IF($A230="","",IF($AA230=1,Settings!$C$6,Settings!$C$7)*100)</f>
        <v/>
      </c>
      <c r="V230" s="7">
        <f>IF($A230="","",M230*U230/100)</f>
        <v/>
      </c>
      <c r="W230" s="7">
        <f>IF($A230="","",M230-V230)</f>
        <v/>
      </c>
      <c r="X230" s="7">
        <f>IF($A230="","",W230-F230)</f>
        <v/>
      </c>
      <c r="Y230">
        <f>IF($A230="","",IF(COUNTIF($A$2:$A230,$A230)=1,1,0))</f>
        <v/>
      </c>
      <c r="Z230">
        <f>IF($Y230=1,SUMPRODUCT(--($AB$2:$AB$501&lt;$AB230))+1,"")</f>
        <v/>
      </c>
      <c r="AA230">
        <f>IF($A230="","",IF(OR($T230=TRUE(),$T230="TRUE"),1,0))</f>
        <v/>
      </c>
      <c r="AB230">
        <f>IF($Y230=1,IFERROR(VALUE(MID($A230,2,20)),1000000000)+ROW()/100000,"")</f>
        <v/>
      </c>
    </row>
    <row r="231">
      <c r="F231" s="7">
        <f>IF($A231="","",E231*M231/100)</f>
        <v/>
      </c>
      <c r="I231" s="7" t="n"/>
      <c r="J231" s="7" t="n"/>
      <c r="L231" s="7" t="n"/>
      <c r="M231" s="7" t="n"/>
      <c r="N231" s="7" t="n"/>
      <c r="O231" s="7" t="n"/>
      <c r="R231" s="11" t="n"/>
      <c r="U231">
        <f>IF($A231="","",IF($AA231=1,Settings!$C$6,Settings!$C$7)*100)</f>
        <v/>
      </c>
      <c r="V231" s="7">
        <f>IF($A231="","",M231*U231/100)</f>
        <v/>
      </c>
      <c r="W231" s="7">
        <f>IF($A231="","",M231-V231)</f>
        <v/>
      </c>
      <c r="X231" s="7">
        <f>IF($A231="","",W231-F231)</f>
        <v/>
      </c>
      <c r="Y231">
        <f>IF($A231="","",IF(COUNTIF($A$2:$A231,$A231)=1,1,0))</f>
        <v/>
      </c>
      <c r="Z231">
        <f>IF($Y231=1,SUMPRODUCT(--($AB$2:$AB$501&lt;$AB231))+1,"")</f>
        <v/>
      </c>
      <c r="AA231">
        <f>IF($A231="","",IF(OR($T231=TRUE(),$T231="TRUE"),1,0))</f>
        <v/>
      </c>
      <c r="AB231">
        <f>IF($Y231=1,IFERROR(VALUE(MID($A231,2,20)),1000000000)+ROW()/100000,"")</f>
        <v/>
      </c>
    </row>
    <row r="232">
      <c r="F232" s="7">
        <f>IF($A232="","",E232*M232/100)</f>
        <v/>
      </c>
      <c r="I232" s="7" t="n"/>
      <c r="J232" s="7" t="n"/>
      <c r="L232" s="7" t="n"/>
      <c r="M232" s="7" t="n"/>
      <c r="N232" s="7" t="n"/>
      <c r="O232" s="7" t="n"/>
      <c r="R232" s="11" t="n"/>
      <c r="U232">
        <f>IF($A232="","",IF($AA232=1,Settings!$C$6,Settings!$C$7)*100)</f>
        <v/>
      </c>
      <c r="V232" s="7">
        <f>IF($A232="","",M232*U232/100)</f>
        <v/>
      </c>
      <c r="W232" s="7">
        <f>IF($A232="","",M232-V232)</f>
        <v/>
      </c>
      <c r="X232" s="7">
        <f>IF($A232="","",W232-F232)</f>
        <v/>
      </c>
      <c r="Y232">
        <f>IF($A232="","",IF(COUNTIF($A$2:$A232,$A232)=1,1,0))</f>
        <v/>
      </c>
      <c r="Z232">
        <f>IF($Y232=1,SUMPRODUCT(--($AB$2:$AB$501&lt;$AB232))+1,"")</f>
        <v/>
      </c>
      <c r="AA232">
        <f>IF($A232="","",IF(OR($T232=TRUE(),$T232="TRUE"),1,0))</f>
        <v/>
      </c>
      <c r="AB232">
        <f>IF($Y232=1,IFERROR(VALUE(MID($A232,2,20)),1000000000)+ROW()/100000,"")</f>
        <v/>
      </c>
    </row>
    <row r="233">
      <c r="F233" s="7">
        <f>IF($A233="","",E233*M233/100)</f>
        <v/>
      </c>
      <c r="I233" s="7" t="n"/>
      <c r="J233" s="7" t="n"/>
      <c r="L233" s="7" t="n"/>
      <c r="M233" s="7" t="n"/>
      <c r="N233" s="7" t="n"/>
      <c r="O233" s="7" t="n"/>
      <c r="R233" s="11" t="n"/>
      <c r="U233">
        <f>IF($A233="","",IF($AA233=1,Settings!$C$6,Settings!$C$7)*100)</f>
        <v/>
      </c>
      <c r="V233" s="7">
        <f>IF($A233="","",M233*U233/100)</f>
        <v/>
      </c>
      <c r="W233" s="7">
        <f>IF($A233="","",M233-V233)</f>
        <v/>
      </c>
      <c r="X233" s="7">
        <f>IF($A233="","",W233-F233)</f>
        <v/>
      </c>
      <c r="Y233">
        <f>IF($A233="","",IF(COUNTIF($A$2:$A233,$A233)=1,1,0))</f>
        <v/>
      </c>
      <c r="Z233">
        <f>IF($Y233=1,SUMPRODUCT(--($AB$2:$AB$501&lt;$AB233))+1,"")</f>
        <v/>
      </c>
      <c r="AA233">
        <f>IF($A233="","",IF(OR($T233=TRUE(),$T233="TRUE"),1,0))</f>
        <v/>
      </c>
      <c r="AB233">
        <f>IF($Y233=1,IFERROR(VALUE(MID($A233,2,20)),1000000000)+ROW()/100000,"")</f>
        <v/>
      </c>
    </row>
    <row r="234">
      <c r="F234" s="7">
        <f>IF($A234="","",E234*M234/100)</f>
        <v/>
      </c>
      <c r="I234" s="7" t="n"/>
      <c r="J234" s="7" t="n"/>
      <c r="L234" s="7" t="n"/>
      <c r="M234" s="7" t="n"/>
      <c r="N234" s="7" t="n"/>
      <c r="O234" s="7" t="n"/>
      <c r="R234" s="11" t="n"/>
      <c r="U234">
        <f>IF($A234="","",IF($AA234=1,Settings!$C$6,Settings!$C$7)*100)</f>
        <v/>
      </c>
      <c r="V234" s="7">
        <f>IF($A234="","",M234*U234/100)</f>
        <v/>
      </c>
      <c r="W234" s="7">
        <f>IF($A234="","",M234-V234)</f>
        <v/>
      </c>
      <c r="X234" s="7">
        <f>IF($A234="","",W234-F234)</f>
        <v/>
      </c>
      <c r="Y234">
        <f>IF($A234="","",IF(COUNTIF($A$2:$A234,$A234)=1,1,0))</f>
        <v/>
      </c>
      <c r="Z234">
        <f>IF($Y234=1,SUMPRODUCT(--($AB$2:$AB$501&lt;$AB234))+1,"")</f>
        <v/>
      </c>
      <c r="AA234">
        <f>IF($A234="","",IF(OR($T234=TRUE(),$T234="TRUE"),1,0))</f>
        <v/>
      </c>
      <c r="AB234">
        <f>IF($Y234=1,IFERROR(VALUE(MID($A234,2,20)),1000000000)+ROW()/100000,"")</f>
        <v/>
      </c>
    </row>
    <row r="235">
      <c r="F235" s="7">
        <f>IF($A235="","",E235*M235/100)</f>
        <v/>
      </c>
      <c r="I235" s="7" t="n"/>
      <c r="J235" s="7" t="n"/>
      <c r="L235" s="7" t="n"/>
      <c r="M235" s="7" t="n"/>
      <c r="N235" s="7" t="n"/>
      <c r="O235" s="7" t="n"/>
      <c r="R235" s="11" t="n"/>
      <c r="U235">
        <f>IF($A235="","",IF($AA235=1,Settings!$C$6,Settings!$C$7)*100)</f>
        <v/>
      </c>
      <c r="V235" s="7">
        <f>IF($A235="","",M235*U235/100)</f>
        <v/>
      </c>
      <c r="W235" s="7">
        <f>IF($A235="","",M235-V235)</f>
        <v/>
      </c>
      <c r="X235" s="7">
        <f>IF($A235="","",W235-F235)</f>
        <v/>
      </c>
      <c r="Y235">
        <f>IF($A235="","",IF(COUNTIF($A$2:$A235,$A235)=1,1,0))</f>
        <v/>
      </c>
      <c r="Z235">
        <f>IF($Y235=1,SUMPRODUCT(--($AB$2:$AB$501&lt;$AB235))+1,"")</f>
        <v/>
      </c>
      <c r="AA235">
        <f>IF($A235="","",IF(OR($T235=TRUE(),$T235="TRUE"),1,0))</f>
        <v/>
      </c>
      <c r="AB235">
        <f>IF($Y235=1,IFERROR(VALUE(MID($A235,2,20)),1000000000)+ROW()/100000,"")</f>
        <v/>
      </c>
    </row>
    <row r="236">
      <c r="F236" s="7">
        <f>IF($A236="","",E236*M236/100)</f>
        <v/>
      </c>
      <c r="I236" s="7" t="n"/>
      <c r="J236" s="7" t="n"/>
      <c r="L236" s="7" t="n"/>
      <c r="M236" s="7" t="n"/>
      <c r="N236" s="7" t="n"/>
      <c r="O236" s="7" t="n"/>
      <c r="R236" s="11" t="n"/>
      <c r="U236">
        <f>IF($A236="","",IF($AA236=1,Settings!$C$6,Settings!$C$7)*100)</f>
        <v/>
      </c>
      <c r="V236" s="7">
        <f>IF($A236="","",M236*U236/100)</f>
        <v/>
      </c>
      <c r="W236" s="7">
        <f>IF($A236="","",M236-V236)</f>
        <v/>
      </c>
      <c r="X236" s="7">
        <f>IF($A236="","",W236-F236)</f>
        <v/>
      </c>
      <c r="Y236">
        <f>IF($A236="","",IF(COUNTIF($A$2:$A236,$A236)=1,1,0))</f>
        <v/>
      </c>
      <c r="Z236">
        <f>IF($Y236=1,SUMPRODUCT(--($AB$2:$AB$501&lt;$AB236))+1,"")</f>
        <v/>
      </c>
      <c r="AA236">
        <f>IF($A236="","",IF(OR($T236=TRUE(),$T236="TRUE"),1,0))</f>
        <v/>
      </c>
      <c r="AB236">
        <f>IF($Y236=1,IFERROR(VALUE(MID($A236,2,20)),1000000000)+ROW()/100000,"")</f>
        <v/>
      </c>
    </row>
    <row r="237">
      <c r="F237" s="7">
        <f>IF($A237="","",E237*M237/100)</f>
        <v/>
      </c>
      <c r="I237" s="7" t="n"/>
      <c r="J237" s="7" t="n"/>
      <c r="L237" s="7" t="n"/>
      <c r="M237" s="7" t="n"/>
      <c r="N237" s="7" t="n"/>
      <c r="O237" s="7" t="n"/>
      <c r="R237" s="11" t="n"/>
      <c r="U237">
        <f>IF($A237="","",IF($AA237=1,Settings!$C$6,Settings!$C$7)*100)</f>
        <v/>
      </c>
      <c r="V237" s="7">
        <f>IF($A237="","",M237*U237/100)</f>
        <v/>
      </c>
      <c r="W237" s="7">
        <f>IF($A237="","",M237-V237)</f>
        <v/>
      </c>
      <c r="X237" s="7">
        <f>IF($A237="","",W237-F237)</f>
        <v/>
      </c>
      <c r="Y237">
        <f>IF($A237="","",IF(COUNTIF($A$2:$A237,$A237)=1,1,0))</f>
        <v/>
      </c>
      <c r="Z237">
        <f>IF($Y237=1,SUMPRODUCT(--($AB$2:$AB$501&lt;$AB237))+1,"")</f>
        <v/>
      </c>
      <c r="AA237">
        <f>IF($A237="","",IF(OR($T237=TRUE(),$T237="TRUE"),1,0))</f>
        <v/>
      </c>
      <c r="AB237">
        <f>IF($Y237=1,IFERROR(VALUE(MID($A237,2,20)),1000000000)+ROW()/100000,"")</f>
        <v/>
      </c>
    </row>
    <row r="238">
      <c r="F238" s="7">
        <f>IF($A238="","",E238*M238/100)</f>
        <v/>
      </c>
      <c r="I238" s="7" t="n"/>
      <c r="J238" s="7" t="n"/>
      <c r="L238" s="7" t="n"/>
      <c r="M238" s="7" t="n"/>
      <c r="N238" s="7" t="n"/>
      <c r="O238" s="7" t="n"/>
      <c r="R238" s="11" t="n"/>
      <c r="U238">
        <f>IF($A238="","",IF($AA238=1,Settings!$C$6,Settings!$C$7)*100)</f>
        <v/>
      </c>
      <c r="V238" s="7">
        <f>IF($A238="","",M238*U238/100)</f>
        <v/>
      </c>
      <c r="W238" s="7">
        <f>IF($A238="","",M238-V238)</f>
        <v/>
      </c>
      <c r="X238" s="7">
        <f>IF($A238="","",W238-F238)</f>
        <v/>
      </c>
      <c r="Y238">
        <f>IF($A238="","",IF(COUNTIF($A$2:$A238,$A238)=1,1,0))</f>
        <v/>
      </c>
      <c r="Z238">
        <f>IF($Y238=1,SUMPRODUCT(--($AB$2:$AB$501&lt;$AB238))+1,"")</f>
        <v/>
      </c>
      <c r="AA238">
        <f>IF($A238="","",IF(OR($T238=TRUE(),$T238="TRUE"),1,0))</f>
        <v/>
      </c>
      <c r="AB238">
        <f>IF($Y238=1,IFERROR(VALUE(MID($A238,2,20)),1000000000)+ROW()/100000,"")</f>
        <v/>
      </c>
    </row>
    <row r="239">
      <c r="F239" s="7">
        <f>IF($A239="","",E239*M239/100)</f>
        <v/>
      </c>
      <c r="I239" s="7" t="n"/>
      <c r="J239" s="7" t="n"/>
      <c r="L239" s="7" t="n"/>
      <c r="M239" s="7" t="n"/>
      <c r="N239" s="7" t="n"/>
      <c r="O239" s="7" t="n"/>
      <c r="R239" s="11" t="n"/>
      <c r="U239">
        <f>IF($A239="","",IF($AA239=1,Settings!$C$6,Settings!$C$7)*100)</f>
        <v/>
      </c>
      <c r="V239" s="7">
        <f>IF($A239="","",M239*U239/100)</f>
        <v/>
      </c>
      <c r="W239" s="7">
        <f>IF($A239="","",M239-V239)</f>
        <v/>
      </c>
      <c r="X239" s="7">
        <f>IF($A239="","",W239-F239)</f>
        <v/>
      </c>
      <c r="Y239">
        <f>IF($A239="","",IF(COUNTIF($A$2:$A239,$A239)=1,1,0))</f>
        <v/>
      </c>
      <c r="Z239">
        <f>IF($Y239=1,SUMPRODUCT(--($AB$2:$AB$501&lt;$AB239))+1,"")</f>
        <v/>
      </c>
      <c r="AA239">
        <f>IF($A239="","",IF(OR($T239=TRUE(),$T239="TRUE"),1,0))</f>
        <v/>
      </c>
      <c r="AB239">
        <f>IF($Y239=1,IFERROR(VALUE(MID($A239,2,20)),1000000000)+ROW()/100000,"")</f>
        <v/>
      </c>
    </row>
    <row r="240">
      <c r="F240" s="7">
        <f>IF($A240="","",E240*M240/100)</f>
        <v/>
      </c>
      <c r="I240" s="7" t="n"/>
      <c r="J240" s="7" t="n"/>
      <c r="L240" s="7" t="n"/>
      <c r="M240" s="7" t="n"/>
      <c r="N240" s="7" t="n"/>
      <c r="O240" s="7" t="n"/>
      <c r="R240" s="11" t="n"/>
      <c r="U240">
        <f>IF($A240="","",IF($AA240=1,Settings!$C$6,Settings!$C$7)*100)</f>
        <v/>
      </c>
      <c r="V240" s="7">
        <f>IF($A240="","",M240*U240/100)</f>
        <v/>
      </c>
      <c r="W240" s="7">
        <f>IF($A240="","",M240-V240)</f>
        <v/>
      </c>
      <c r="X240" s="7">
        <f>IF($A240="","",W240-F240)</f>
        <v/>
      </c>
      <c r="Y240">
        <f>IF($A240="","",IF(COUNTIF($A$2:$A240,$A240)=1,1,0))</f>
        <v/>
      </c>
      <c r="Z240">
        <f>IF($Y240=1,SUMPRODUCT(--($AB$2:$AB$501&lt;$AB240))+1,"")</f>
        <v/>
      </c>
      <c r="AA240">
        <f>IF($A240="","",IF(OR($T240=TRUE(),$T240="TRUE"),1,0))</f>
        <v/>
      </c>
      <c r="AB240">
        <f>IF($Y240=1,IFERROR(VALUE(MID($A240,2,20)),1000000000)+ROW()/100000,"")</f>
        <v/>
      </c>
    </row>
    <row r="241">
      <c r="F241" s="7">
        <f>IF($A241="","",E241*M241/100)</f>
        <v/>
      </c>
      <c r="I241" s="7" t="n"/>
      <c r="J241" s="7" t="n"/>
      <c r="L241" s="7" t="n"/>
      <c r="M241" s="7" t="n"/>
      <c r="N241" s="7" t="n"/>
      <c r="O241" s="7" t="n"/>
      <c r="R241" s="11" t="n"/>
      <c r="U241">
        <f>IF($A241="","",IF($AA241=1,Settings!$C$6,Settings!$C$7)*100)</f>
        <v/>
      </c>
      <c r="V241" s="7">
        <f>IF($A241="","",M241*U241/100)</f>
        <v/>
      </c>
      <c r="W241" s="7">
        <f>IF($A241="","",M241-V241)</f>
        <v/>
      </c>
      <c r="X241" s="7">
        <f>IF($A241="","",W241-F241)</f>
        <v/>
      </c>
      <c r="Y241">
        <f>IF($A241="","",IF(COUNTIF($A$2:$A241,$A241)=1,1,0))</f>
        <v/>
      </c>
      <c r="Z241">
        <f>IF($Y241=1,SUMPRODUCT(--($AB$2:$AB$501&lt;$AB241))+1,"")</f>
        <v/>
      </c>
      <c r="AA241">
        <f>IF($A241="","",IF(OR($T241=TRUE(),$T241="TRUE"),1,0))</f>
        <v/>
      </c>
      <c r="AB241">
        <f>IF($Y241=1,IFERROR(VALUE(MID($A241,2,20)),1000000000)+ROW()/100000,"")</f>
        <v/>
      </c>
    </row>
    <row r="242">
      <c r="F242" s="7">
        <f>IF($A242="","",E242*M242/100)</f>
        <v/>
      </c>
      <c r="I242" s="7" t="n"/>
      <c r="J242" s="7" t="n"/>
      <c r="L242" s="7" t="n"/>
      <c r="M242" s="7" t="n"/>
      <c r="N242" s="7" t="n"/>
      <c r="O242" s="7" t="n"/>
      <c r="R242" s="11" t="n"/>
      <c r="U242">
        <f>IF($A242="","",IF($AA242=1,Settings!$C$6,Settings!$C$7)*100)</f>
        <v/>
      </c>
      <c r="V242" s="7">
        <f>IF($A242="","",M242*U242/100)</f>
        <v/>
      </c>
      <c r="W242" s="7">
        <f>IF($A242="","",M242-V242)</f>
        <v/>
      </c>
      <c r="X242" s="7">
        <f>IF($A242="","",W242-F242)</f>
        <v/>
      </c>
      <c r="Y242">
        <f>IF($A242="","",IF(COUNTIF($A$2:$A242,$A242)=1,1,0))</f>
        <v/>
      </c>
      <c r="Z242">
        <f>IF($Y242=1,SUMPRODUCT(--($AB$2:$AB$501&lt;$AB242))+1,"")</f>
        <v/>
      </c>
      <c r="AA242">
        <f>IF($A242="","",IF(OR($T242=TRUE(),$T242="TRUE"),1,0))</f>
        <v/>
      </c>
      <c r="AB242">
        <f>IF($Y242=1,IFERROR(VALUE(MID($A242,2,20)),1000000000)+ROW()/100000,"")</f>
        <v/>
      </c>
    </row>
    <row r="243">
      <c r="F243" s="7">
        <f>IF($A243="","",E243*M243/100)</f>
        <v/>
      </c>
      <c r="I243" s="7" t="n"/>
      <c r="J243" s="7" t="n"/>
      <c r="L243" s="7" t="n"/>
      <c r="M243" s="7" t="n"/>
      <c r="N243" s="7" t="n"/>
      <c r="O243" s="7" t="n"/>
      <c r="R243" s="11" t="n"/>
      <c r="U243">
        <f>IF($A243="","",IF($AA243=1,Settings!$C$6,Settings!$C$7)*100)</f>
        <v/>
      </c>
      <c r="V243" s="7">
        <f>IF($A243="","",M243*U243/100)</f>
        <v/>
      </c>
      <c r="W243" s="7">
        <f>IF($A243="","",M243-V243)</f>
        <v/>
      </c>
      <c r="X243" s="7">
        <f>IF($A243="","",W243-F243)</f>
        <v/>
      </c>
      <c r="Y243">
        <f>IF($A243="","",IF(COUNTIF($A$2:$A243,$A243)=1,1,0))</f>
        <v/>
      </c>
      <c r="Z243">
        <f>IF($Y243=1,SUMPRODUCT(--($AB$2:$AB$501&lt;$AB243))+1,"")</f>
        <v/>
      </c>
      <c r="AA243">
        <f>IF($A243="","",IF(OR($T243=TRUE(),$T243="TRUE"),1,0))</f>
        <v/>
      </c>
      <c r="AB243">
        <f>IF($Y243=1,IFERROR(VALUE(MID($A243,2,20)),1000000000)+ROW()/100000,"")</f>
        <v/>
      </c>
    </row>
    <row r="244">
      <c r="F244" s="7">
        <f>IF($A244="","",E244*M244/100)</f>
        <v/>
      </c>
      <c r="I244" s="7" t="n"/>
      <c r="J244" s="7" t="n"/>
      <c r="L244" s="7" t="n"/>
      <c r="M244" s="7" t="n"/>
      <c r="N244" s="7" t="n"/>
      <c r="O244" s="7" t="n"/>
      <c r="R244" s="11" t="n"/>
      <c r="U244">
        <f>IF($A244="","",IF($AA244=1,Settings!$C$6,Settings!$C$7)*100)</f>
        <v/>
      </c>
      <c r="V244" s="7">
        <f>IF($A244="","",M244*U244/100)</f>
        <v/>
      </c>
      <c r="W244" s="7">
        <f>IF($A244="","",M244-V244)</f>
        <v/>
      </c>
      <c r="X244" s="7">
        <f>IF($A244="","",W244-F244)</f>
        <v/>
      </c>
      <c r="Y244">
        <f>IF($A244="","",IF(COUNTIF($A$2:$A244,$A244)=1,1,0))</f>
        <v/>
      </c>
      <c r="Z244">
        <f>IF($Y244=1,SUMPRODUCT(--($AB$2:$AB$501&lt;$AB244))+1,"")</f>
        <v/>
      </c>
      <c r="AA244">
        <f>IF($A244="","",IF(OR($T244=TRUE(),$T244="TRUE"),1,0))</f>
        <v/>
      </c>
      <c r="AB244">
        <f>IF($Y244=1,IFERROR(VALUE(MID($A244,2,20)),1000000000)+ROW()/100000,"")</f>
        <v/>
      </c>
    </row>
    <row r="245">
      <c r="F245" s="7">
        <f>IF($A245="","",E245*M245/100)</f>
        <v/>
      </c>
      <c r="I245" s="7" t="n"/>
      <c r="J245" s="7" t="n"/>
      <c r="L245" s="7" t="n"/>
      <c r="M245" s="7" t="n"/>
      <c r="N245" s="7" t="n"/>
      <c r="O245" s="7" t="n"/>
      <c r="R245" s="11" t="n"/>
      <c r="U245">
        <f>IF($A245="","",IF($AA245=1,Settings!$C$6,Settings!$C$7)*100)</f>
        <v/>
      </c>
      <c r="V245" s="7">
        <f>IF($A245="","",M245*U245/100)</f>
        <v/>
      </c>
      <c r="W245" s="7">
        <f>IF($A245="","",M245-V245)</f>
        <v/>
      </c>
      <c r="X245" s="7">
        <f>IF($A245="","",W245-F245)</f>
        <v/>
      </c>
      <c r="Y245">
        <f>IF($A245="","",IF(COUNTIF($A$2:$A245,$A245)=1,1,0))</f>
        <v/>
      </c>
      <c r="Z245">
        <f>IF($Y245=1,SUMPRODUCT(--($AB$2:$AB$501&lt;$AB245))+1,"")</f>
        <v/>
      </c>
      <c r="AA245">
        <f>IF($A245="","",IF(OR($T245=TRUE(),$T245="TRUE"),1,0))</f>
        <v/>
      </c>
      <c r="AB245">
        <f>IF($Y245=1,IFERROR(VALUE(MID($A245,2,20)),1000000000)+ROW()/100000,"")</f>
        <v/>
      </c>
    </row>
    <row r="246">
      <c r="F246" s="7">
        <f>IF($A246="","",E246*M246/100)</f>
        <v/>
      </c>
      <c r="I246" s="7" t="n"/>
      <c r="J246" s="7" t="n"/>
      <c r="L246" s="7" t="n"/>
      <c r="M246" s="7" t="n"/>
      <c r="N246" s="7" t="n"/>
      <c r="O246" s="7" t="n"/>
      <c r="R246" s="11" t="n"/>
      <c r="U246">
        <f>IF($A246="","",IF($AA246=1,Settings!$C$6,Settings!$C$7)*100)</f>
        <v/>
      </c>
      <c r="V246" s="7">
        <f>IF($A246="","",M246*U246/100)</f>
        <v/>
      </c>
      <c r="W246" s="7">
        <f>IF($A246="","",M246-V246)</f>
        <v/>
      </c>
      <c r="X246" s="7">
        <f>IF($A246="","",W246-F246)</f>
        <v/>
      </c>
      <c r="Y246">
        <f>IF($A246="","",IF(COUNTIF($A$2:$A246,$A246)=1,1,0))</f>
        <v/>
      </c>
      <c r="Z246">
        <f>IF($Y246=1,SUMPRODUCT(--($AB$2:$AB$501&lt;$AB246))+1,"")</f>
        <v/>
      </c>
      <c r="AA246">
        <f>IF($A246="","",IF(OR($T246=TRUE(),$T246="TRUE"),1,0))</f>
        <v/>
      </c>
      <c r="AB246">
        <f>IF($Y246=1,IFERROR(VALUE(MID($A246,2,20)),1000000000)+ROW()/100000,"")</f>
        <v/>
      </c>
    </row>
    <row r="247">
      <c r="F247" s="7">
        <f>IF($A247="","",E247*M247/100)</f>
        <v/>
      </c>
      <c r="I247" s="7" t="n"/>
      <c r="J247" s="7" t="n"/>
      <c r="L247" s="7" t="n"/>
      <c r="M247" s="7" t="n"/>
      <c r="N247" s="7" t="n"/>
      <c r="O247" s="7" t="n"/>
      <c r="R247" s="11" t="n"/>
      <c r="U247">
        <f>IF($A247="","",IF($AA247=1,Settings!$C$6,Settings!$C$7)*100)</f>
        <v/>
      </c>
      <c r="V247" s="7">
        <f>IF($A247="","",M247*U247/100)</f>
        <v/>
      </c>
      <c r="W247" s="7">
        <f>IF($A247="","",M247-V247)</f>
        <v/>
      </c>
      <c r="X247" s="7">
        <f>IF($A247="","",W247-F247)</f>
        <v/>
      </c>
      <c r="Y247">
        <f>IF($A247="","",IF(COUNTIF($A$2:$A247,$A247)=1,1,0))</f>
        <v/>
      </c>
      <c r="Z247">
        <f>IF($Y247=1,SUMPRODUCT(--($AB$2:$AB$501&lt;$AB247))+1,"")</f>
        <v/>
      </c>
      <c r="AA247">
        <f>IF($A247="","",IF(OR($T247=TRUE(),$T247="TRUE"),1,0))</f>
        <v/>
      </c>
      <c r="AB247">
        <f>IF($Y247=1,IFERROR(VALUE(MID($A247,2,20)),1000000000)+ROW()/100000,"")</f>
        <v/>
      </c>
    </row>
    <row r="248">
      <c r="F248" s="7">
        <f>IF($A248="","",E248*M248/100)</f>
        <v/>
      </c>
      <c r="I248" s="7" t="n"/>
      <c r="J248" s="7" t="n"/>
      <c r="L248" s="7" t="n"/>
      <c r="M248" s="7" t="n"/>
      <c r="N248" s="7" t="n"/>
      <c r="O248" s="7" t="n"/>
      <c r="R248" s="11" t="n"/>
      <c r="U248">
        <f>IF($A248="","",IF($AA248=1,Settings!$C$6,Settings!$C$7)*100)</f>
        <v/>
      </c>
      <c r="V248" s="7">
        <f>IF($A248="","",M248*U248/100)</f>
        <v/>
      </c>
      <c r="W248" s="7">
        <f>IF($A248="","",M248-V248)</f>
        <v/>
      </c>
      <c r="X248" s="7">
        <f>IF($A248="","",W248-F248)</f>
        <v/>
      </c>
      <c r="Y248">
        <f>IF($A248="","",IF(COUNTIF($A$2:$A248,$A248)=1,1,0))</f>
        <v/>
      </c>
      <c r="Z248">
        <f>IF($Y248=1,SUMPRODUCT(--($AB$2:$AB$501&lt;$AB248))+1,"")</f>
        <v/>
      </c>
      <c r="AA248">
        <f>IF($A248="","",IF(OR($T248=TRUE(),$T248="TRUE"),1,0))</f>
        <v/>
      </c>
      <c r="AB248">
        <f>IF($Y248=1,IFERROR(VALUE(MID($A248,2,20)),1000000000)+ROW()/100000,"")</f>
        <v/>
      </c>
    </row>
    <row r="249">
      <c r="F249" s="7">
        <f>IF($A249="","",E249*M249/100)</f>
        <v/>
      </c>
      <c r="I249" s="7" t="n"/>
      <c r="J249" s="7" t="n"/>
      <c r="L249" s="7" t="n"/>
      <c r="M249" s="7" t="n"/>
      <c r="N249" s="7" t="n"/>
      <c r="O249" s="7" t="n"/>
      <c r="R249" s="11" t="n"/>
      <c r="U249">
        <f>IF($A249="","",IF($AA249=1,Settings!$C$6,Settings!$C$7)*100)</f>
        <v/>
      </c>
      <c r="V249" s="7">
        <f>IF($A249="","",M249*U249/100)</f>
        <v/>
      </c>
      <c r="W249" s="7">
        <f>IF($A249="","",M249-V249)</f>
        <v/>
      </c>
      <c r="X249" s="7">
        <f>IF($A249="","",W249-F249)</f>
        <v/>
      </c>
      <c r="Y249">
        <f>IF($A249="","",IF(COUNTIF($A$2:$A249,$A249)=1,1,0))</f>
        <v/>
      </c>
      <c r="Z249">
        <f>IF($Y249=1,SUMPRODUCT(--($AB$2:$AB$501&lt;$AB249))+1,"")</f>
        <v/>
      </c>
      <c r="AA249">
        <f>IF($A249="","",IF(OR($T249=TRUE(),$T249="TRUE"),1,0))</f>
        <v/>
      </c>
      <c r="AB249">
        <f>IF($Y249=1,IFERROR(VALUE(MID($A249,2,20)),1000000000)+ROW()/100000,"")</f>
        <v/>
      </c>
    </row>
    <row r="250">
      <c r="F250" s="7">
        <f>IF($A250="","",E250*M250/100)</f>
        <v/>
      </c>
      <c r="I250" s="7" t="n"/>
      <c r="J250" s="7" t="n"/>
      <c r="L250" s="7" t="n"/>
      <c r="M250" s="7" t="n"/>
      <c r="N250" s="7" t="n"/>
      <c r="O250" s="7" t="n"/>
      <c r="R250" s="11" t="n"/>
      <c r="U250">
        <f>IF($A250="","",IF($AA250=1,Settings!$C$6,Settings!$C$7)*100)</f>
        <v/>
      </c>
      <c r="V250" s="7">
        <f>IF($A250="","",M250*U250/100)</f>
        <v/>
      </c>
      <c r="W250" s="7">
        <f>IF($A250="","",M250-V250)</f>
        <v/>
      </c>
      <c r="X250" s="7">
        <f>IF($A250="","",W250-F250)</f>
        <v/>
      </c>
      <c r="Y250">
        <f>IF($A250="","",IF(COUNTIF($A$2:$A250,$A250)=1,1,0))</f>
        <v/>
      </c>
      <c r="Z250">
        <f>IF($Y250=1,SUMPRODUCT(--($AB$2:$AB$501&lt;$AB250))+1,"")</f>
        <v/>
      </c>
      <c r="AA250">
        <f>IF($A250="","",IF(OR($T250=TRUE(),$T250="TRUE"),1,0))</f>
        <v/>
      </c>
      <c r="AB250">
        <f>IF($Y250=1,IFERROR(VALUE(MID($A250,2,20)),1000000000)+ROW()/100000,"")</f>
        <v/>
      </c>
    </row>
    <row r="251">
      <c r="F251" s="7">
        <f>IF($A251="","",E251*M251/100)</f>
        <v/>
      </c>
      <c r="I251" s="7" t="n"/>
      <c r="J251" s="7" t="n"/>
      <c r="L251" s="7" t="n"/>
      <c r="M251" s="7" t="n"/>
      <c r="N251" s="7" t="n"/>
      <c r="O251" s="7" t="n"/>
      <c r="R251" s="11" t="n"/>
      <c r="U251">
        <f>IF($A251="","",IF($AA251=1,Settings!$C$6,Settings!$C$7)*100)</f>
        <v/>
      </c>
      <c r="V251" s="7">
        <f>IF($A251="","",M251*U251/100)</f>
        <v/>
      </c>
      <c r="W251" s="7">
        <f>IF($A251="","",M251-V251)</f>
        <v/>
      </c>
      <c r="X251" s="7">
        <f>IF($A251="","",W251-F251)</f>
        <v/>
      </c>
      <c r="Y251">
        <f>IF($A251="","",IF(COUNTIF($A$2:$A251,$A251)=1,1,0))</f>
        <v/>
      </c>
      <c r="Z251">
        <f>IF($Y251=1,SUMPRODUCT(--($AB$2:$AB$501&lt;$AB251))+1,"")</f>
        <v/>
      </c>
      <c r="AA251">
        <f>IF($A251="","",IF(OR($T251=TRUE(),$T251="TRUE"),1,0))</f>
        <v/>
      </c>
      <c r="AB251">
        <f>IF($Y251=1,IFERROR(VALUE(MID($A251,2,20)),1000000000)+ROW()/100000,"")</f>
        <v/>
      </c>
    </row>
    <row r="252">
      <c r="F252" s="7">
        <f>IF($A252="","",E252*M252/100)</f>
        <v/>
      </c>
      <c r="I252" s="7" t="n"/>
      <c r="J252" s="7" t="n"/>
      <c r="L252" s="7" t="n"/>
      <c r="M252" s="7" t="n"/>
      <c r="N252" s="7" t="n"/>
      <c r="O252" s="7" t="n"/>
      <c r="R252" s="11" t="n"/>
      <c r="U252">
        <f>IF($A252="","",IF($AA252=1,Settings!$C$6,Settings!$C$7)*100)</f>
        <v/>
      </c>
      <c r="V252" s="7">
        <f>IF($A252="","",M252*U252/100)</f>
        <v/>
      </c>
      <c r="W252" s="7">
        <f>IF($A252="","",M252-V252)</f>
        <v/>
      </c>
      <c r="X252" s="7">
        <f>IF($A252="","",W252-F252)</f>
        <v/>
      </c>
      <c r="Y252">
        <f>IF($A252="","",IF(COUNTIF($A$2:$A252,$A252)=1,1,0))</f>
        <v/>
      </c>
      <c r="Z252">
        <f>IF($Y252=1,SUMPRODUCT(--($AB$2:$AB$501&lt;$AB252))+1,"")</f>
        <v/>
      </c>
      <c r="AA252">
        <f>IF($A252="","",IF(OR($T252=TRUE(),$T252="TRUE"),1,0))</f>
        <v/>
      </c>
      <c r="AB252">
        <f>IF($Y252=1,IFERROR(VALUE(MID($A252,2,20)),1000000000)+ROW()/100000,"")</f>
        <v/>
      </c>
    </row>
    <row r="253">
      <c r="F253" s="7">
        <f>IF($A253="","",E253*M253/100)</f>
        <v/>
      </c>
      <c r="I253" s="7" t="n"/>
      <c r="J253" s="7" t="n"/>
      <c r="L253" s="7" t="n"/>
      <c r="M253" s="7" t="n"/>
      <c r="N253" s="7" t="n"/>
      <c r="O253" s="7" t="n"/>
      <c r="R253" s="11" t="n"/>
      <c r="U253">
        <f>IF($A253="","",IF($AA253=1,Settings!$C$6,Settings!$C$7)*100)</f>
        <v/>
      </c>
      <c r="V253" s="7">
        <f>IF($A253="","",M253*U253/100)</f>
        <v/>
      </c>
      <c r="W253" s="7">
        <f>IF($A253="","",M253-V253)</f>
        <v/>
      </c>
      <c r="X253" s="7">
        <f>IF($A253="","",W253-F253)</f>
        <v/>
      </c>
      <c r="Y253">
        <f>IF($A253="","",IF(COUNTIF($A$2:$A253,$A253)=1,1,0))</f>
        <v/>
      </c>
      <c r="Z253">
        <f>IF($Y253=1,SUMPRODUCT(--($AB$2:$AB$501&lt;$AB253))+1,"")</f>
        <v/>
      </c>
      <c r="AA253">
        <f>IF($A253="","",IF(OR($T253=TRUE(),$T253="TRUE"),1,0))</f>
        <v/>
      </c>
      <c r="AB253">
        <f>IF($Y253=1,IFERROR(VALUE(MID($A253,2,20)),1000000000)+ROW()/100000,"")</f>
        <v/>
      </c>
    </row>
    <row r="254">
      <c r="F254" s="7">
        <f>IF($A254="","",E254*M254/100)</f>
        <v/>
      </c>
      <c r="I254" s="7" t="n"/>
      <c r="J254" s="7" t="n"/>
      <c r="L254" s="7" t="n"/>
      <c r="M254" s="7" t="n"/>
      <c r="N254" s="7" t="n"/>
      <c r="O254" s="7" t="n"/>
      <c r="R254" s="11" t="n"/>
      <c r="U254">
        <f>IF($A254="","",IF($AA254=1,Settings!$C$6,Settings!$C$7)*100)</f>
        <v/>
      </c>
      <c r="V254" s="7">
        <f>IF($A254="","",M254*U254/100)</f>
        <v/>
      </c>
      <c r="W254" s="7">
        <f>IF($A254="","",M254-V254)</f>
        <v/>
      </c>
      <c r="X254" s="7">
        <f>IF($A254="","",W254-F254)</f>
        <v/>
      </c>
      <c r="Y254">
        <f>IF($A254="","",IF(COUNTIF($A$2:$A254,$A254)=1,1,0))</f>
        <v/>
      </c>
      <c r="Z254">
        <f>IF($Y254=1,SUMPRODUCT(--($AB$2:$AB$501&lt;$AB254))+1,"")</f>
        <v/>
      </c>
      <c r="AA254">
        <f>IF($A254="","",IF(OR($T254=TRUE(),$T254="TRUE"),1,0))</f>
        <v/>
      </c>
      <c r="AB254">
        <f>IF($Y254=1,IFERROR(VALUE(MID($A254,2,20)),1000000000)+ROW()/100000,"")</f>
        <v/>
      </c>
    </row>
    <row r="255">
      <c r="F255" s="7">
        <f>IF($A255="","",E255*M255/100)</f>
        <v/>
      </c>
      <c r="I255" s="7" t="n"/>
      <c r="J255" s="7" t="n"/>
      <c r="L255" s="7" t="n"/>
      <c r="M255" s="7" t="n"/>
      <c r="N255" s="7" t="n"/>
      <c r="O255" s="7" t="n"/>
      <c r="R255" s="11" t="n"/>
      <c r="U255">
        <f>IF($A255="","",IF($AA255=1,Settings!$C$6,Settings!$C$7)*100)</f>
        <v/>
      </c>
      <c r="V255" s="7">
        <f>IF($A255="","",M255*U255/100)</f>
        <v/>
      </c>
      <c r="W255" s="7">
        <f>IF($A255="","",M255-V255)</f>
        <v/>
      </c>
      <c r="X255" s="7">
        <f>IF($A255="","",W255-F255)</f>
        <v/>
      </c>
      <c r="Y255">
        <f>IF($A255="","",IF(COUNTIF($A$2:$A255,$A255)=1,1,0))</f>
        <v/>
      </c>
      <c r="Z255">
        <f>IF($Y255=1,SUMPRODUCT(--($AB$2:$AB$501&lt;$AB255))+1,"")</f>
        <v/>
      </c>
      <c r="AA255">
        <f>IF($A255="","",IF(OR($T255=TRUE(),$T255="TRUE"),1,0))</f>
        <v/>
      </c>
      <c r="AB255">
        <f>IF($Y255=1,IFERROR(VALUE(MID($A255,2,20)),1000000000)+ROW()/100000,"")</f>
        <v/>
      </c>
    </row>
    <row r="256">
      <c r="F256" s="7">
        <f>IF($A256="","",E256*M256/100)</f>
        <v/>
      </c>
      <c r="I256" s="7" t="n"/>
      <c r="J256" s="7" t="n"/>
      <c r="L256" s="7" t="n"/>
      <c r="M256" s="7" t="n"/>
      <c r="N256" s="7" t="n"/>
      <c r="O256" s="7" t="n"/>
      <c r="R256" s="11" t="n"/>
      <c r="U256">
        <f>IF($A256="","",IF($AA256=1,Settings!$C$6,Settings!$C$7)*100)</f>
        <v/>
      </c>
      <c r="V256" s="7">
        <f>IF($A256="","",M256*U256/100)</f>
        <v/>
      </c>
      <c r="W256" s="7">
        <f>IF($A256="","",M256-V256)</f>
        <v/>
      </c>
      <c r="X256" s="7">
        <f>IF($A256="","",W256-F256)</f>
        <v/>
      </c>
      <c r="Y256">
        <f>IF($A256="","",IF(COUNTIF($A$2:$A256,$A256)=1,1,0))</f>
        <v/>
      </c>
      <c r="Z256">
        <f>IF($Y256=1,SUMPRODUCT(--($AB$2:$AB$501&lt;$AB256))+1,"")</f>
        <v/>
      </c>
      <c r="AA256">
        <f>IF($A256="","",IF(OR($T256=TRUE(),$T256="TRUE"),1,0))</f>
        <v/>
      </c>
      <c r="AB256">
        <f>IF($Y256=1,IFERROR(VALUE(MID($A256,2,20)),1000000000)+ROW()/100000,"")</f>
        <v/>
      </c>
    </row>
    <row r="257">
      <c r="F257" s="7">
        <f>IF($A257="","",E257*M257/100)</f>
        <v/>
      </c>
      <c r="I257" s="7" t="n"/>
      <c r="J257" s="7" t="n"/>
      <c r="L257" s="7" t="n"/>
      <c r="M257" s="7" t="n"/>
      <c r="N257" s="7" t="n"/>
      <c r="O257" s="7" t="n"/>
      <c r="R257" s="11" t="n"/>
      <c r="U257">
        <f>IF($A257="","",IF($AA257=1,Settings!$C$6,Settings!$C$7)*100)</f>
        <v/>
      </c>
      <c r="V257" s="7">
        <f>IF($A257="","",M257*U257/100)</f>
        <v/>
      </c>
      <c r="W257" s="7">
        <f>IF($A257="","",M257-V257)</f>
        <v/>
      </c>
      <c r="X257" s="7">
        <f>IF($A257="","",W257-F257)</f>
        <v/>
      </c>
      <c r="Y257">
        <f>IF($A257="","",IF(COUNTIF($A$2:$A257,$A257)=1,1,0))</f>
        <v/>
      </c>
      <c r="Z257">
        <f>IF($Y257=1,SUMPRODUCT(--($AB$2:$AB$501&lt;$AB257))+1,"")</f>
        <v/>
      </c>
      <c r="AA257">
        <f>IF($A257="","",IF(OR($T257=TRUE(),$T257="TRUE"),1,0))</f>
        <v/>
      </c>
      <c r="AB257">
        <f>IF($Y257=1,IFERROR(VALUE(MID($A257,2,20)),1000000000)+ROW()/100000,"")</f>
        <v/>
      </c>
    </row>
    <row r="258">
      <c r="F258" s="7">
        <f>IF($A258="","",E258*M258/100)</f>
        <v/>
      </c>
      <c r="I258" s="7" t="n"/>
      <c r="J258" s="7" t="n"/>
      <c r="L258" s="7" t="n"/>
      <c r="M258" s="7" t="n"/>
      <c r="N258" s="7" t="n"/>
      <c r="O258" s="7" t="n"/>
      <c r="R258" s="11" t="n"/>
      <c r="U258">
        <f>IF($A258="","",IF($AA258=1,Settings!$C$6,Settings!$C$7)*100)</f>
        <v/>
      </c>
      <c r="V258" s="7">
        <f>IF($A258="","",M258*U258/100)</f>
        <v/>
      </c>
      <c r="W258" s="7">
        <f>IF($A258="","",M258-V258)</f>
        <v/>
      </c>
      <c r="X258" s="7">
        <f>IF($A258="","",W258-F258)</f>
        <v/>
      </c>
      <c r="Y258">
        <f>IF($A258="","",IF(COUNTIF($A$2:$A258,$A258)=1,1,0))</f>
        <v/>
      </c>
      <c r="Z258">
        <f>IF($Y258=1,SUMPRODUCT(--($AB$2:$AB$501&lt;$AB258))+1,"")</f>
        <v/>
      </c>
      <c r="AA258">
        <f>IF($A258="","",IF(OR($T258=TRUE(),$T258="TRUE"),1,0))</f>
        <v/>
      </c>
      <c r="AB258">
        <f>IF($Y258=1,IFERROR(VALUE(MID($A258,2,20)),1000000000)+ROW()/100000,"")</f>
        <v/>
      </c>
    </row>
    <row r="259">
      <c r="F259" s="7">
        <f>IF($A259="","",E259*M259/100)</f>
        <v/>
      </c>
      <c r="I259" s="7" t="n"/>
      <c r="J259" s="7" t="n"/>
      <c r="L259" s="7" t="n"/>
      <c r="M259" s="7" t="n"/>
      <c r="N259" s="7" t="n"/>
      <c r="O259" s="7" t="n"/>
      <c r="R259" s="11" t="n"/>
      <c r="U259">
        <f>IF($A259="","",IF($AA259=1,Settings!$C$6,Settings!$C$7)*100)</f>
        <v/>
      </c>
      <c r="V259" s="7">
        <f>IF($A259="","",M259*U259/100)</f>
        <v/>
      </c>
      <c r="W259" s="7">
        <f>IF($A259="","",M259-V259)</f>
        <v/>
      </c>
      <c r="X259" s="7">
        <f>IF($A259="","",W259-F259)</f>
        <v/>
      </c>
      <c r="Y259">
        <f>IF($A259="","",IF(COUNTIF($A$2:$A259,$A259)=1,1,0))</f>
        <v/>
      </c>
      <c r="Z259">
        <f>IF($Y259=1,SUMPRODUCT(--($AB$2:$AB$501&lt;$AB259))+1,"")</f>
        <v/>
      </c>
      <c r="AA259">
        <f>IF($A259="","",IF(OR($T259=TRUE(),$T259="TRUE"),1,0))</f>
        <v/>
      </c>
      <c r="AB259">
        <f>IF($Y259=1,IFERROR(VALUE(MID($A259,2,20)),1000000000)+ROW()/100000,"")</f>
        <v/>
      </c>
    </row>
    <row r="260">
      <c r="F260" s="7">
        <f>IF($A260="","",E260*M260/100)</f>
        <v/>
      </c>
      <c r="I260" s="7" t="n"/>
      <c r="J260" s="7" t="n"/>
      <c r="L260" s="7" t="n"/>
      <c r="M260" s="7" t="n"/>
      <c r="N260" s="7" t="n"/>
      <c r="O260" s="7" t="n"/>
      <c r="R260" s="11" t="n"/>
      <c r="U260">
        <f>IF($A260="","",IF($AA260=1,Settings!$C$6,Settings!$C$7)*100)</f>
        <v/>
      </c>
      <c r="V260" s="7">
        <f>IF($A260="","",M260*U260/100)</f>
        <v/>
      </c>
      <c r="W260" s="7">
        <f>IF($A260="","",M260-V260)</f>
        <v/>
      </c>
      <c r="X260" s="7">
        <f>IF($A260="","",W260-F260)</f>
        <v/>
      </c>
      <c r="Y260">
        <f>IF($A260="","",IF(COUNTIF($A$2:$A260,$A260)=1,1,0))</f>
        <v/>
      </c>
      <c r="Z260">
        <f>IF($Y260=1,SUMPRODUCT(--($AB$2:$AB$501&lt;$AB260))+1,"")</f>
        <v/>
      </c>
      <c r="AA260">
        <f>IF($A260="","",IF(OR($T260=TRUE(),$T260="TRUE"),1,0))</f>
        <v/>
      </c>
      <c r="AB260">
        <f>IF($Y260=1,IFERROR(VALUE(MID($A260,2,20)),1000000000)+ROW()/100000,"")</f>
        <v/>
      </c>
    </row>
    <row r="261">
      <c r="F261" s="7">
        <f>IF($A261="","",E261*M261/100)</f>
        <v/>
      </c>
      <c r="I261" s="7" t="n"/>
      <c r="J261" s="7" t="n"/>
      <c r="L261" s="7" t="n"/>
      <c r="M261" s="7" t="n"/>
      <c r="N261" s="7" t="n"/>
      <c r="O261" s="7" t="n"/>
      <c r="R261" s="11" t="n"/>
      <c r="U261">
        <f>IF($A261="","",IF($AA261=1,Settings!$C$6,Settings!$C$7)*100)</f>
        <v/>
      </c>
      <c r="V261" s="7">
        <f>IF($A261="","",M261*U261/100)</f>
        <v/>
      </c>
      <c r="W261" s="7">
        <f>IF($A261="","",M261-V261)</f>
        <v/>
      </c>
      <c r="X261" s="7">
        <f>IF($A261="","",W261-F261)</f>
        <v/>
      </c>
      <c r="Y261">
        <f>IF($A261="","",IF(COUNTIF($A$2:$A261,$A261)=1,1,0))</f>
        <v/>
      </c>
      <c r="Z261">
        <f>IF($Y261=1,SUMPRODUCT(--($AB$2:$AB$501&lt;$AB261))+1,"")</f>
        <v/>
      </c>
      <c r="AA261">
        <f>IF($A261="","",IF(OR($T261=TRUE(),$T261="TRUE"),1,0))</f>
        <v/>
      </c>
      <c r="AB261">
        <f>IF($Y261=1,IFERROR(VALUE(MID($A261,2,20)),1000000000)+ROW()/100000,"")</f>
        <v/>
      </c>
    </row>
    <row r="262">
      <c r="F262" s="7">
        <f>IF($A262="","",E262*M262/100)</f>
        <v/>
      </c>
      <c r="I262" s="7" t="n"/>
      <c r="J262" s="7" t="n"/>
      <c r="L262" s="7" t="n"/>
      <c r="M262" s="7" t="n"/>
      <c r="N262" s="7" t="n"/>
      <c r="O262" s="7" t="n"/>
      <c r="R262" s="11" t="n"/>
      <c r="U262">
        <f>IF($A262="","",IF($AA262=1,Settings!$C$6,Settings!$C$7)*100)</f>
        <v/>
      </c>
      <c r="V262" s="7">
        <f>IF($A262="","",M262*U262/100)</f>
        <v/>
      </c>
      <c r="W262" s="7">
        <f>IF($A262="","",M262-V262)</f>
        <v/>
      </c>
      <c r="X262" s="7">
        <f>IF($A262="","",W262-F262)</f>
        <v/>
      </c>
      <c r="Y262">
        <f>IF($A262="","",IF(COUNTIF($A$2:$A262,$A262)=1,1,0))</f>
        <v/>
      </c>
      <c r="Z262">
        <f>IF($Y262=1,SUMPRODUCT(--($AB$2:$AB$501&lt;$AB262))+1,"")</f>
        <v/>
      </c>
      <c r="AA262">
        <f>IF($A262="","",IF(OR($T262=TRUE(),$T262="TRUE"),1,0))</f>
        <v/>
      </c>
      <c r="AB262">
        <f>IF($Y262=1,IFERROR(VALUE(MID($A262,2,20)),1000000000)+ROW()/100000,"")</f>
        <v/>
      </c>
    </row>
    <row r="263">
      <c r="F263" s="7">
        <f>IF($A263="","",E263*M263/100)</f>
        <v/>
      </c>
      <c r="I263" s="7" t="n"/>
      <c r="J263" s="7" t="n"/>
      <c r="L263" s="7" t="n"/>
      <c r="M263" s="7" t="n"/>
      <c r="N263" s="7" t="n"/>
      <c r="O263" s="7" t="n"/>
      <c r="R263" s="11" t="n"/>
      <c r="U263">
        <f>IF($A263="","",IF($AA263=1,Settings!$C$6,Settings!$C$7)*100)</f>
        <v/>
      </c>
      <c r="V263" s="7">
        <f>IF($A263="","",M263*U263/100)</f>
        <v/>
      </c>
      <c r="W263" s="7">
        <f>IF($A263="","",M263-V263)</f>
        <v/>
      </c>
      <c r="X263" s="7">
        <f>IF($A263="","",W263-F263)</f>
        <v/>
      </c>
      <c r="Y263">
        <f>IF($A263="","",IF(COUNTIF($A$2:$A263,$A263)=1,1,0))</f>
        <v/>
      </c>
      <c r="Z263">
        <f>IF($Y263=1,SUMPRODUCT(--($AB$2:$AB$501&lt;$AB263))+1,"")</f>
        <v/>
      </c>
      <c r="AA263">
        <f>IF($A263="","",IF(OR($T263=TRUE(),$T263="TRUE"),1,0))</f>
        <v/>
      </c>
      <c r="AB263">
        <f>IF($Y263=1,IFERROR(VALUE(MID($A263,2,20)),1000000000)+ROW()/100000,"")</f>
        <v/>
      </c>
    </row>
    <row r="264">
      <c r="F264" s="7">
        <f>IF($A264="","",E264*M264/100)</f>
        <v/>
      </c>
      <c r="I264" s="7" t="n"/>
      <c r="J264" s="7" t="n"/>
      <c r="L264" s="7" t="n"/>
      <c r="M264" s="7" t="n"/>
      <c r="N264" s="7" t="n"/>
      <c r="O264" s="7" t="n"/>
      <c r="R264" s="11" t="n"/>
      <c r="U264">
        <f>IF($A264="","",IF($AA264=1,Settings!$C$6,Settings!$C$7)*100)</f>
        <v/>
      </c>
      <c r="V264" s="7">
        <f>IF($A264="","",M264*U264/100)</f>
        <v/>
      </c>
      <c r="W264" s="7">
        <f>IF($A264="","",M264-V264)</f>
        <v/>
      </c>
      <c r="X264" s="7">
        <f>IF($A264="","",W264-F264)</f>
        <v/>
      </c>
      <c r="Y264">
        <f>IF($A264="","",IF(COUNTIF($A$2:$A264,$A264)=1,1,0))</f>
        <v/>
      </c>
      <c r="Z264">
        <f>IF($Y264=1,SUMPRODUCT(--($AB$2:$AB$501&lt;$AB264))+1,"")</f>
        <v/>
      </c>
      <c r="AA264">
        <f>IF($A264="","",IF(OR($T264=TRUE(),$T264="TRUE"),1,0))</f>
        <v/>
      </c>
      <c r="AB264">
        <f>IF($Y264=1,IFERROR(VALUE(MID($A264,2,20)),1000000000)+ROW()/100000,"")</f>
        <v/>
      </c>
    </row>
    <row r="265">
      <c r="F265" s="7">
        <f>IF($A265="","",E265*M265/100)</f>
        <v/>
      </c>
      <c r="I265" s="7" t="n"/>
      <c r="J265" s="7" t="n"/>
      <c r="L265" s="7" t="n"/>
      <c r="M265" s="7" t="n"/>
      <c r="N265" s="7" t="n"/>
      <c r="O265" s="7" t="n"/>
      <c r="R265" s="11" t="n"/>
      <c r="U265">
        <f>IF($A265="","",IF($AA265=1,Settings!$C$6,Settings!$C$7)*100)</f>
        <v/>
      </c>
      <c r="V265" s="7">
        <f>IF($A265="","",M265*U265/100)</f>
        <v/>
      </c>
      <c r="W265" s="7">
        <f>IF($A265="","",M265-V265)</f>
        <v/>
      </c>
      <c r="X265" s="7">
        <f>IF($A265="","",W265-F265)</f>
        <v/>
      </c>
      <c r="Y265">
        <f>IF($A265="","",IF(COUNTIF($A$2:$A265,$A265)=1,1,0))</f>
        <v/>
      </c>
      <c r="Z265">
        <f>IF($Y265=1,SUMPRODUCT(--($AB$2:$AB$501&lt;$AB265))+1,"")</f>
        <v/>
      </c>
      <c r="AA265">
        <f>IF($A265="","",IF(OR($T265=TRUE(),$T265="TRUE"),1,0))</f>
        <v/>
      </c>
      <c r="AB265">
        <f>IF($Y265=1,IFERROR(VALUE(MID($A265,2,20)),1000000000)+ROW()/100000,"")</f>
        <v/>
      </c>
    </row>
    <row r="266">
      <c r="F266" s="7">
        <f>IF($A266="","",E266*M266/100)</f>
        <v/>
      </c>
      <c r="I266" s="7" t="n"/>
      <c r="J266" s="7" t="n"/>
      <c r="L266" s="7" t="n"/>
      <c r="M266" s="7" t="n"/>
      <c r="N266" s="7" t="n"/>
      <c r="O266" s="7" t="n"/>
      <c r="R266" s="11" t="n"/>
      <c r="U266">
        <f>IF($A266="","",IF($AA266=1,Settings!$C$6,Settings!$C$7)*100)</f>
        <v/>
      </c>
      <c r="V266" s="7">
        <f>IF($A266="","",M266*U266/100)</f>
        <v/>
      </c>
      <c r="W266" s="7">
        <f>IF($A266="","",M266-V266)</f>
        <v/>
      </c>
      <c r="X266" s="7">
        <f>IF($A266="","",W266-F266)</f>
        <v/>
      </c>
      <c r="Y266">
        <f>IF($A266="","",IF(COUNTIF($A$2:$A266,$A266)=1,1,0))</f>
        <v/>
      </c>
      <c r="Z266">
        <f>IF($Y266=1,SUMPRODUCT(--($AB$2:$AB$501&lt;$AB266))+1,"")</f>
        <v/>
      </c>
      <c r="AA266">
        <f>IF($A266="","",IF(OR($T266=TRUE(),$T266="TRUE"),1,0))</f>
        <v/>
      </c>
      <c r="AB266">
        <f>IF($Y266=1,IFERROR(VALUE(MID($A266,2,20)),1000000000)+ROW()/100000,"")</f>
        <v/>
      </c>
    </row>
    <row r="267">
      <c r="F267" s="7">
        <f>IF($A267="","",E267*M267/100)</f>
        <v/>
      </c>
      <c r="I267" s="7" t="n"/>
      <c r="J267" s="7" t="n"/>
      <c r="L267" s="7" t="n"/>
      <c r="M267" s="7" t="n"/>
      <c r="N267" s="7" t="n"/>
      <c r="O267" s="7" t="n"/>
      <c r="R267" s="11" t="n"/>
      <c r="U267">
        <f>IF($A267="","",IF($AA267=1,Settings!$C$6,Settings!$C$7)*100)</f>
        <v/>
      </c>
      <c r="V267" s="7">
        <f>IF($A267="","",M267*U267/100)</f>
        <v/>
      </c>
      <c r="W267" s="7">
        <f>IF($A267="","",M267-V267)</f>
        <v/>
      </c>
      <c r="X267" s="7">
        <f>IF($A267="","",W267-F267)</f>
        <v/>
      </c>
      <c r="Y267">
        <f>IF($A267="","",IF(COUNTIF($A$2:$A267,$A267)=1,1,0))</f>
        <v/>
      </c>
      <c r="Z267">
        <f>IF($Y267=1,SUMPRODUCT(--($AB$2:$AB$501&lt;$AB267))+1,"")</f>
        <v/>
      </c>
      <c r="AA267">
        <f>IF($A267="","",IF(OR($T267=TRUE(),$T267="TRUE"),1,0))</f>
        <v/>
      </c>
      <c r="AB267">
        <f>IF($Y267=1,IFERROR(VALUE(MID($A267,2,20)),1000000000)+ROW()/100000,"")</f>
        <v/>
      </c>
    </row>
    <row r="268">
      <c r="F268" s="7">
        <f>IF($A268="","",E268*M268/100)</f>
        <v/>
      </c>
      <c r="I268" s="7" t="n"/>
      <c r="J268" s="7" t="n"/>
      <c r="L268" s="7" t="n"/>
      <c r="M268" s="7" t="n"/>
      <c r="N268" s="7" t="n"/>
      <c r="O268" s="7" t="n"/>
      <c r="R268" s="11" t="n"/>
      <c r="U268">
        <f>IF($A268="","",IF($AA268=1,Settings!$C$6,Settings!$C$7)*100)</f>
        <v/>
      </c>
      <c r="V268" s="7">
        <f>IF($A268="","",M268*U268/100)</f>
        <v/>
      </c>
      <c r="W268" s="7">
        <f>IF($A268="","",M268-V268)</f>
        <v/>
      </c>
      <c r="X268" s="7">
        <f>IF($A268="","",W268-F268)</f>
        <v/>
      </c>
      <c r="Y268">
        <f>IF($A268="","",IF(COUNTIF($A$2:$A268,$A268)=1,1,0))</f>
        <v/>
      </c>
      <c r="Z268">
        <f>IF($Y268=1,SUMPRODUCT(--($AB$2:$AB$501&lt;$AB268))+1,"")</f>
        <v/>
      </c>
      <c r="AA268">
        <f>IF($A268="","",IF(OR($T268=TRUE(),$T268="TRUE"),1,0))</f>
        <v/>
      </c>
      <c r="AB268">
        <f>IF($Y268=1,IFERROR(VALUE(MID($A268,2,20)),1000000000)+ROW()/100000,"")</f>
        <v/>
      </c>
    </row>
    <row r="269">
      <c r="F269" s="7">
        <f>IF($A269="","",E269*M269/100)</f>
        <v/>
      </c>
      <c r="I269" s="7" t="n"/>
      <c r="J269" s="7" t="n"/>
      <c r="L269" s="7" t="n"/>
      <c r="M269" s="7" t="n"/>
      <c r="N269" s="7" t="n"/>
      <c r="O269" s="7" t="n"/>
      <c r="R269" s="11" t="n"/>
      <c r="U269">
        <f>IF($A269="","",IF($AA269=1,Settings!$C$6,Settings!$C$7)*100)</f>
        <v/>
      </c>
      <c r="V269" s="7">
        <f>IF($A269="","",M269*U269/100)</f>
        <v/>
      </c>
      <c r="W269" s="7">
        <f>IF($A269="","",M269-V269)</f>
        <v/>
      </c>
      <c r="X269" s="7">
        <f>IF($A269="","",W269-F269)</f>
        <v/>
      </c>
      <c r="Y269">
        <f>IF($A269="","",IF(COUNTIF($A$2:$A269,$A269)=1,1,0))</f>
        <v/>
      </c>
      <c r="Z269">
        <f>IF($Y269=1,SUMPRODUCT(--($AB$2:$AB$501&lt;$AB269))+1,"")</f>
        <v/>
      </c>
      <c r="AA269">
        <f>IF($A269="","",IF(OR($T269=TRUE(),$T269="TRUE"),1,0))</f>
        <v/>
      </c>
      <c r="AB269">
        <f>IF($Y269=1,IFERROR(VALUE(MID($A269,2,20)),1000000000)+ROW()/100000,"")</f>
        <v/>
      </c>
    </row>
    <row r="270">
      <c r="F270" s="7">
        <f>IF($A270="","",E270*M270/100)</f>
        <v/>
      </c>
      <c r="I270" s="7" t="n"/>
      <c r="J270" s="7" t="n"/>
      <c r="L270" s="7" t="n"/>
      <c r="M270" s="7" t="n"/>
      <c r="N270" s="7" t="n"/>
      <c r="O270" s="7" t="n"/>
      <c r="R270" s="11" t="n"/>
      <c r="U270">
        <f>IF($A270="","",IF($AA270=1,Settings!$C$6,Settings!$C$7)*100)</f>
        <v/>
      </c>
      <c r="V270" s="7">
        <f>IF($A270="","",M270*U270/100)</f>
        <v/>
      </c>
      <c r="W270" s="7">
        <f>IF($A270="","",M270-V270)</f>
        <v/>
      </c>
      <c r="X270" s="7">
        <f>IF($A270="","",W270-F270)</f>
        <v/>
      </c>
      <c r="Y270">
        <f>IF($A270="","",IF(COUNTIF($A$2:$A270,$A270)=1,1,0))</f>
        <v/>
      </c>
      <c r="Z270">
        <f>IF($Y270=1,SUMPRODUCT(--($AB$2:$AB$501&lt;$AB270))+1,"")</f>
        <v/>
      </c>
      <c r="AA270">
        <f>IF($A270="","",IF(OR($T270=TRUE(),$T270="TRUE"),1,0))</f>
        <v/>
      </c>
      <c r="AB270">
        <f>IF($Y270=1,IFERROR(VALUE(MID($A270,2,20)),1000000000)+ROW()/100000,"")</f>
        <v/>
      </c>
    </row>
    <row r="271">
      <c r="F271" s="7">
        <f>IF($A271="","",E271*M271/100)</f>
        <v/>
      </c>
      <c r="I271" s="7" t="n"/>
      <c r="J271" s="7" t="n"/>
      <c r="L271" s="7" t="n"/>
      <c r="M271" s="7" t="n"/>
      <c r="N271" s="7" t="n"/>
      <c r="O271" s="7" t="n"/>
      <c r="R271" s="11" t="n"/>
      <c r="U271">
        <f>IF($A271="","",IF($AA271=1,Settings!$C$6,Settings!$C$7)*100)</f>
        <v/>
      </c>
      <c r="V271" s="7">
        <f>IF($A271="","",M271*U271/100)</f>
        <v/>
      </c>
      <c r="W271" s="7">
        <f>IF($A271="","",M271-V271)</f>
        <v/>
      </c>
      <c r="X271" s="7">
        <f>IF($A271="","",W271-F271)</f>
        <v/>
      </c>
      <c r="Y271">
        <f>IF($A271="","",IF(COUNTIF($A$2:$A271,$A271)=1,1,0))</f>
        <v/>
      </c>
      <c r="Z271">
        <f>IF($Y271=1,SUMPRODUCT(--($AB$2:$AB$501&lt;$AB271))+1,"")</f>
        <v/>
      </c>
      <c r="AA271">
        <f>IF($A271="","",IF(OR($T271=TRUE(),$T271="TRUE"),1,0))</f>
        <v/>
      </c>
      <c r="AB271">
        <f>IF($Y271=1,IFERROR(VALUE(MID($A271,2,20)),1000000000)+ROW()/100000,"")</f>
        <v/>
      </c>
    </row>
    <row r="272">
      <c r="F272" s="7">
        <f>IF($A272="","",E272*M272/100)</f>
        <v/>
      </c>
      <c r="I272" s="7" t="n"/>
      <c r="J272" s="7" t="n"/>
      <c r="L272" s="7" t="n"/>
      <c r="M272" s="7" t="n"/>
      <c r="N272" s="7" t="n"/>
      <c r="O272" s="7" t="n"/>
      <c r="R272" s="11" t="n"/>
      <c r="U272">
        <f>IF($A272="","",IF($AA272=1,Settings!$C$6,Settings!$C$7)*100)</f>
        <v/>
      </c>
      <c r="V272" s="7">
        <f>IF($A272="","",M272*U272/100)</f>
        <v/>
      </c>
      <c r="W272" s="7">
        <f>IF($A272="","",M272-V272)</f>
        <v/>
      </c>
      <c r="X272" s="7">
        <f>IF($A272="","",W272-F272)</f>
        <v/>
      </c>
      <c r="Y272">
        <f>IF($A272="","",IF(COUNTIF($A$2:$A272,$A272)=1,1,0))</f>
        <v/>
      </c>
      <c r="Z272">
        <f>IF($Y272=1,SUMPRODUCT(--($AB$2:$AB$501&lt;$AB272))+1,"")</f>
        <v/>
      </c>
      <c r="AA272">
        <f>IF($A272="","",IF(OR($T272=TRUE(),$T272="TRUE"),1,0))</f>
        <v/>
      </c>
      <c r="AB272">
        <f>IF($Y272=1,IFERROR(VALUE(MID($A272,2,20)),1000000000)+ROW()/100000,"")</f>
        <v/>
      </c>
    </row>
    <row r="273">
      <c r="F273" s="7">
        <f>IF($A273="","",E273*M273/100)</f>
        <v/>
      </c>
      <c r="I273" s="7" t="n"/>
      <c r="J273" s="7" t="n"/>
      <c r="L273" s="7" t="n"/>
      <c r="M273" s="7" t="n"/>
      <c r="N273" s="7" t="n"/>
      <c r="O273" s="7" t="n"/>
      <c r="R273" s="11" t="n"/>
      <c r="U273">
        <f>IF($A273="","",IF($AA273=1,Settings!$C$6,Settings!$C$7)*100)</f>
        <v/>
      </c>
      <c r="V273" s="7">
        <f>IF($A273="","",M273*U273/100)</f>
        <v/>
      </c>
      <c r="W273" s="7">
        <f>IF($A273="","",M273-V273)</f>
        <v/>
      </c>
      <c r="X273" s="7">
        <f>IF($A273="","",W273-F273)</f>
        <v/>
      </c>
      <c r="Y273">
        <f>IF($A273="","",IF(COUNTIF($A$2:$A273,$A273)=1,1,0))</f>
        <v/>
      </c>
      <c r="Z273">
        <f>IF($Y273=1,SUMPRODUCT(--($AB$2:$AB$501&lt;$AB273))+1,"")</f>
        <v/>
      </c>
      <c r="AA273">
        <f>IF($A273="","",IF(OR($T273=TRUE(),$T273="TRUE"),1,0))</f>
        <v/>
      </c>
      <c r="AB273">
        <f>IF($Y273=1,IFERROR(VALUE(MID($A273,2,20)),1000000000)+ROW()/100000,"")</f>
        <v/>
      </c>
    </row>
    <row r="274">
      <c r="F274" s="7">
        <f>IF($A274="","",E274*M274/100)</f>
        <v/>
      </c>
      <c r="I274" s="7" t="n"/>
      <c r="J274" s="7" t="n"/>
      <c r="L274" s="7" t="n"/>
      <c r="M274" s="7" t="n"/>
      <c r="N274" s="7" t="n"/>
      <c r="O274" s="7" t="n"/>
      <c r="R274" s="11" t="n"/>
      <c r="U274">
        <f>IF($A274="","",IF($AA274=1,Settings!$C$6,Settings!$C$7)*100)</f>
        <v/>
      </c>
      <c r="V274" s="7">
        <f>IF($A274="","",M274*U274/100)</f>
        <v/>
      </c>
      <c r="W274" s="7">
        <f>IF($A274="","",M274-V274)</f>
        <v/>
      </c>
      <c r="X274" s="7">
        <f>IF($A274="","",W274-F274)</f>
        <v/>
      </c>
      <c r="Y274">
        <f>IF($A274="","",IF(COUNTIF($A$2:$A274,$A274)=1,1,0))</f>
        <v/>
      </c>
      <c r="Z274">
        <f>IF($Y274=1,SUMPRODUCT(--($AB$2:$AB$501&lt;$AB274))+1,"")</f>
        <v/>
      </c>
      <c r="AA274">
        <f>IF($A274="","",IF(OR($T274=TRUE(),$T274="TRUE"),1,0))</f>
        <v/>
      </c>
      <c r="AB274">
        <f>IF($Y274=1,IFERROR(VALUE(MID($A274,2,20)),1000000000)+ROW()/100000,"")</f>
        <v/>
      </c>
    </row>
    <row r="275">
      <c r="F275" s="7">
        <f>IF($A275="","",E275*M275/100)</f>
        <v/>
      </c>
      <c r="I275" s="7" t="n"/>
      <c r="J275" s="7" t="n"/>
      <c r="L275" s="7" t="n"/>
      <c r="M275" s="7" t="n"/>
      <c r="N275" s="7" t="n"/>
      <c r="O275" s="7" t="n"/>
      <c r="R275" s="11" t="n"/>
      <c r="U275">
        <f>IF($A275="","",IF($AA275=1,Settings!$C$6,Settings!$C$7)*100)</f>
        <v/>
      </c>
      <c r="V275" s="7">
        <f>IF($A275="","",M275*U275/100)</f>
        <v/>
      </c>
      <c r="W275" s="7">
        <f>IF($A275="","",M275-V275)</f>
        <v/>
      </c>
      <c r="X275" s="7">
        <f>IF($A275="","",W275-F275)</f>
        <v/>
      </c>
      <c r="Y275">
        <f>IF($A275="","",IF(COUNTIF($A$2:$A275,$A275)=1,1,0))</f>
        <v/>
      </c>
      <c r="Z275">
        <f>IF($Y275=1,SUMPRODUCT(--($AB$2:$AB$501&lt;$AB275))+1,"")</f>
        <v/>
      </c>
      <c r="AA275">
        <f>IF($A275="","",IF(OR($T275=TRUE(),$T275="TRUE"),1,0))</f>
        <v/>
      </c>
      <c r="AB275">
        <f>IF($Y275=1,IFERROR(VALUE(MID($A275,2,20)),1000000000)+ROW()/100000,"")</f>
        <v/>
      </c>
    </row>
    <row r="276">
      <c r="F276" s="7">
        <f>IF($A276="","",E276*M276/100)</f>
        <v/>
      </c>
      <c r="I276" s="7" t="n"/>
      <c r="J276" s="7" t="n"/>
      <c r="L276" s="7" t="n"/>
      <c r="M276" s="7" t="n"/>
      <c r="N276" s="7" t="n"/>
      <c r="O276" s="7" t="n"/>
      <c r="R276" s="11" t="n"/>
      <c r="U276">
        <f>IF($A276="","",IF($AA276=1,Settings!$C$6,Settings!$C$7)*100)</f>
        <v/>
      </c>
      <c r="V276" s="7">
        <f>IF($A276="","",M276*U276/100)</f>
        <v/>
      </c>
      <c r="W276" s="7">
        <f>IF($A276="","",M276-V276)</f>
        <v/>
      </c>
      <c r="X276" s="7">
        <f>IF($A276="","",W276-F276)</f>
        <v/>
      </c>
      <c r="Y276">
        <f>IF($A276="","",IF(COUNTIF($A$2:$A276,$A276)=1,1,0))</f>
        <v/>
      </c>
      <c r="Z276">
        <f>IF($Y276=1,SUMPRODUCT(--($AB$2:$AB$501&lt;$AB276))+1,"")</f>
        <v/>
      </c>
      <c r="AA276">
        <f>IF($A276="","",IF(OR($T276=TRUE(),$T276="TRUE"),1,0))</f>
        <v/>
      </c>
      <c r="AB276">
        <f>IF($Y276=1,IFERROR(VALUE(MID($A276,2,20)),1000000000)+ROW()/100000,"")</f>
        <v/>
      </c>
    </row>
    <row r="277">
      <c r="F277" s="7">
        <f>IF($A277="","",E277*M277/100)</f>
        <v/>
      </c>
      <c r="I277" s="7" t="n"/>
      <c r="J277" s="7" t="n"/>
      <c r="L277" s="7" t="n"/>
      <c r="M277" s="7" t="n"/>
      <c r="N277" s="7" t="n"/>
      <c r="O277" s="7" t="n"/>
      <c r="R277" s="11" t="n"/>
      <c r="U277">
        <f>IF($A277="","",IF($AA277=1,Settings!$C$6,Settings!$C$7)*100)</f>
        <v/>
      </c>
      <c r="V277" s="7">
        <f>IF($A277="","",M277*U277/100)</f>
        <v/>
      </c>
      <c r="W277" s="7">
        <f>IF($A277="","",M277-V277)</f>
        <v/>
      </c>
      <c r="X277" s="7">
        <f>IF($A277="","",W277-F277)</f>
        <v/>
      </c>
      <c r="Y277">
        <f>IF($A277="","",IF(COUNTIF($A$2:$A277,$A277)=1,1,0))</f>
        <v/>
      </c>
      <c r="Z277">
        <f>IF($Y277=1,SUMPRODUCT(--($AB$2:$AB$501&lt;$AB277))+1,"")</f>
        <v/>
      </c>
      <c r="AA277">
        <f>IF($A277="","",IF(OR($T277=TRUE(),$T277="TRUE"),1,0))</f>
        <v/>
      </c>
      <c r="AB277">
        <f>IF($Y277=1,IFERROR(VALUE(MID($A277,2,20)),1000000000)+ROW()/100000,"")</f>
        <v/>
      </c>
    </row>
    <row r="278">
      <c r="F278" s="7">
        <f>IF($A278="","",E278*M278/100)</f>
        <v/>
      </c>
      <c r="I278" s="7" t="n"/>
      <c r="J278" s="7" t="n"/>
      <c r="L278" s="7" t="n"/>
      <c r="M278" s="7" t="n"/>
      <c r="N278" s="7" t="n"/>
      <c r="O278" s="7" t="n"/>
      <c r="R278" s="11" t="n"/>
      <c r="U278">
        <f>IF($A278="","",IF($AA278=1,Settings!$C$6,Settings!$C$7)*100)</f>
        <v/>
      </c>
      <c r="V278" s="7">
        <f>IF($A278="","",M278*U278/100)</f>
        <v/>
      </c>
      <c r="W278" s="7">
        <f>IF($A278="","",M278-V278)</f>
        <v/>
      </c>
      <c r="X278" s="7">
        <f>IF($A278="","",W278-F278)</f>
        <v/>
      </c>
      <c r="Y278">
        <f>IF($A278="","",IF(COUNTIF($A$2:$A278,$A278)=1,1,0))</f>
        <v/>
      </c>
      <c r="Z278">
        <f>IF($Y278=1,SUMPRODUCT(--($AB$2:$AB$501&lt;$AB278))+1,"")</f>
        <v/>
      </c>
      <c r="AA278">
        <f>IF($A278="","",IF(OR($T278=TRUE(),$T278="TRUE"),1,0))</f>
        <v/>
      </c>
      <c r="AB278">
        <f>IF($Y278=1,IFERROR(VALUE(MID($A278,2,20)),1000000000)+ROW()/100000,"")</f>
        <v/>
      </c>
    </row>
    <row r="279">
      <c r="F279" s="7">
        <f>IF($A279="","",E279*M279/100)</f>
        <v/>
      </c>
      <c r="I279" s="7" t="n"/>
      <c r="J279" s="7" t="n"/>
      <c r="L279" s="7" t="n"/>
      <c r="M279" s="7" t="n"/>
      <c r="N279" s="7" t="n"/>
      <c r="O279" s="7" t="n"/>
      <c r="R279" s="11" t="n"/>
      <c r="U279">
        <f>IF($A279="","",IF($AA279=1,Settings!$C$6,Settings!$C$7)*100)</f>
        <v/>
      </c>
      <c r="V279" s="7">
        <f>IF($A279="","",M279*U279/100)</f>
        <v/>
      </c>
      <c r="W279" s="7">
        <f>IF($A279="","",M279-V279)</f>
        <v/>
      </c>
      <c r="X279" s="7">
        <f>IF($A279="","",W279-F279)</f>
        <v/>
      </c>
      <c r="Y279">
        <f>IF($A279="","",IF(COUNTIF($A$2:$A279,$A279)=1,1,0))</f>
        <v/>
      </c>
      <c r="Z279">
        <f>IF($Y279=1,SUMPRODUCT(--($AB$2:$AB$501&lt;$AB279))+1,"")</f>
        <v/>
      </c>
      <c r="AA279">
        <f>IF($A279="","",IF(OR($T279=TRUE(),$T279="TRUE"),1,0))</f>
        <v/>
      </c>
      <c r="AB279">
        <f>IF($Y279=1,IFERROR(VALUE(MID($A279,2,20)),1000000000)+ROW()/100000,"")</f>
        <v/>
      </c>
    </row>
    <row r="280">
      <c r="F280" s="7">
        <f>IF($A280="","",E280*M280/100)</f>
        <v/>
      </c>
      <c r="I280" s="7" t="n"/>
      <c r="J280" s="7" t="n"/>
      <c r="L280" s="7" t="n"/>
      <c r="M280" s="7" t="n"/>
      <c r="N280" s="7" t="n"/>
      <c r="O280" s="7" t="n"/>
      <c r="R280" s="11" t="n"/>
      <c r="U280">
        <f>IF($A280="","",IF($AA280=1,Settings!$C$6,Settings!$C$7)*100)</f>
        <v/>
      </c>
      <c r="V280" s="7">
        <f>IF($A280="","",M280*U280/100)</f>
        <v/>
      </c>
      <c r="W280" s="7">
        <f>IF($A280="","",M280-V280)</f>
        <v/>
      </c>
      <c r="X280" s="7">
        <f>IF($A280="","",W280-F280)</f>
        <v/>
      </c>
      <c r="Y280">
        <f>IF($A280="","",IF(COUNTIF($A$2:$A280,$A280)=1,1,0))</f>
        <v/>
      </c>
      <c r="Z280">
        <f>IF($Y280=1,SUMPRODUCT(--($AB$2:$AB$501&lt;$AB280))+1,"")</f>
        <v/>
      </c>
      <c r="AA280">
        <f>IF($A280="","",IF(OR($T280=TRUE(),$T280="TRUE"),1,0))</f>
        <v/>
      </c>
      <c r="AB280">
        <f>IF($Y280=1,IFERROR(VALUE(MID($A280,2,20)),1000000000)+ROW()/100000,"")</f>
        <v/>
      </c>
    </row>
    <row r="281">
      <c r="F281" s="7">
        <f>IF($A281="","",E281*M281/100)</f>
        <v/>
      </c>
      <c r="I281" s="7" t="n"/>
      <c r="J281" s="7" t="n"/>
      <c r="L281" s="7" t="n"/>
      <c r="M281" s="7" t="n"/>
      <c r="N281" s="7" t="n"/>
      <c r="O281" s="7" t="n"/>
      <c r="R281" s="11" t="n"/>
      <c r="U281">
        <f>IF($A281="","",IF($AA281=1,Settings!$C$6,Settings!$C$7)*100)</f>
        <v/>
      </c>
      <c r="V281" s="7">
        <f>IF($A281="","",M281*U281/100)</f>
        <v/>
      </c>
      <c r="W281" s="7">
        <f>IF($A281="","",M281-V281)</f>
        <v/>
      </c>
      <c r="X281" s="7">
        <f>IF($A281="","",W281-F281)</f>
        <v/>
      </c>
      <c r="Y281">
        <f>IF($A281="","",IF(COUNTIF($A$2:$A281,$A281)=1,1,0))</f>
        <v/>
      </c>
      <c r="Z281">
        <f>IF($Y281=1,SUMPRODUCT(--($AB$2:$AB$501&lt;$AB281))+1,"")</f>
        <v/>
      </c>
      <c r="AA281">
        <f>IF($A281="","",IF(OR($T281=TRUE(),$T281="TRUE"),1,0))</f>
        <v/>
      </c>
      <c r="AB281">
        <f>IF($Y281=1,IFERROR(VALUE(MID($A281,2,20)),1000000000)+ROW()/100000,"")</f>
        <v/>
      </c>
    </row>
    <row r="282">
      <c r="F282" s="7">
        <f>IF($A282="","",E282*M282/100)</f>
        <v/>
      </c>
      <c r="I282" s="7" t="n"/>
      <c r="J282" s="7" t="n"/>
      <c r="L282" s="7" t="n"/>
      <c r="M282" s="7" t="n"/>
      <c r="N282" s="7" t="n"/>
      <c r="O282" s="7" t="n"/>
      <c r="R282" s="11" t="n"/>
      <c r="U282">
        <f>IF($A282="","",IF($AA282=1,Settings!$C$6,Settings!$C$7)*100)</f>
        <v/>
      </c>
      <c r="V282" s="7">
        <f>IF($A282="","",M282*U282/100)</f>
        <v/>
      </c>
      <c r="W282" s="7">
        <f>IF($A282="","",M282-V282)</f>
        <v/>
      </c>
      <c r="X282" s="7">
        <f>IF($A282="","",W282-F282)</f>
        <v/>
      </c>
      <c r="Y282">
        <f>IF($A282="","",IF(COUNTIF($A$2:$A282,$A282)=1,1,0))</f>
        <v/>
      </c>
      <c r="Z282">
        <f>IF($Y282=1,SUMPRODUCT(--($AB$2:$AB$501&lt;$AB282))+1,"")</f>
        <v/>
      </c>
      <c r="AA282">
        <f>IF($A282="","",IF(OR($T282=TRUE(),$T282="TRUE"),1,0))</f>
        <v/>
      </c>
      <c r="AB282">
        <f>IF($Y282=1,IFERROR(VALUE(MID($A282,2,20)),1000000000)+ROW()/100000,"")</f>
        <v/>
      </c>
    </row>
    <row r="283">
      <c r="F283" s="7">
        <f>IF($A283="","",E283*M283/100)</f>
        <v/>
      </c>
      <c r="I283" s="7" t="n"/>
      <c r="J283" s="7" t="n"/>
      <c r="L283" s="7" t="n"/>
      <c r="M283" s="7" t="n"/>
      <c r="N283" s="7" t="n"/>
      <c r="O283" s="7" t="n"/>
      <c r="R283" s="11" t="n"/>
      <c r="U283">
        <f>IF($A283="","",IF($AA283=1,Settings!$C$6,Settings!$C$7)*100)</f>
        <v/>
      </c>
      <c r="V283" s="7">
        <f>IF($A283="","",M283*U283/100)</f>
        <v/>
      </c>
      <c r="W283" s="7">
        <f>IF($A283="","",M283-V283)</f>
        <v/>
      </c>
      <c r="X283" s="7">
        <f>IF($A283="","",W283-F283)</f>
        <v/>
      </c>
      <c r="Y283">
        <f>IF($A283="","",IF(COUNTIF($A$2:$A283,$A283)=1,1,0))</f>
        <v/>
      </c>
      <c r="Z283">
        <f>IF($Y283=1,SUMPRODUCT(--($AB$2:$AB$501&lt;$AB283))+1,"")</f>
        <v/>
      </c>
      <c r="AA283">
        <f>IF($A283="","",IF(OR($T283=TRUE(),$T283="TRUE"),1,0))</f>
        <v/>
      </c>
      <c r="AB283">
        <f>IF($Y283=1,IFERROR(VALUE(MID($A283,2,20)),1000000000)+ROW()/100000,"")</f>
        <v/>
      </c>
    </row>
    <row r="284">
      <c r="F284" s="7">
        <f>IF($A284="","",E284*M284/100)</f>
        <v/>
      </c>
      <c r="I284" s="7" t="n"/>
      <c r="J284" s="7" t="n"/>
      <c r="L284" s="7" t="n"/>
      <c r="M284" s="7" t="n"/>
      <c r="N284" s="7" t="n"/>
      <c r="O284" s="7" t="n"/>
      <c r="R284" s="11" t="n"/>
      <c r="U284">
        <f>IF($A284="","",IF($AA284=1,Settings!$C$6,Settings!$C$7)*100)</f>
        <v/>
      </c>
      <c r="V284" s="7">
        <f>IF($A284="","",M284*U284/100)</f>
        <v/>
      </c>
      <c r="W284" s="7">
        <f>IF($A284="","",M284-V284)</f>
        <v/>
      </c>
      <c r="X284" s="7">
        <f>IF($A284="","",W284-F284)</f>
        <v/>
      </c>
      <c r="Y284">
        <f>IF($A284="","",IF(COUNTIF($A$2:$A284,$A284)=1,1,0))</f>
        <v/>
      </c>
      <c r="Z284">
        <f>IF($Y284=1,SUMPRODUCT(--($AB$2:$AB$501&lt;$AB284))+1,"")</f>
        <v/>
      </c>
      <c r="AA284">
        <f>IF($A284="","",IF(OR($T284=TRUE(),$T284="TRUE"),1,0))</f>
        <v/>
      </c>
      <c r="AB284">
        <f>IF($Y284=1,IFERROR(VALUE(MID($A284,2,20)),1000000000)+ROW()/100000,"")</f>
        <v/>
      </c>
    </row>
    <row r="285">
      <c r="F285" s="7">
        <f>IF($A285="","",E285*M285/100)</f>
        <v/>
      </c>
      <c r="I285" s="7" t="n"/>
      <c r="J285" s="7" t="n"/>
      <c r="L285" s="7" t="n"/>
      <c r="M285" s="7" t="n"/>
      <c r="N285" s="7" t="n"/>
      <c r="O285" s="7" t="n"/>
      <c r="R285" s="11" t="n"/>
      <c r="U285">
        <f>IF($A285="","",IF($AA285=1,Settings!$C$6,Settings!$C$7)*100)</f>
        <v/>
      </c>
      <c r="V285" s="7">
        <f>IF($A285="","",M285*U285/100)</f>
        <v/>
      </c>
      <c r="W285" s="7">
        <f>IF($A285="","",M285-V285)</f>
        <v/>
      </c>
      <c r="X285" s="7">
        <f>IF($A285="","",W285-F285)</f>
        <v/>
      </c>
      <c r="Y285">
        <f>IF($A285="","",IF(COUNTIF($A$2:$A285,$A285)=1,1,0))</f>
        <v/>
      </c>
      <c r="Z285">
        <f>IF($Y285=1,SUMPRODUCT(--($AB$2:$AB$501&lt;$AB285))+1,"")</f>
        <v/>
      </c>
      <c r="AA285">
        <f>IF($A285="","",IF(OR($T285=TRUE(),$T285="TRUE"),1,0))</f>
        <v/>
      </c>
      <c r="AB285">
        <f>IF($Y285=1,IFERROR(VALUE(MID($A285,2,20)),1000000000)+ROW()/100000,"")</f>
        <v/>
      </c>
    </row>
    <row r="286">
      <c r="F286" s="7">
        <f>IF($A286="","",E286*M286/100)</f>
        <v/>
      </c>
      <c r="I286" s="7" t="n"/>
      <c r="J286" s="7" t="n"/>
      <c r="L286" s="7" t="n"/>
      <c r="M286" s="7" t="n"/>
      <c r="N286" s="7" t="n"/>
      <c r="O286" s="7" t="n"/>
      <c r="R286" s="11" t="n"/>
      <c r="U286">
        <f>IF($A286="","",IF($AA286=1,Settings!$C$6,Settings!$C$7)*100)</f>
        <v/>
      </c>
      <c r="V286" s="7">
        <f>IF($A286="","",M286*U286/100)</f>
        <v/>
      </c>
      <c r="W286" s="7">
        <f>IF($A286="","",M286-V286)</f>
        <v/>
      </c>
      <c r="X286" s="7">
        <f>IF($A286="","",W286-F286)</f>
        <v/>
      </c>
      <c r="Y286">
        <f>IF($A286="","",IF(COUNTIF($A$2:$A286,$A286)=1,1,0))</f>
        <v/>
      </c>
      <c r="Z286">
        <f>IF($Y286=1,SUMPRODUCT(--($AB$2:$AB$501&lt;$AB286))+1,"")</f>
        <v/>
      </c>
      <c r="AA286">
        <f>IF($A286="","",IF(OR($T286=TRUE(),$T286="TRUE"),1,0))</f>
        <v/>
      </c>
      <c r="AB286">
        <f>IF($Y286=1,IFERROR(VALUE(MID($A286,2,20)),1000000000)+ROW()/100000,"")</f>
        <v/>
      </c>
    </row>
    <row r="287">
      <c r="F287" s="7">
        <f>IF($A287="","",E287*M287/100)</f>
        <v/>
      </c>
      <c r="I287" s="7" t="n"/>
      <c r="J287" s="7" t="n"/>
      <c r="L287" s="7" t="n"/>
      <c r="M287" s="7" t="n"/>
      <c r="N287" s="7" t="n"/>
      <c r="O287" s="7" t="n"/>
      <c r="R287" s="11" t="n"/>
      <c r="U287">
        <f>IF($A287="","",IF($AA287=1,Settings!$C$6,Settings!$C$7)*100)</f>
        <v/>
      </c>
      <c r="V287" s="7">
        <f>IF($A287="","",M287*U287/100)</f>
        <v/>
      </c>
      <c r="W287" s="7">
        <f>IF($A287="","",M287-V287)</f>
        <v/>
      </c>
      <c r="X287" s="7">
        <f>IF($A287="","",W287-F287)</f>
        <v/>
      </c>
      <c r="Y287">
        <f>IF($A287="","",IF(COUNTIF($A$2:$A287,$A287)=1,1,0))</f>
        <v/>
      </c>
      <c r="Z287">
        <f>IF($Y287=1,SUMPRODUCT(--($AB$2:$AB$501&lt;$AB287))+1,"")</f>
        <v/>
      </c>
      <c r="AA287">
        <f>IF($A287="","",IF(OR($T287=TRUE(),$T287="TRUE"),1,0))</f>
        <v/>
      </c>
      <c r="AB287">
        <f>IF($Y287=1,IFERROR(VALUE(MID($A287,2,20)),1000000000)+ROW()/100000,"")</f>
        <v/>
      </c>
    </row>
    <row r="288">
      <c r="F288" s="7">
        <f>IF($A288="","",E288*M288/100)</f>
        <v/>
      </c>
      <c r="I288" s="7" t="n"/>
      <c r="J288" s="7" t="n"/>
      <c r="L288" s="7" t="n"/>
      <c r="M288" s="7" t="n"/>
      <c r="N288" s="7" t="n"/>
      <c r="O288" s="7" t="n"/>
      <c r="R288" s="11" t="n"/>
      <c r="U288">
        <f>IF($A288="","",IF($AA288=1,Settings!$C$6,Settings!$C$7)*100)</f>
        <v/>
      </c>
      <c r="V288" s="7">
        <f>IF($A288="","",M288*U288/100)</f>
        <v/>
      </c>
      <c r="W288" s="7">
        <f>IF($A288="","",M288-V288)</f>
        <v/>
      </c>
      <c r="X288" s="7">
        <f>IF($A288="","",W288-F288)</f>
        <v/>
      </c>
      <c r="Y288">
        <f>IF($A288="","",IF(COUNTIF($A$2:$A288,$A288)=1,1,0))</f>
        <v/>
      </c>
      <c r="Z288">
        <f>IF($Y288=1,SUMPRODUCT(--($AB$2:$AB$501&lt;$AB288))+1,"")</f>
        <v/>
      </c>
      <c r="AA288">
        <f>IF($A288="","",IF(OR($T288=TRUE(),$T288="TRUE"),1,0))</f>
        <v/>
      </c>
      <c r="AB288">
        <f>IF($Y288=1,IFERROR(VALUE(MID($A288,2,20)),1000000000)+ROW()/100000,"")</f>
        <v/>
      </c>
    </row>
    <row r="289">
      <c r="F289" s="7">
        <f>IF($A289="","",E289*M289/100)</f>
        <v/>
      </c>
      <c r="I289" s="7" t="n"/>
      <c r="J289" s="7" t="n"/>
      <c r="L289" s="7" t="n"/>
      <c r="M289" s="7" t="n"/>
      <c r="N289" s="7" t="n"/>
      <c r="O289" s="7" t="n"/>
      <c r="R289" s="11" t="n"/>
      <c r="U289">
        <f>IF($A289="","",IF($AA289=1,Settings!$C$6,Settings!$C$7)*100)</f>
        <v/>
      </c>
      <c r="V289" s="7">
        <f>IF($A289="","",M289*U289/100)</f>
        <v/>
      </c>
      <c r="W289" s="7">
        <f>IF($A289="","",M289-V289)</f>
        <v/>
      </c>
      <c r="X289" s="7">
        <f>IF($A289="","",W289-F289)</f>
        <v/>
      </c>
      <c r="Y289">
        <f>IF($A289="","",IF(COUNTIF($A$2:$A289,$A289)=1,1,0))</f>
        <v/>
      </c>
      <c r="Z289">
        <f>IF($Y289=1,SUMPRODUCT(--($AB$2:$AB$501&lt;$AB289))+1,"")</f>
        <v/>
      </c>
      <c r="AA289">
        <f>IF($A289="","",IF(OR($T289=TRUE(),$T289="TRUE"),1,0))</f>
        <v/>
      </c>
      <c r="AB289">
        <f>IF($Y289=1,IFERROR(VALUE(MID($A289,2,20)),1000000000)+ROW()/100000,"")</f>
        <v/>
      </c>
    </row>
    <row r="290">
      <c r="F290" s="7">
        <f>IF($A290="","",E290*M290/100)</f>
        <v/>
      </c>
      <c r="I290" s="7" t="n"/>
      <c r="J290" s="7" t="n"/>
      <c r="L290" s="7" t="n"/>
      <c r="M290" s="7" t="n"/>
      <c r="N290" s="7" t="n"/>
      <c r="O290" s="7" t="n"/>
      <c r="R290" s="11" t="n"/>
      <c r="U290">
        <f>IF($A290="","",IF($AA290=1,Settings!$C$6,Settings!$C$7)*100)</f>
        <v/>
      </c>
      <c r="V290" s="7">
        <f>IF($A290="","",M290*U290/100)</f>
        <v/>
      </c>
      <c r="W290" s="7">
        <f>IF($A290="","",M290-V290)</f>
        <v/>
      </c>
      <c r="X290" s="7">
        <f>IF($A290="","",W290-F290)</f>
        <v/>
      </c>
      <c r="Y290">
        <f>IF($A290="","",IF(COUNTIF($A$2:$A290,$A290)=1,1,0))</f>
        <v/>
      </c>
      <c r="Z290">
        <f>IF($Y290=1,SUMPRODUCT(--($AB$2:$AB$501&lt;$AB290))+1,"")</f>
        <v/>
      </c>
      <c r="AA290">
        <f>IF($A290="","",IF(OR($T290=TRUE(),$T290="TRUE"),1,0))</f>
        <v/>
      </c>
      <c r="AB290">
        <f>IF($Y290=1,IFERROR(VALUE(MID($A290,2,20)),1000000000)+ROW()/100000,"")</f>
        <v/>
      </c>
    </row>
    <row r="291">
      <c r="F291" s="7">
        <f>IF($A291="","",E291*M291/100)</f>
        <v/>
      </c>
      <c r="I291" s="7" t="n"/>
      <c r="J291" s="7" t="n"/>
      <c r="L291" s="7" t="n"/>
      <c r="M291" s="7" t="n"/>
      <c r="N291" s="7" t="n"/>
      <c r="O291" s="7" t="n"/>
      <c r="R291" s="11" t="n"/>
      <c r="U291">
        <f>IF($A291="","",IF($AA291=1,Settings!$C$6,Settings!$C$7)*100)</f>
        <v/>
      </c>
      <c r="V291" s="7">
        <f>IF($A291="","",M291*U291/100)</f>
        <v/>
      </c>
      <c r="W291" s="7">
        <f>IF($A291="","",M291-V291)</f>
        <v/>
      </c>
      <c r="X291" s="7">
        <f>IF($A291="","",W291-F291)</f>
        <v/>
      </c>
      <c r="Y291">
        <f>IF($A291="","",IF(COUNTIF($A$2:$A291,$A291)=1,1,0))</f>
        <v/>
      </c>
      <c r="Z291">
        <f>IF($Y291=1,SUMPRODUCT(--($AB$2:$AB$501&lt;$AB291))+1,"")</f>
        <v/>
      </c>
      <c r="AA291">
        <f>IF($A291="","",IF(OR($T291=TRUE(),$T291="TRUE"),1,0))</f>
        <v/>
      </c>
      <c r="AB291">
        <f>IF($Y291=1,IFERROR(VALUE(MID($A291,2,20)),1000000000)+ROW()/100000,"")</f>
        <v/>
      </c>
    </row>
    <row r="292">
      <c r="F292" s="7">
        <f>IF($A292="","",E292*M292/100)</f>
        <v/>
      </c>
      <c r="I292" s="7" t="n"/>
      <c r="J292" s="7" t="n"/>
      <c r="L292" s="7" t="n"/>
      <c r="M292" s="7" t="n"/>
      <c r="N292" s="7" t="n"/>
      <c r="O292" s="7" t="n"/>
      <c r="R292" s="11" t="n"/>
      <c r="U292">
        <f>IF($A292="","",IF($AA292=1,Settings!$C$6,Settings!$C$7)*100)</f>
        <v/>
      </c>
      <c r="V292" s="7">
        <f>IF($A292="","",M292*U292/100)</f>
        <v/>
      </c>
      <c r="W292" s="7">
        <f>IF($A292="","",M292-V292)</f>
        <v/>
      </c>
      <c r="X292" s="7">
        <f>IF($A292="","",W292-F292)</f>
        <v/>
      </c>
      <c r="Y292">
        <f>IF($A292="","",IF(COUNTIF($A$2:$A292,$A292)=1,1,0))</f>
        <v/>
      </c>
      <c r="Z292">
        <f>IF($Y292=1,SUMPRODUCT(--($AB$2:$AB$501&lt;$AB292))+1,"")</f>
        <v/>
      </c>
      <c r="AA292">
        <f>IF($A292="","",IF(OR($T292=TRUE(),$T292="TRUE"),1,0))</f>
        <v/>
      </c>
      <c r="AB292">
        <f>IF($Y292=1,IFERROR(VALUE(MID($A292,2,20)),1000000000)+ROW()/100000,"")</f>
        <v/>
      </c>
    </row>
    <row r="293">
      <c r="F293" s="7">
        <f>IF($A293="","",E293*M293/100)</f>
        <v/>
      </c>
      <c r="I293" s="7" t="n"/>
      <c r="J293" s="7" t="n"/>
      <c r="L293" s="7" t="n"/>
      <c r="M293" s="7" t="n"/>
      <c r="N293" s="7" t="n"/>
      <c r="O293" s="7" t="n"/>
      <c r="R293" s="11" t="n"/>
      <c r="U293">
        <f>IF($A293="","",IF($AA293=1,Settings!$C$6,Settings!$C$7)*100)</f>
        <v/>
      </c>
      <c r="V293" s="7">
        <f>IF($A293="","",M293*U293/100)</f>
        <v/>
      </c>
      <c r="W293" s="7">
        <f>IF($A293="","",M293-V293)</f>
        <v/>
      </c>
      <c r="X293" s="7">
        <f>IF($A293="","",W293-F293)</f>
        <v/>
      </c>
      <c r="Y293">
        <f>IF($A293="","",IF(COUNTIF($A$2:$A293,$A293)=1,1,0))</f>
        <v/>
      </c>
      <c r="Z293">
        <f>IF($Y293=1,SUMPRODUCT(--($AB$2:$AB$501&lt;$AB293))+1,"")</f>
        <v/>
      </c>
      <c r="AA293">
        <f>IF($A293="","",IF(OR($T293=TRUE(),$T293="TRUE"),1,0))</f>
        <v/>
      </c>
      <c r="AB293">
        <f>IF($Y293=1,IFERROR(VALUE(MID($A293,2,20)),1000000000)+ROW()/100000,"")</f>
        <v/>
      </c>
    </row>
    <row r="294">
      <c r="F294" s="7">
        <f>IF($A294="","",E294*M294/100)</f>
        <v/>
      </c>
      <c r="I294" s="7" t="n"/>
      <c r="J294" s="7" t="n"/>
      <c r="L294" s="7" t="n"/>
      <c r="M294" s="7" t="n"/>
      <c r="N294" s="7" t="n"/>
      <c r="O294" s="7" t="n"/>
      <c r="R294" s="11" t="n"/>
      <c r="U294">
        <f>IF($A294="","",IF($AA294=1,Settings!$C$6,Settings!$C$7)*100)</f>
        <v/>
      </c>
      <c r="V294" s="7">
        <f>IF($A294="","",M294*U294/100)</f>
        <v/>
      </c>
      <c r="W294" s="7">
        <f>IF($A294="","",M294-V294)</f>
        <v/>
      </c>
      <c r="X294" s="7">
        <f>IF($A294="","",W294-F294)</f>
        <v/>
      </c>
      <c r="Y294">
        <f>IF($A294="","",IF(COUNTIF($A$2:$A294,$A294)=1,1,0))</f>
        <v/>
      </c>
      <c r="Z294">
        <f>IF($Y294=1,SUMPRODUCT(--($AB$2:$AB$501&lt;$AB294))+1,"")</f>
        <v/>
      </c>
      <c r="AA294">
        <f>IF($A294="","",IF(OR($T294=TRUE(),$T294="TRUE"),1,0))</f>
        <v/>
      </c>
      <c r="AB294">
        <f>IF($Y294=1,IFERROR(VALUE(MID($A294,2,20)),1000000000)+ROW()/100000,"")</f>
        <v/>
      </c>
    </row>
    <row r="295">
      <c r="F295" s="7">
        <f>IF($A295="","",E295*M295/100)</f>
        <v/>
      </c>
      <c r="I295" s="7" t="n"/>
      <c r="J295" s="7" t="n"/>
      <c r="L295" s="7" t="n"/>
      <c r="M295" s="7" t="n"/>
      <c r="N295" s="7" t="n"/>
      <c r="O295" s="7" t="n"/>
      <c r="R295" s="11" t="n"/>
      <c r="U295">
        <f>IF($A295="","",IF($AA295=1,Settings!$C$6,Settings!$C$7)*100)</f>
        <v/>
      </c>
      <c r="V295" s="7">
        <f>IF($A295="","",M295*U295/100)</f>
        <v/>
      </c>
      <c r="W295" s="7">
        <f>IF($A295="","",M295-V295)</f>
        <v/>
      </c>
      <c r="X295" s="7">
        <f>IF($A295="","",W295-F295)</f>
        <v/>
      </c>
      <c r="Y295">
        <f>IF($A295="","",IF(COUNTIF($A$2:$A295,$A295)=1,1,0))</f>
        <v/>
      </c>
      <c r="Z295">
        <f>IF($Y295=1,SUMPRODUCT(--($AB$2:$AB$501&lt;$AB295))+1,"")</f>
        <v/>
      </c>
      <c r="AA295">
        <f>IF($A295="","",IF(OR($T295=TRUE(),$T295="TRUE"),1,0))</f>
        <v/>
      </c>
      <c r="AB295">
        <f>IF($Y295=1,IFERROR(VALUE(MID($A295,2,20)),1000000000)+ROW()/100000,"")</f>
        <v/>
      </c>
    </row>
    <row r="296">
      <c r="F296" s="7">
        <f>IF($A296="","",E296*M296/100)</f>
        <v/>
      </c>
      <c r="I296" s="7" t="n"/>
      <c r="J296" s="7" t="n"/>
      <c r="L296" s="7" t="n"/>
      <c r="M296" s="7" t="n"/>
      <c r="N296" s="7" t="n"/>
      <c r="O296" s="7" t="n"/>
      <c r="R296" s="11" t="n"/>
      <c r="U296">
        <f>IF($A296="","",IF($AA296=1,Settings!$C$6,Settings!$C$7)*100)</f>
        <v/>
      </c>
      <c r="V296" s="7">
        <f>IF($A296="","",M296*U296/100)</f>
        <v/>
      </c>
      <c r="W296" s="7">
        <f>IF($A296="","",M296-V296)</f>
        <v/>
      </c>
      <c r="X296" s="7">
        <f>IF($A296="","",W296-F296)</f>
        <v/>
      </c>
      <c r="Y296">
        <f>IF($A296="","",IF(COUNTIF($A$2:$A296,$A296)=1,1,0))</f>
        <v/>
      </c>
      <c r="Z296">
        <f>IF($Y296=1,SUMPRODUCT(--($AB$2:$AB$501&lt;$AB296))+1,"")</f>
        <v/>
      </c>
      <c r="AA296">
        <f>IF($A296="","",IF(OR($T296=TRUE(),$T296="TRUE"),1,0))</f>
        <v/>
      </c>
      <c r="AB296">
        <f>IF($Y296=1,IFERROR(VALUE(MID($A296,2,20)),1000000000)+ROW()/100000,"")</f>
        <v/>
      </c>
    </row>
    <row r="297">
      <c r="F297" s="7">
        <f>IF($A297="","",E297*M297/100)</f>
        <v/>
      </c>
      <c r="I297" s="7" t="n"/>
      <c r="J297" s="7" t="n"/>
      <c r="L297" s="7" t="n"/>
      <c r="M297" s="7" t="n"/>
      <c r="N297" s="7" t="n"/>
      <c r="O297" s="7" t="n"/>
      <c r="R297" s="11" t="n"/>
      <c r="U297">
        <f>IF($A297="","",IF($AA297=1,Settings!$C$6,Settings!$C$7)*100)</f>
        <v/>
      </c>
      <c r="V297" s="7">
        <f>IF($A297="","",M297*U297/100)</f>
        <v/>
      </c>
      <c r="W297" s="7">
        <f>IF($A297="","",M297-V297)</f>
        <v/>
      </c>
      <c r="X297" s="7">
        <f>IF($A297="","",W297-F297)</f>
        <v/>
      </c>
      <c r="Y297">
        <f>IF($A297="","",IF(COUNTIF($A$2:$A297,$A297)=1,1,0))</f>
        <v/>
      </c>
      <c r="Z297">
        <f>IF($Y297=1,SUMPRODUCT(--($AB$2:$AB$501&lt;$AB297))+1,"")</f>
        <v/>
      </c>
      <c r="AA297">
        <f>IF($A297="","",IF(OR($T297=TRUE(),$T297="TRUE"),1,0))</f>
        <v/>
      </c>
      <c r="AB297">
        <f>IF($Y297=1,IFERROR(VALUE(MID($A297,2,20)),1000000000)+ROW()/100000,"")</f>
        <v/>
      </c>
    </row>
    <row r="298">
      <c r="F298" s="7">
        <f>IF($A298="","",E298*M298/100)</f>
        <v/>
      </c>
      <c r="I298" s="7" t="n"/>
      <c r="J298" s="7" t="n"/>
      <c r="L298" s="7" t="n"/>
      <c r="M298" s="7" t="n"/>
      <c r="N298" s="7" t="n"/>
      <c r="O298" s="7" t="n"/>
      <c r="R298" s="11" t="n"/>
      <c r="U298">
        <f>IF($A298="","",IF($AA298=1,Settings!$C$6,Settings!$C$7)*100)</f>
        <v/>
      </c>
      <c r="V298" s="7">
        <f>IF($A298="","",M298*U298/100)</f>
        <v/>
      </c>
      <c r="W298" s="7">
        <f>IF($A298="","",M298-V298)</f>
        <v/>
      </c>
      <c r="X298" s="7">
        <f>IF($A298="","",W298-F298)</f>
        <v/>
      </c>
      <c r="Y298">
        <f>IF($A298="","",IF(COUNTIF($A$2:$A298,$A298)=1,1,0))</f>
        <v/>
      </c>
      <c r="Z298">
        <f>IF($Y298=1,SUMPRODUCT(--($AB$2:$AB$501&lt;$AB298))+1,"")</f>
        <v/>
      </c>
      <c r="AA298">
        <f>IF($A298="","",IF(OR($T298=TRUE(),$T298="TRUE"),1,0))</f>
        <v/>
      </c>
      <c r="AB298">
        <f>IF($Y298=1,IFERROR(VALUE(MID($A298,2,20)),1000000000)+ROW()/100000,"")</f>
        <v/>
      </c>
    </row>
    <row r="299">
      <c r="F299" s="7">
        <f>IF($A299="","",E299*M299/100)</f>
        <v/>
      </c>
      <c r="I299" s="7" t="n"/>
      <c r="J299" s="7" t="n"/>
      <c r="L299" s="7" t="n"/>
      <c r="M299" s="7" t="n"/>
      <c r="N299" s="7" t="n"/>
      <c r="O299" s="7" t="n"/>
      <c r="R299" s="11" t="n"/>
      <c r="U299">
        <f>IF($A299="","",IF($AA299=1,Settings!$C$6,Settings!$C$7)*100)</f>
        <v/>
      </c>
      <c r="V299" s="7">
        <f>IF($A299="","",M299*U299/100)</f>
        <v/>
      </c>
      <c r="W299" s="7">
        <f>IF($A299="","",M299-V299)</f>
        <v/>
      </c>
      <c r="X299" s="7">
        <f>IF($A299="","",W299-F299)</f>
        <v/>
      </c>
      <c r="Y299">
        <f>IF($A299="","",IF(COUNTIF($A$2:$A299,$A299)=1,1,0))</f>
        <v/>
      </c>
      <c r="Z299">
        <f>IF($Y299=1,SUMPRODUCT(--($AB$2:$AB$501&lt;$AB299))+1,"")</f>
        <v/>
      </c>
      <c r="AA299">
        <f>IF($A299="","",IF(OR($T299=TRUE(),$T299="TRUE"),1,0))</f>
        <v/>
      </c>
      <c r="AB299">
        <f>IF($Y299=1,IFERROR(VALUE(MID($A299,2,20)),1000000000)+ROW()/100000,"")</f>
        <v/>
      </c>
    </row>
    <row r="300">
      <c r="F300" s="7">
        <f>IF($A300="","",E300*M300/100)</f>
        <v/>
      </c>
      <c r="I300" s="7" t="n"/>
      <c r="J300" s="7" t="n"/>
      <c r="L300" s="7" t="n"/>
      <c r="M300" s="7" t="n"/>
      <c r="N300" s="7" t="n"/>
      <c r="O300" s="7" t="n"/>
      <c r="R300" s="11" t="n"/>
      <c r="U300">
        <f>IF($A300="","",IF($AA300=1,Settings!$C$6,Settings!$C$7)*100)</f>
        <v/>
      </c>
      <c r="V300" s="7">
        <f>IF($A300="","",M300*U300/100)</f>
        <v/>
      </c>
      <c r="W300" s="7">
        <f>IF($A300="","",M300-V300)</f>
        <v/>
      </c>
      <c r="X300" s="7">
        <f>IF($A300="","",W300-F300)</f>
        <v/>
      </c>
      <c r="Y300">
        <f>IF($A300="","",IF(COUNTIF($A$2:$A300,$A300)=1,1,0))</f>
        <v/>
      </c>
      <c r="Z300">
        <f>IF($Y300=1,SUMPRODUCT(--($AB$2:$AB$501&lt;$AB300))+1,"")</f>
        <v/>
      </c>
      <c r="AA300">
        <f>IF($A300="","",IF(OR($T300=TRUE(),$T300="TRUE"),1,0))</f>
        <v/>
      </c>
      <c r="AB300">
        <f>IF($Y300=1,IFERROR(VALUE(MID($A300,2,20)),1000000000)+ROW()/100000,"")</f>
        <v/>
      </c>
    </row>
    <row r="301">
      <c r="F301" s="7">
        <f>IF($A301="","",E301*M301/100)</f>
        <v/>
      </c>
      <c r="I301" s="7" t="n"/>
      <c r="J301" s="7" t="n"/>
      <c r="L301" s="7" t="n"/>
      <c r="M301" s="7" t="n"/>
      <c r="N301" s="7" t="n"/>
      <c r="O301" s="7" t="n"/>
      <c r="R301" s="11" t="n"/>
      <c r="U301">
        <f>IF($A301="","",IF($AA301=1,Settings!$C$6,Settings!$C$7)*100)</f>
        <v/>
      </c>
      <c r="V301" s="7">
        <f>IF($A301="","",M301*U301/100)</f>
        <v/>
      </c>
      <c r="W301" s="7">
        <f>IF($A301="","",M301-V301)</f>
        <v/>
      </c>
      <c r="X301" s="7">
        <f>IF($A301="","",W301-F301)</f>
        <v/>
      </c>
      <c r="Y301">
        <f>IF($A301="","",IF(COUNTIF($A$2:$A301,$A301)=1,1,0))</f>
        <v/>
      </c>
      <c r="Z301">
        <f>IF($Y301=1,SUMPRODUCT(--($AB$2:$AB$501&lt;$AB301))+1,"")</f>
        <v/>
      </c>
      <c r="AA301">
        <f>IF($A301="","",IF(OR($T301=TRUE(),$T301="TRUE"),1,0))</f>
        <v/>
      </c>
      <c r="AB301">
        <f>IF($Y301=1,IFERROR(VALUE(MID($A301,2,20)),1000000000)+ROW()/100000,"")</f>
        <v/>
      </c>
    </row>
    <row r="302">
      <c r="F302" s="7">
        <f>IF($A302="","",E302*M302/100)</f>
        <v/>
      </c>
      <c r="I302" s="7" t="n"/>
      <c r="J302" s="7" t="n"/>
      <c r="L302" s="7" t="n"/>
      <c r="M302" s="7" t="n"/>
      <c r="N302" s="7" t="n"/>
      <c r="O302" s="7" t="n"/>
      <c r="R302" s="11" t="n"/>
      <c r="U302">
        <f>IF($A302="","",IF($AA302=1,Settings!$C$6,Settings!$C$7)*100)</f>
        <v/>
      </c>
      <c r="V302" s="7">
        <f>IF($A302="","",M302*U302/100)</f>
        <v/>
      </c>
      <c r="W302" s="7">
        <f>IF($A302="","",M302-V302)</f>
        <v/>
      </c>
      <c r="X302" s="7">
        <f>IF($A302="","",W302-F302)</f>
        <v/>
      </c>
      <c r="Y302">
        <f>IF($A302="","",IF(COUNTIF($A$2:$A302,$A302)=1,1,0))</f>
        <v/>
      </c>
      <c r="Z302">
        <f>IF($Y302=1,SUMPRODUCT(--($AB$2:$AB$501&lt;$AB302))+1,"")</f>
        <v/>
      </c>
      <c r="AA302">
        <f>IF($A302="","",IF(OR($T302=TRUE(),$T302="TRUE"),1,0))</f>
        <v/>
      </c>
      <c r="AB302">
        <f>IF($Y302=1,IFERROR(VALUE(MID($A302,2,20)),1000000000)+ROW()/100000,"")</f>
        <v/>
      </c>
    </row>
    <row r="303">
      <c r="F303" s="7">
        <f>IF($A303="","",E303*M303/100)</f>
        <v/>
      </c>
      <c r="I303" s="7" t="n"/>
      <c r="J303" s="7" t="n"/>
      <c r="L303" s="7" t="n"/>
      <c r="M303" s="7" t="n"/>
      <c r="N303" s="7" t="n"/>
      <c r="O303" s="7" t="n"/>
      <c r="R303" s="11" t="n"/>
      <c r="U303">
        <f>IF($A303="","",IF($AA303=1,Settings!$C$6,Settings!$C$7)*100)</f>
        <v/>
      </c>
      <c r="V303" s="7">
        <f>IF($A303="","",M303*U303/100)</f>
        <v/>
      </c>
      <c r="W303" s="7">
        <f>IF($A303="","",M303-V303)</f>
        <v/>
      </c>
      <c r="X303" s="7">
        <f>IF($A303="","",W303-F303)</f>
        <v/>
      </c>
      <c r="Y303">
        <f>IF($A303="","",IF(COUNTIF($A$2:$A303,$A303)=1,1,0))</f>
        <v/>
      </c>
      <c r="Z303">
        <f>IF($Y303=1,SUMPRODUCT(--($AB$2:$AB$501&lt;$AB303))+1,"")</f>
        <v/>
      </c>
      <c r="AA303">
        <f>IF($A303="","",IF(OR($T303=TRUE(),$T303="TRUE"),1,0))</f>
        <v/>
      </c>
      <c r="AB303">
        <f>IF($Y303=1,IFERROR(VALUE(MID($A303,2,20)),1000000000)+ROW()/100000,"")</f>
        <v/>
      </c>
    </row>
    <row r="304">
      <c r="F304" s="7">
        <f>IF($A304="","",E304*M304/100)</f>
        <v/>
      </c>
      <c r="I304" s="7" t="n"/>
      <c r="J304" s="7" t="n"/>
      <c r="L304" s="7" t="n"/>
      <c r="M304" s="7" t="n"/>
      <c r="N304" s="7" t="n"/>
      <c r="O304" s="7" t="n"/>
      <c r="R304" s="11" t="n"/>
      <c r="U304">
        <f>IF($A304="","",IF($AA304=1,Settings!$C$6,Settings!$C$7)*100)</f>
        <v/>
      </c>
      <c r="V304" s="7">
        <f>IF($A304="","",M304*U304/100)</f>
        <v/>
      </c>
      <c r="W304" s="7">
        <f>IF($A304="","",M304-V304)</f>
        <v/>
      </c>
      <c r="X304" s="7">
        <f>IF($A304="","",W304-F304)</f>
        <v/>
      </c>
      <c r="Y304">
        <f>IF($A304="","",IF(COUNTIF($A$2:$A304,$A304)=1,1,0))</f>
        <v/>
      </c>
      <c r="Z304">
        <f>IF($Y304=1,SUMPRODUCT(--($AB$2:$AB$501&lt;$AB304))+1,"")</f>
        <v/>
      </c>
      <c r="AA304">
        <f>IF($A304="","",IF(OR($T304=TRUE(),$T304="TRUE"),1,0))</f>
        <v/>
      </c>
      <c r="AB304">
        <f>IF($Y304=1,IFERROR(VALUE(MID($A304,2,20)),1000000000)+ROW()/100000,"")</f>
        <v/>
      </c>
    </row>
    <row r="305">
      <c r="F305" s="7">
        <f>IF($A305="","",E305*M305/100)</f>
        <v/>
      </c>
      <c r="I305" s="7" t="n"/>
      <c r="J305" s="7" t="n"/>
      <c r="L305" s="7" t="n"/>
      <c r="M305" s="7" t="n"/>
      <c r="N305" s="7" t="n"/>
      <c r="O305" s="7" t="n"/>
      <c r="R305" s="11" t="n"/>
      <c r="U305">
        <f>IF($A305="","",IF($AA305=1,Settings!$C$6,Settings!$C$7)*100)</f>
        <v/>
      </c>
      <c r="V305" s="7">
        <f>IF($A305="","",M305*U305/100)</f>
        <v/>
      </c>
      <c r="W305" s="7">
        <f>IF($A305="","",M305-V305)</f>
        <v/>
      </c>
      <c r="X305" s="7">
        <f>IF($A305="","",W305-F305)</f>
        <v/>
      </c>
      <c r="Y305">
        <f>IF($A305="","",IF(COUNTIF($A$2:$A305,$A305)=1,1,0))</f>
        <v/>
      </c>
      <c r="Z305">
        <f>IF($Y305=1,SUMPRODUCT(--($AB$2:$AB$501&lt;$AB305))+1,"")</f>
        <v/>
      </c>
      <c r="AA305">
        <f>IF($A305="","",IF(OR($T305=TRUE(),$T305="TRUE"),1,0))</f>
        <v/>
      </c>
      <c r="AB305">
        <f>IF($Y305=1,IFERROR(VALUE(MID($A305,2,20)),1000000000)+ROW()/100000,"")</f>
        <v/>
      </c>
    </row>
    <row r="306">
      <c r="F306" s="7">
        <f>IF($A306="","",E306*M306/100)</f>
        <v/>
      </c>
      <c r="I306" s="7" t="n"/>
      <c r="J306" s="7" t="n"/>
      <c r="L306" s="7" t="n"/>
      <c r="M306" s="7" t="n"/>
      <c r="N306" s="7" t="n"/>
      <c r="O306" s="7" t="n"/>
      <c r="R306" s="11" t="n"/>
      <c r="U306">
        <f>IF($A306="","",IF($AA306=1,Settings!$C$6,Settings!$C$7)*100)</f>
        <v/>
      </c>
      <c r="V306" s="7">
        <f>IF($A306="","",M306*U306/100)</f>
        <v/>
      </c>
      <c r="W306" s="7">
        <f>IF($A306="","",M306-V306)</f>
        <v/>
      </c>
      <c r="X306" s="7">
        <f>IF($A306="","",W306-F306)</f>
        <v/>
      </c>
      <c r="Y306">
        <f>IF($A306="","",IF(COUNTIF($A$2:$A306,$A306)=1,1,0))</f>
        <v/>
      </c>
      <c r="Z306">
        <f>IF($Y306=1,SUMPRODUCT(--($AB$2:$AB$501&lt;$AB306))+1,"")</f>
        <v/>
      </c>
      <c r="AA306">
        <f>IF($A306="","",IF(OR($T306=TRUE(),$T306="TRUE"),1,0))</f>
        <v/>
      </c>
      <c r="AB306">
        <f>IF($Y306=1,IFERROR(VALUE(MID($A306,2,20)),1000000000)+ROW()/100000,"")</f>
        <v/>
      </c>
    </row>
    <row r="307">
      <c r="F307" s="7">
        <f>IF($A307="","",E307*M307/100)</f>
        <v/>
      </c>
      <c r="I307" s="7" t="n"/>
      <c r="J307" s="7" t="n"/>
      <c r="L307" s="7" t="n"/>
      <c r="M307" s="7" t="n"/>
      <c r="N307" s="7" t="n"/>
      <c r="O307" s="7" t="n"/>
      <c r="R307" s="11" t="n"/>
      <c r="U307">
        <f>IF($A307="","",IF($AA307=1,Settings!$C$6,Settings!$C$7)*100)</f>
        <v/>
      </c>
      <c r="V307" s="7">
        <f>IF($A307="","",M307*U307/100)</f>
        <v/>
      </c>
      <c r="W307" s="7">
        <f>IF($A307="","",M307-V307)</f>
        <v/>
      </c>
      <c r="X307" s="7">
        <f>IF($A307="","",W307-F307)</f>
        <v/>
      </c>
      <c r="Y307">
        <f>IF($A307="","",IF(COUNTIF($A$2:$A307,$A307)=1,1,0))</f>
        <v/>
      </c>
      <c r="Z307">
        <f>IF($Y307=1,SUMPRODUCT(--($AB$2:$AB$501&lt;$AB307))+1,"")</f>
        <v/>
      </c>
      <c r="AA307">
        <f>IF($A307="","",IF(OR($T307=TRUE(),$T307="TRUE"),1,0))</f>
        <v/>
      </c>
      <c r="AB307">
        <f>IF($Y307=1,IFERROR(VALUE(MID($A307,2,20)),1000000000)+ROW()/100000,"")</f>
        <v/>
      </c>
    </row>
    <row r="308">
      <c r="F308" s="7">
        <f>IF($A308="","",E308*M308/100)</f>
        <v/>
      </c>
      <c r="I308" s="7" t="n"/>
      <c r="J308" s="7" t="n"/>
      <c r="L308" s="7" t="n"/>
      <c r="M308" s="7" t="n"/>
      <c r="N308" s="7" t="n"/>
      <c r="O308" s="7" t="n"/>
      <c r="R308" s="11" t="n"/>
      <c r="U308">
        <f>IF($A308="","",IF($AA308=1,Settings!$C$6,Settings!$C$7)*100)</f>
        <v/>
      </c>
      <c r="V308" s="7">
        <f>IF($A308="","",M308*U308/100)</f>
        <v/>
      </c>
      <c r="W308" s="7">
        <f>IF($A308="","",M308-V308)</f>
        <v/>
      </c>
      <c r="X308" s="7">
        <f>IF($A308="","",W308-F308)</f>
        <v/>
      </c>
      <c r="Y308">
        <f>IF($A308="","",IF(COUNTIF($A$2:$A308,$A308)=1,1,0))</f>
        <v/>
      </c>
      <c r="Z308">
        <f>IF($Y308=1,SUMPRODUCT(--($AB$2:$AB$501&lt;$AB308))+1,"")</f>
        <v/>
      </c>
      <c r="AA308">
        <f>IF($A308="","",IF(OR($T308=TRUE(),$T308="TRUE"),1,0))</f>
        <v/>
      </c>
      <c r="AB308">
        <f>IF($Y308=1,IFERROR(VALUE(MID($A308,2,20)),1000000000)+ROW()/100000,"")</f>
        <v/>
      </c>
    </row>
    <row r="309">
      <c r="F309" s="7">
        <f>IF($A309="","",E309*M309/100)</f>
        <v/>
      </c>
      <c r="I309" s="7" t="n"/>
      <c r="J309" s="7" t="n"/>
      <c r="L309" s="7" t="n"/>
      <c r="M309" s="7" t="n"/>
      <c r="N309" s="7" t="n"/>
      <c r="O309" s="7" t="n"/>
      <c r="R309" s="11" t="n"/>
      <c r="U309">
        <f>IF($A309="","",IF($AA309=1,Settings!$C$6,Settings!$C$7)*100)</f>
        <v/>
      </c>
      <c r="V309" s="7">
        <f>IF($A309="","",M309*U309/100)</f>
        <v/>
      </c>
      <c r="W309" s="7">
        <f>IF($A309="","",M309-V309)</f>
        <v/>
      </c>
      <c r="X309" s="7">
        <f>IF($A309="","",W309-F309)</f>
        <v/>
      </c>
      <c r="Y309">
        <f>IF($A309="","",IF(COUNTIF($A$2:$A309,$A309)=1,1,0))</f>
        <v/>
      </c>
      <c r="Z309">
        <f>IF($Y309=1,SUMPRODUCT(--($AB$2:$AB$501&lt;$AB309))+1,"")</f>
        <v/>
      </c>
      <c r="AA309">
        <f>IF($A309="","",IF(OR($T309=TRUE(),$T309="TRUE"),1,0))</f>
        <v/>
      </c>
      <c r="AB309">
        <f>IF($Y309=1,IFERROR(VALUE(MID($A309,2,20)),1000000000)+ROW()/100000,"")</f>
        <v/>
      </c>
    </row>
    <row r="310">
      <c r="F310" s="7">
        <f>IF($A310="","",E310*M310/100)</f>
        <v/>
      </c>
      <c r="I310" s="7" t="n"/>
      <c r="J310" s="7" t="n"/>
      <c r="L310" s="7" t="n"/>
      <c r="M310" s="7" t="n"/>
      <c r="N310" s="7" t="n"/>
      <c r="O310" s="7" t="n"/>
      <c r="R310" s="11" t="n"/>
      <c r="U310">
        <f>IF($A310="","",IF($AA310=1,Settings!$C$6,Settings!$C$7)*100)</f>
        <v/>
      </c>
      <c r="V310" s="7">
        <f>IF($A310="","",M310*U310/100)</f>
        <v/>
      </c>
      <c r="W310" s="7">
        <f>IF($A310="","",M310-V310)</f>
        <v/>
      </c>
      <c r="X310" s="7">
        <f>IF($A310="","",W310-F310)</f>
        <v/>
      </c>
      <c r="Y310">
        <f>IF($A310="","",IF(COUNTIF($A$2:$A310,$A310)=1,1,0))</f>
        <v/>
      </c>
      <c r="Z310">
        <f>IF($Y310=1,SUMPRODUCT(--($AB$2:$AB$501&lt;$AB310))+1,"")</f>
        <v/>
      </c>
      <c r="AA310">
        <f>IF($A310="","",IF(OR($T310=TRUE(),$T310="TRUE"),1,0))</f>
        <v/>
      </c>
      <c r="AB310">
        <f>IF($Y310=1,IFERROR(VALUE(MID($A310,2,20)),1000000000)+ROW()/100000,"")</f>
        <v/>
      </c>
    </row>
    <row r="311">
      <c r="F311" s="7">
        <f>IF($A311="","",E311*M311/100)</f>
        <v/>
      </c>
      <c r="I311" s="7" t="n"/>
      <c r="J311" s="7" t="n"/>
      <c r="L311" s="7" t="n"/>
      <c r="M311" s="7" t="n"/>
      <c r="N311" s="7" t="n"/>
      <c r="O311" s="7" t="n"/>
      <c r="R311" s="11" t="n"/>
      <c r="U311">
        <f>IF($A311="","",IF($AA311=1,Settings!$C$6,Settings!$C$7)*100)</f>
        <v/>
      </c>
      <c r="V311" s="7">
        <f>IF($A311="","",M311*U311/100)</f>
        <v/>
      </c>
      <c r="W311" s="7">
        <f>IF($A311="","",M311-V311)</f>
        <v/>
      </c>
      <c r="X311" s="7">
        <f>IF($A311="","",W311-F311)</f>
        <v/>
      </c>
      <c r="Y311">
        <f>IF($A311="","",IF(COUNTIF($A$2:$A311,$A311)=1,1,0))</f>
        <v/>
      </c>
      <c r="Z311">
        <f>IF($Y311=1,SUMPRODUCT(--($AB$2:$AB$501&lt;$AB311))+1,"")</f>
        <v/>
      </c>
      <c r="AA311">
        <f>IF($A311="","",IF(OR($T311=TRUE(),$T311="TRUE"),1,0))</f>
        <v/>
      </c>
      <c r="AB311">
        <f>IF($Y311=1,IFERROR(VALUE(MID($A311,2,20)),1000000000)+ROW()/100000,"")</f>
        <v/>
      </c>
    </row>
    <row r="312">
      <c r="F312" s="7">
        <f>IF($A312="","",E312*M312/100)</f>
        <v/>
      </c>
      <c r="I312" s="7" t="n"/>
      <c r="J312" s="7" t="n"/>
      <c r="L312" s="7" t="n"/>
      <c r="M312" s="7" t="n"/>
      <c r="N312" s="7" t="n"/>
      <c r="O312" s="7" t="n"/>
      <c r="R312" s="11" t="n"/>
      <c r="U312">
        <f>IF($A312="","",IF($AA312=1,Settings!$C$6,Settings!$C$7)*100)</f>
        <v/>
      </c>
      <c r="V312" s="7">
        <f>IF($A312="","",M312*U312/100)</f>
        <v/>
      </c>
      <c r="W312" s="7">
        <f>IF($A312="","",M312-V312)</f>
        <v/>
      </c>
      <c r="X312" s="7">
        <f>IF($A312="","",W312-F312)</f>
        <v/>
      </c>
      <c r="Y312">
        <f>IF($A312="","",IF(COUNTIF($A$2:$A312,$A312)=1,1,0))</f>
        <v/>
      </c>
      <c r="Z312">
        <f>IF($Y312=1,SUMPRODUCT(--($AB$2:$AB$501&lt;$AB312))+1,"")</f>
        <v/>
      </c>
      <c r="AA312">
        <f>IF($A312="","",IF(OR($T312=TRUE(),$T312="TRUE"),1,0))</f>
        <v/>
      </c>
      <c r="AB312">
        <f>IF($Y312=1,IFERROR(VALUE(MID($A312,2,20)),1000000000)+ROW()/100000,"")</f>
        <v/>
      </c>
    </row>
    <row r="313">
      <c r="F313" s="7">
        <f>IF($A313="","",E313*M313/100)</f>
        <v/>
      </c>
      <c r="I313" s="7" t="n"/>
      <c r="J313" s="7" t="n"/>
      <c r="L313" s="7" t="n"/>
      <c r="M313" s="7" t="n"/>
      <c r="N313" s="7" t="n"/>
      <c r="O313" s="7" t="n"/>
      <c r="R313" s="11" t="n"/>
      <c r="U313">
        <f>IF($A313="","",IF($AA313=1,Settings!$C$6,Settings!$C$7)*100)</f>
        <v/>
      </c>
      <c r="V313" s="7">
        <f>IF($A313="","",M313*U313/100)</f>
        <v/>
      </c>
      <c r="W313" s="7">
        <f>IF($A313="","",M313-V313)</f>
        <v/>
      </c>
      <c r="X313" s="7">
        <f>IF($A313="","",W313-F313)</f>
        <v/>
      </c>
      <c r="Y313">
        <f>IF($A313="","",IF(COUNTIF($A$2:$A313,$A313)=1,1,0))</f>
        <v/>
      </c>
      <c r="Z313">
        <f>IF($Y313=1,SUMPRODUCT(--($AB$2:$AB$501&lt;$AB313))+1,"")</f>
        <v/>
      </c>
      <c r="AA313">
        <f>IF($A313="","",IF(OR($T313=TRUE(),$T313="TRUE"),1,0))</f>
        <v/>
      </c>
      <c r="AB313">
        <f>IF($Y313=1,IFERROR(VALUE(MID($A313,2,20)),1000000000)+ROW()/100000,"")</f>
        <v/>
      </c>
    </row>
    <row r="314">
      <c r="F314" s="7">
        <f>IF($A314="","",E314*M314/100)</f>
        <v/>
      </c>
      <c r="I314" s="7" t="n"/>
      <c r="J314" s="7" t="n"/>
      <c r="L314" s="7" t="n"/>
      <c r="M314" s="7" t="n"/>
      <c r="N314" s="7" t="n"/>
      <c r="O314" s="7" t="n"/>
      <c r="R314" s="11" t="n"/>
      <c r="U314">
        <f>IF($A314="","",IF($AA314=1,Settings!$C$6,Settings!$C$7)*100)</f>
        <v/>
      </c>
      <c r="V314" s="7">
        <f>IF($A314="","",M314*U314/100)</f>
        <v/>
      </c>
      <c r="W314" s="7">
        <f>IF($A314="","",M314-V314)</f>
        <v/>
      </c>
      <c r="X314" s="7">
        <f>IF($A314="","",W314-F314)</f>
        <v/>
      </c>
      <c r="Y314">
        <f>IF($A314="","",IF(COUNTIF($A$2:$A314,$A314)=1,1,0))</f>
        <v/>
      </c>
      <c r="Z314">
        <f>IF($Y314=1,SUMPRODUCT(--($AB$2:$AB$501&lt;$AB314))+1,"")</f>
        <v/>
      </c>
      <c r="AA314">
        <f>IF($A314="","",IF(OR($T314=TRUE(),$T314="TRUE"),1,0))</f>
        <v/>
      </c>
      <c r="AB314">
        <f>IF($Y314=1,IFERROR(VALUE(MID($A314,2,20)),1000000000)+ROW()/100000,"")</f>
        <v/>
      </c>
    </row>
    <row r="315">
      <c r="F315" s="7">
        <f>IF($A315="","",E315*M315/100)</f>
        <v/>
      </c>
      <c r="I315" s="7" t="n"/>
      <c r="J315" s="7" t="n"/>
      <c r="L315" s="7" t="n"/>
      <c r="M315" s="7" t="n"/>
      <c r="N315" s="7" t="n"/>
      <c r="O315" s="7" t="n"/>
      <c r="R315" s="11" t="n"/>
      <c r="U315">
        <f>IF($A315="","",IF($AA315=1,Settings!$C$6,Settings!$C$7)*100)</f>
        <v/>
      </c>
      <c r="V315" s="7">
        <f>IF($A315="","",M315*U315/100)</f>
        <v/>
      </c>
      <c r="W315" s="7">
        <f>IF($A315="","",M315-V315)</f>
        <v/>
      </c>
      <c r="X315" s="7">
        <f>IF($A315="","",W315-F315)</f>
        <v/>
      </c>
      <c r="Y315">
        <f>IF($A315="","",IF(COUNTIF($A$2:$A315,$A315)=1,1,0))</f>
        <v/>
      </c>
      <c r="Z315">
        <f>IF($Y315=1,SUMPRODUCT(--($AB$2:$AB$501&lt;$AB315))+1,"")</f>
        <v/>
      </c>
      <c r="AA315">
        <f>IF($A315="","",IF(OR($T315=TRUE(),$T315="TRUE"),1,0))</f>
        <v/>
      </c>
      <c r="AB315">
        <f>IF($Y315=1,IFERROR(VALUE(MID($A315,2,20)),1000000000)+ROW()/100000,"")</f>
        <v/>
      </c>
    </row>
    <row r="316">
      <c r="F316" s="7">
        <f>IF($A316="","",E316*M316/100)</f>
        <v/>
      </c>
      <c r="I316" s="7" t="n"/>
      <c r="J316" s="7" t="n"/>
      <c r="L316" s="7" t="n"/>
      <c r="M316" s="7" t="n"/>
      <c r="N316" s="7" t="n"/>
      <c r="O316" s="7" t="n"/>
      <c r="R316" s="11" t="n"/>
      <c r="U316">
        <f>IF($A316="","",IF($AA316=1,Settings!$C$6,Settings!$C$7)*100)</f>
        <v/>
      </c>
      <c r="V316" s="7">
        <f>IF($A316="","",M316*U316/100)</f>
        <v/>
      </c>
      <c r="W316" s="7">
        <f>IF($A316="","",M316-V316)</f>
        <v/>
      </c>
      <c r="X316" s="7">
        <f>IF($A316="","",W316-F316)</f>
        <v/>
      </c>
      <c r="Y316">
        <f>IF($A316="","",IF(COUNTIF($A$2:$A316,$A316)=1,1,0))</f>
        <v/>
      </c>
      <c r="Z316">
        <f>IF($Y316=1,SUMPRODUCT(--($AB$2:$AB$501&lt;$AB316))+1,"")</f>
        <v/>
      </c>
      <c r="AA316">
        <f>IF($A316="","",IF(OR($T316=TRUE(),$T316="TRUE"),1,0))</f>
        <v/>
      </c>
      <c r="AB316">
        <f>IF($Y316=1,IFERROR(VALUE(MID($A316,2,20)),1000000000)+ROW()/100000,"")</f>
        <v/>
      </c>
    </row>
    <row r="317">
      <c r="F317" s="7">
        <f>IF($A317="","",E317*M317/100)</f>
        <v/>
      </c>
      <c r="I317" s="7" t="n"/>
      <c r="J317" s="7" t="n"/>
      <c r="L317" s="7" t="n"/>
      <c r="M317" s="7" t="n"/>
      <c r="N317" s="7" t="n"/>
      <c r="O317" s="7" t="n"/>
      <c r="R317" s="11" t="n"/>
      <c r="U317">
        <f>IF($A317="","",IF($AA317=1,Settings!$C$6,Settings!$C$7)*100)</f>
        <v/>
      </c>
      <c r="V317" s="7">
        <f>IF($A317="","",M317*U317/100)</f>
        <v/>
      </c>
      <c r="W317" s="7">
        <f>IF($A317="","",M317-V317)</f>
        <v/>
      </c>
      <c r="X317" s="7">
        <f>IF($A317="","",W317-F317)</f>
        <v/>
      </c>
      <c r="Y317">
        <f>IF($A317="","",IF(COUNTIF($A$2:$A317,$A317)=1,1,0))</f>
        <v/>
      </c>
      <c r="Z317">
        <f>IF($Y317=1,SUMPRODUCT(--($AB$2:$AB$501&lt;$AB317))+1,"")</f>
        <v/>
      </c>
      <c r="AA317">
        <f>IF($A317="","",IF(OR($T317=TRUE(),$T317="TRUE"),1,0))</f>
        <v/>
      </c>
      <c r="AB317">
        <f>IF($Y317=1,IFERROR(VALUE(MID($A317,2,20)),1000000000)+ROW()/100000,"")</f>
        <v/>
      </c>
    </row>
    <row r="318">
      <c r="F318" s="7">
        <f>IF($A318="","",E318*M318/100)</f>
        <v/>
      </c>
      <c r="I318" s="7" t="n"/>
      <c r="J318" s="7" t="n"/>
      <c r="L318" s="7" t="n"/>
      <c r="M318" s="7" t="n"/>
      <c r="N318" s="7" t="n"/>
      <c r="O318" s="7" t="n"/>
      <c r="R318" s="11" t="n"/>
      <c r="U318">
        <f>IF($A318="","",IF($AA318=1,Settings!$C$6,Settings!$C$7)*100)</f>
        <v/>
      </c>
      <c r="V318" s="7">
        <f>IF($A318="","",M318*U318/100)</f>
        <v/>
      </c>
      <c r="W318" s="7">
        <f>IF($A318="","",M318-V318)</f>
        <v/>
      </c>
      <c r="X318" s="7">
        <f>IF($A318="","",W318-F318)</f>
        <v/>
      </c>
      <c r="Y318">
        <f>IF($A318="","",IF(COUNTIF($A$2:$A318,$A318)=1,1,0))</f>
        <v/>
      </c>
      <c r="Z318">
        <f>IF($Y318=1,SUMPRODUCT(--($AB$2:$AB$501&lt;$AB318))+1,"")</f>
        <v/>
      </c>
      <c r="AA318">
        <f>IF($A318="","",IF(OR($T318=TRUE(),$T318="TRUE"),1,0))</f>
        <v/>
      </c>
      <c r="AB318">
        <f>IF($Y318=1,IFERROR(VALUE(MID($A318,2,20)),1000000000)+ROW()/100000,"")</f>
        <v/>
      </c>
    </row>
    <row r="319">
      <c r="F319" s="7">
        <f>IF($A319="","",E319*M319/100)</f>
        <v/>
      </c>
      <c r="I319" s="7" t="n"/>
      <c r="J319" s="7" t="n"/>
      <c r="L319" s="7" t="n"/>
      <c r="M319" s="7" t="n"/>
      <c r="N319" s="7" t="n"/>
      <c r="O319" s="7" t="n"/>
      <c r="R319" s="11" t="n"/>
      <c r="U319">
        <f>IF($A319="","",IF($AA319=1,Settings!$C$6,Settings!$C$7)*100)</f>
        <v/>
      </c>
      <c r="V319" s="7">
        <f>IF($A319="","",M319*U319/100)</f>
        <v/>
      </c>
      <c r="W319" s="7">
        <f>IF($A319="","",M319-V319)</f>
        <v/>
      </c>
      <c r="X319" s="7">
        <f>IF($A319="","",W319-F319)</f>
        <v/>
      </c>
      <c r="Y319">
        <f>IF($A319="","",IF(COUNTIF($A$2:$A319,$A319)=1,1,0))</f>
        <v/>
      </c>
      <c r="Z319">
        <f>IF($Y319=1,SUMPRODUCT(--($AB$2:$AB$501&lt;$AB319))+1,"")</f>
        <v/>
      </c>
      <c r="AA319">
        <f>IF($A319="","",IF(OR($T319=TRUE(),$T319="TRUE"),1,0))</f>
        <v/>
      </c>
      <c r="AB319">
        <f>IF($Y319=1,IFERROR(VALUE(MID($A319,2,20)),1000000000)+ROW()/100000,"")</f>
        <v/>
      </c>
    </row>
    <row r="320">
      <c r="F320" s="7">
        <f>IF($A320="","",E320*M320/100)</f>
        <v/>
      </c>
      <c r="I320" s="7" t="n"/>
      <c r="J320" s="7" t="n"/>
      <c r="L320" s="7" t="n"/>
      <c r="M320" s="7" t="n"/>
      <c r="N320" s="7" t="n"/>
      <c r="O320" s="7" t="n"/>
      <c r="R320" s="11" t="n"/>
      <c r="U320">
        <f>IF($A320="","",IF($AA320=1,Settings!$C$6,Settings!$C$7)*100)</f>
        <v/>
      </c>
      <c r="V320" s="7">
        <f>IF($A320="","",M320*U320/100)</f>
        <v/>
      </c>
      <c r="W320" s="7">
        <f>IF($A320="","",M320-V320)</f>
        <v/>
      </c>
      <c r="X320" s="7">
        <f>IF($A320="","",W320-F320)</f>
        <v/>
      </c>
      <c r="Y320">
        <f>IF($A320="","",IF(COUNTIF($A$2:$A320,$A320)=1,1,0))</f>
        <v/>
      </c>
      <c r="Z320">
        <f>IF($Y320=1,SUMPRODUCT(--($AB$2:$AB$501&lt;$AB320))+1,"")</f>
        <v/>
      </c>
      <c r="AA320">
        <f>IF($A320="","",IF(OR($T320=TRUE(),$T320="TRUE"),1,0))</f>
        <v/>
      </c>
      <c r="AB320">
        <f>IF($Y320=1,IFERROR(VALUE(MID($A320,2,20)),1000000000)+ROW()/100000,"")</f>
        <v/>
      </c>
    </row>
    <row r="321">
      <c r="F321" s="7">
        <f>IF($A321="","",E321*M321/100)</f>
        <v/>
      </c>
      <c r="I321" s="7" t="n"/>
      <c r="J321" s="7" t="n"/>
      <c r="L321" s="7" t="n"/>
      <c r="M321" s="7" t="n"/>
      <c r="N321" s="7" t="n"/>
      <c r="O321" s="7" t="n"/>
      <c r="R321" s="11" t="n"/>
      <c r="U321">
        <f>IF($A321="","",IF($AA321=1,Settings!$C$6,Settings!$C$7)*100)</f>
        <v/>
      </c>
      <c r="V321" s="7">
        <f>IF($A321="","",M321*U321/100)</f>
        <v/>
      </c>
      <c r="W321" s="7">
        <f>IF($A321="","",M321-V321)</f>
        <v/>
      </c>
      <c r="X321" s="7">
        <f>IF($A321="","",W321-F321)</f>
        <v/>
      </c>
      <c r="Y321">
        <f>IF($A321="","",IF(COUNTIF($A$2:$A321,$A321)=1,1,0))</f>
        <v/>
      </c>
      <c r="Z321">
        <f>IF($Y321=1,SUMPRODUCT(--($AB$2:$AB$501&lt;$AB321))+1,"")</f>
        <v/>
      </c>
      <c r="AA321">
        <f>IF($A321="","",IF(OR($T321=TRUE(),$T321="TRUE"),1,0))</f>
        <v/>
      </c>
      <c r="AB321">
        <f>IF($Y321=1,IFERROR(VALUE(MID($A321,2,20)),1000000000)+ROW()/100000,"")</f>
        <v/>
      </c>
    </row>
    <row r="322">
      <c r="F322" s="7">
        <f>IF($A322="","",E322*M322/100)</f>
        <v/>
      </c>
      <c r="I322" s="7" t="n"/>
      <c r="J322" s="7" t="n"/>
      <c r="L322" s="7" t="n"/>
      <c r="M322" s="7" t="n"/>
      <c r="N322" s="7" t="n"/>
      <c r="O322" s="7" t="n"/>
      <c r="R322" s="11" t="n"/>
      <c r="U322">
        <f>IF($A322="","",IF($AA322=1,Settings!$C$6,Settings!$C$7)*100)</f>
        <v/>
      </c>
      <c r="V322" s="7">
        <f>IF($A322="","",M322*U322/100)</f>
        <v/>
      </c>
      <c r="W322" s="7">
        <f>IF($A322="","",M322-V322)</f>
        <v/>
      </c>
      <c r="X322" s="7">
        <f>IF($A322="","",W322-F322)</f>
        <v/>
      </c>
      <c r="Y322">
        <f>IF($A322="","",IF(COUNTIF($A$2:$A322,$A322)=1,1,0))</f>
        <v/>
      </c>
      <c r="Z322">
        <f>IF($Y322=1,SUMPRODUCT(--($AB$2:$AB$501&lt;$AB322))+1,"")</f>
        <v/>
      </c>
      <c r="AA322">
        <f>IF($A322="","",IF(OR($T322=TRUE(),$T322="TRUE"),1,0))</f>
        <v/>
      </c>
      <c r="AB322">
        <f>IF($Y322=1,IFERROR(VALUE(MID($A322,2,20)),1000000000)+ROW()/100000,"")</f>
        <v/>
      </c>
    </row>
    <row r="323">
      <c r="F323" s="7">
        <f>IF($A323="","",E323*M323/100)</f>
        <v/>
      </c>
      <c r="I323" s="7" t="n"/>
      <c r="J323" s="7" t="n"/>
      <c r="L323" s="7" t="n"/>
      <c r="M323" s="7" t="n"/>
      <c r="N323" s="7" t="n"/>
      <c r="O323" s="7" t="n"/>
      <c r="R323" s="11" t="n"/>
      <c r="U323">
        <f>IF($A323="","",IF($AA323=1,Settings!$C$6,Settings!$C$7)*100)</f>
        <v/>
      </c>
      <c r="V323" s="7">
        <f>IF($A323="","",M323*U323/100)</f>
        <v/>
      </c>
      <c r="W323" s="7">
        <f>IF($A323="","",M323-V323)</f>
        <v/>
      </c>
      <c r="X323" s="7">
        <f>IF($A323="","",W323-F323)</f>
        <v/>
      </c>
      <c r="Y323">
        <f>IF($A323="","",IF(COUNTIF($A$2:$A323,$A323)=1,1,0))</f>
        <v/>
      </c>
      <c r="Z323">
        <f>IF($Y323=1,SUMPRODUCT(--($AB$2:$AB$501&lt;$AB323))+1,"")</f>
        <v/>
      </c>
      <c r="AA323">
        <f>IF($A323="","",IF(OR($T323=TRUE(),$T323="TRUE"),1,0))</f>
        <v/>
      </c>
      <c r="AB323">
        <f>IF($Y323=1,IFERROR(VALUE(MID($A323,2,20)),1000000000)+ROW()/100000,"")</f>
        <v/>
      </c>
    </row>
    <row r="324">
      <c r="F324" s="7">
        <f>IF($A324="","",E324*M324/100)</f>
        <v/>
      </c>
      <c r="I324" s="7" t="n"/>
      <c r="J324" s="7" t="n"/>
      <c r="L324" s="7" t="n"/>
      <c r="M324" s="7" t="n"/>
      <c r="N324" s="7" t="n"/>
      <c r="O324" s="7" t="n"/>
      <c r="R324" s="11" t="n"/>
      <c r="U324">
        <f>IF($A324="","",IF($AA324=1,Settings!$C$6,Settings!$C$7)*100)</f>
        <v/>
      </c>
      <c r="V324" s="7">
        <f>IF($A324="","",M324*U324/100)</f>
        <v/>
      </c>
      <c r="W324" s="7">
        <f>IF($A324="","",M324-V324)</f>
        <v/>
      </c>
      <c r="X324" s="7">
        <f>IF($A324="","",W324-F324)</f>
        <v/>
      </c>
      <c r="Y324">
        <f>IF($A324="","",IF(COUNTIF($A$2:$A324,$A324)=1,1,0))</f>
        <v/>
      </c>
      <c r="Z324">
        <f>IF($Y324=1,SUMPRODUCT(--($AB$2:$AB$501&lt;$AB324))+1,"")</f>
        <v/>
      </c>
      <c r="AA324">
        <f>IF($A324="","",IF(OR($T324=TRUE(),$T324="TRUE"),1,0))</f>
        <v/>
      </c>
      <c r="AB324">
        <f>IF($Y324=1,IFERROR(VALUE(MID($A324,2,20)),1000000000)+ROW()/100000,"")</f>
        <v/>
      </c>
    </row>
    <row r="325">
      <c r="F325" s="7">
        <f>IF($A325="","",E325*M325/100)</f>
        <v/>
      </c>
      <c r="I325" s="7" t="n"/>
      <c r="J325" s="7" t="n"/>
      <c r="L325" s="7" t="n"/>
      <c r="M325" s="7" t="n"/>
      <c r="N325" s="7" t="n"/>
      <c r="O325" s="7" t="n"/>
      <c r="R325" s="11" t="n"/>
      <c r="U325">
        <f>IF($A325="","",IF($AA325=1,Settings!$C$6,Settings!$C$7)*100)</f>
        <v/>
      </c>
      <c r="V325" s="7">
        <f>IF($A325="","",M325*U325/100)</f>
        <v/>
      </c>
      <c r="W325" s="7">
        <f>IF($A325="","",M325-V325)</f>
        <v/>
      </c>
      <c r="X325" s="7">
        <f>IF($A325="","",W325-F325)</f>
        <v/>
      </c>
      <c r="Y325">
        <f>IF($A325="","",IF(COUNTIF($A$2:$A325,$A325)=1,1,0))</f>
        <v/>
      </c>
      <c r="Z325">
        <f>IF($Y325=1,SUMPRODUCT(--($AB$2:$AB$501&lt;$AB325))+1,"")</f>
        <v/>
      </c>
      <c r="AA325">
        <f>IF($A325="","",IF(OR($T325=TRUE(),$T325="TRUE"),1,0))</f>
        <v/>
      </c>
      <c r="AB325">
        <f>IF($Y325=1,IFERROR(VALUE(MID($A325,2,20)),1000000000)+ROW()/100000,"")</f>
        <v/>
      </c>
    </row>
    <row r="326">
      <c r="F326" s="7">
        <f>IF($A326="","",E326*M326/100)</f>
        <v/>
      </c>
      <c r="I326" s="7" t="n"/>
      <c r="J326" s="7" t="n"/>
      <c r="L326" s="7" t="n"/>
      <c r="M326" s="7" t="n"/>
      <c r="N326" s="7" t="n"/>
      <c r="O326" s="7" t="n"/>
      <c r="R326" s="11" t="n"/>
      <c r="U326">
        <f>IF($A326="","",IF($AA326=1,Settings!$C$6,Settings!$C$7)*100)</f>
        <v/>
      </c>
      <c r="V326" s="7">
        <f>IF($A326="","",M326*U326/100)</f>
        <v/>
      </c>
      <c r="W326" s="7">
        <f>IF($A326="","",M326-V326)</f>
        <v/>
      </c>
      <c r="X326" s="7">
        <f>IF($A326="","",W326-F326)</f>
        <v/>
      </c>
      <c r="Y326">
        <f>IF($A326="","",IF(COUNTIF($A$2:$A326,$A326)=1,1,0))</f>
        <v/>
      </c>
      <c r="Z326">
        <f>IF($Y326=1,SUMPRODUCT(--($AB$2:$AB$501&lt;$AB326))+1,"")</f>
        <v/>
      </c>
      <c r="AA326">
        <f>IF($A326="","",IF(OR($T326=TRUE(),$T326="TRUE"),1,0))</f>
        <v/>
      </c>
      <c r="AB326">
        <f>IF($Y326=1,IFERROR(VALUE(MID($A326,2,20)),1000000000)+ROW()/100000,"")</f>
        <v/>
      </c>
    </row>
    <row r="327">
      <c r="F327" s="7">
        <f>IF($A327="","",E327*M327/100)</f>
        <v/>
      </c>
      <c r="I327" s="7" t="n"/>
      <c r="J327" s="7" t="n"/>
      <c r="L327" s="7" t="n"/>
      <c r="M327" s="7" t="n"/>
      <c r="N327" s="7" t="n"/>
      <c r="O327" s="7" t="n"/>
      <c r="R327" s="11" t="n"/>
      <c r="U327">
        <f>IF($A327="","",IF($AA327=1,Settings!$C$6,Settings!$C$7)*100)</f>
        <v/>
      </c>
      <c r="V327" s="7">
        <f>IF($A327="","",M327*U327/100)</f>
        <v/>
      </c>
      <c r="W327" s="7">
        <f>IF($A327="","",M327-V327)</f>
        <v/>
      </c>
      <c r="X327" s="7">
        <f>IF($A327="","",W327-F327)</f>
        <v/>
      </c>
      <c r="Y327">
        <f>IF($A327="","",IF(COUNTIF($A$2:$A327,$A327)=1,1,0))</f>
        <v/>
      </c>
      <c r="Z327">
        <f>IF($Y327=1,SUMPRODUCT(--($AB$2:$AB$501&lt;$AB327))+1,"")</f>
        <v/>
      </c>
      <c r="AA327">
        <f>IF($A327="","",IF(OR($T327=TRUE(),$T327="TRUE"),1,0))</f>
        <v/>
      </c>
      <c r="AB327">
        <f>IF($Y327=1,IFERROR(VALUE(MID($A327,2,20)),1000000000)+ROW()/100000,"")</f>
        <v/>
      </c>
    </row>
    <row r="328">
      <c r="F328" s="7">
        <f>IF($A328="","",E328*M328/100)</f>
        <v/>
      </c>
      <c r="I328" s="7" t="n"/>
      <c r="J328" s="7" t="n"/>
      <c r="L328" s="7" t="n"/>
      <c r="M328" s="7" t="n"/>
      <c r="N328" s="7" t="n"/>
      <c r="O328" s="7" t="n"/>
      <c r="R328" s="11" t="n"/>
      <c r="U328">
        <f>IF($A328="","",IF($AA328=1,Settings!$C$6,Settings!$C$7)*100)</f>
        <v/>
      </c>
      <c r="V328" s="7">
        <f>IF($A328="","",M328*U328/100)</f>
        <v/>
      </c>
      <c r="W328" s="7">
        <f>IF($A328="","",M328-V328)</f>
        <v/>
      </c>
      <c r="X328" s="7">
        <f>IF($A328="","",W328-F328)</f>
        <v/>
      </c>
      <c r="Y328">
        <f>IF($A328="","",IF(COUNTIF($A$2:$A328,$A328)=1,1,0))</f>
        <v/>
      </c>
      <c r="Z328">
        <f>IF($Y328=1,SUMPRODUCT(--($AB$2:$AB$501&lt;$AB328))+1,"")</f>
        <v/>
      </c>
      <c r="AA328">
        <f>IF($A328="","",IF(OR($T328=TRUE(),$T328="TRUE"),1,0))</f>
        <v/>
      </c>
      <c r="AB328">
        <f>IF($Y328=1,IFERROR(VALUE(MID($A328,2,20)),1000000000)+ROW()/100000,"")</f>
        <v/>
      </c>
    </row>
    <row r="329">
      <c r="F329" s="7">
        <f>IF($A329="","",E329*M329/100)</f>
        <v/>
      </c>
      <c r="I329" s="7" t="n"/>
      <c r="J329" s="7" t="n"/>
      <c r="L329" s="7" t="n"/>
      <c r="M329" s="7" t="n"/>
      <c r="N329" s="7" t="n"/>
      <c r="O329" s="7" t="n"/>
      <c r="R329" s="11" t="n"/>
      <c r="U329">
        <f>IF($A329="","",IF($AA329=1,Settings!$C$6,Settings!$C$7)*100)</f>
        <v/>
      </c>
      <c r="V329" s="7">
        <f>IF($A329="","",M329*U329/100)</f>
        <v/>
      </c>
      <c r="W329" s="7">
        <f>IF($A329="","",M329-V329)</f>
        <v/>
      </c>
      <c r="X329" s="7">
        <f>IF($A329="","",W329-F329)</f>
        <v/>
      </c>
      <c r="Y329">
        <f>IF($A329="","",IF(COUNTIF($A$2:$A329,$A329)=1,1,0))</f>
        <v/>
      </c>
      <c r="Z329">
        <f>IF($Y329=1,SUMPRODUCT(--($AB$2:$AB$501&lt;$AB329))+1,"")</f>
        <v/>
      </c>
      <c r="AA329">
        <f>IF($A329="","",IF(OR($T329=TRUE(),$T329="TRUE"),1,0))</f>
        <v/>
      </c>
      <c r="AB329">
        <f>IF($Y329=1,IFERROR(VALUE(MID($A329,2,20)),1000000000)+ROW()/100000,"")</f>
        <v/>
      </c>
    </row>
    <row r="330">
      <c r="F330" s="7">
        <f>IF($A330="","",E330*M330/100)</f>
        <v/>
      </c>
      <c r="I330" s="7" t="n"/>
      <c r="J330" s="7" t="n"/>
      <c r="L330" s="7" t="n"/>
      <c r="M330" s="7" t="n"/>
      <c r="N330" s="7" t="n"/>
      <c r="O330" s="7" t="n"/>
      <c r="R330" s="11" t="n"/>
      <c r="U330">
        <f>IF($A330="","",IF($AA330=1,Settings!$C$6,Settings!$C$7)*100)</f>
        <v/>
      </c>
      <c r="V330" s="7">
        <f>IF($A330="","",M330*U330/100)</f>
        <v/>
      </c>
      <c r="W330" s="7">
        <f>IF($A330="","",M330-V330)</f>
        <v/>
      </c>
      <c r="X330" s="7">
        <f>IF($A330="","",W330-F330)</f>
        <v/>
      </c>
      <c r="Y330">
        <f>IF($A330="","",IF(COUNTIF($A$2:$A330,$A330)=1,1,0))</f>
        <v/>
      </c>
      <c r="Z330">
        <f>IF($Y330=1,SUMPRODUCT(--($AB$2:$AB$501&lt;$AB330))+1,"")</f>
        <v/>
      </c>
      <c r="AA330">
        <f>IF($A330="","",IF(OR($T330=TRUE(),$T330="TRUE"),1,0))</f>
        <v/>
      </c>
      <c r="AB330">
        <f>IF($Y330=1,IFERROR(VALUE(MID($A330,2,20)),1000000000)+ROW()/100000,"")</f>
        <v/>
      </c>
    </row>
    <row r="331">
      <c r="F331" s="7">
        <f>IF($A331="","",E331*M331/100)</f>
        <v/>
      </c>
      <c r="I331" s="7" t="n"/>
      <c r="J331" s="7" t="n"/>
      <c r="L331" s="7" t="n"/>
      <c r="M331" s="7" t="n"/>
      <c r="N331" s="7" t="n"/>
      <c r="O331" s="7" t="n"/>
      <c r="R331" s="11" t="n"/>
      <c r="U331">
        <f>IF($A331="","",IF($AA331=1,Settings!$C$6,Settings!$C$7)*100)</f>
        <v/>
      </c>
      <c r="V331" s="7">
        <f>IF($A331="","",M331*U331/100)</f>
        <v/>
      </c>
      <c r="W331" s="7">
        <f>IF($A331="","",M331-V331)</f>
        <v/>
      </c>
      <c r="X331" s="7">
        <f>IF($A331="","",W331-F331)</f>
        <v/>
      </c>
      <c r="Y331">
        <f>IF($A331="","",IF(COUNTIF($A$2:$A331,$A331)=1,1,0))</f>
        <v/>
      </c>
      <c r="Z331">
        <f>IF($Y331=1,SUMPRODUCT(--($AB$2:$AB$501&lt;$AB331))+1,"")</f>
        <v/>
      </c>
      <c r="AA331">
        <f>IF($A331="","",IF(OR($T331=TRUE(),$T331="TRUE"),1,0))</f>
        <v/>
      </c>
      <c r="AB331">
        <f>IF($Y331=1,IFERROR(VALUE(MID($A331,2,20)),1000000000)+ROW()/100000,"")</f>
        <v/>
      </c>
    </row>
    <row r="332">
      <c r="F332" s="7">
        <f>IF($A332="","",E332*M332/100)</f>
        <v/>
      </c>
      <c r="I332" s="7" t="n"/>
      <c r="J332" s="7" t="n"/>
      <c r="L332" s="7" t="n"/>
      <c r="M332" s="7" t="n"/>
      <c r="N332" s="7" t="n"/>
      <c r="O332" s="7" t="n"/>
      <c r="R332" s="11" t="n"/>
      <c r="U332">
        <f>IF($A332="","",IF($AA332=1,Settings!$C$6,Settings!$C$7)*100)</f>
        <v/>
      </c>
      <c r="V332" s="7">
        <f>IF($A332="","",M332*U332/100)</f>
        <v/>
      </c>
      <c r="W332" s="7">
        <f>IF($A332="","",M332-V332)</f>
        <v/>
      </c>
      <c r="X332" s="7">
        <f>IF($A332="","",W332-F332)</f>
        <v/>
      </c>
      <c r="Y332">
        <f>IF($A332="","",IF(COUNTIF($A$2:$A332,$A332)=1,1,0))</f>
        <v/>
      </c>
      <c r="Z332">
        <f>IF($Y332=1,SUMPRODUCT(--($AB$2:$AB$501&lt;$AB332))+1,"")</f>
        <v/>
      </c>
      <c r="AA332">
        <f>IF($A332="","",IF(OR($T332=TRUE(),$T332="TRUE"),1,0))</f>
        <v/>
      </c>
      <c r="AB332">
        <f>IF($Y332=1,IFERROR(VALUE(MID($A332,2,20)),1000000000)+ROW()/100000,"")</f>
        <v/>
      </c>
    </row>
    <row r="333">
      <c r="F333" s="7">
        <f>IF($A333="","",E333*M333/100)</f>
        <v/>
      </c>
      <c r="I333" s="7" t="n"/>
      <c r="J333" s="7" t="n"/>
      <c r="L333" s="7" t="n"/>
      <c r="M333" s="7" t="n"/>
      <c r="N333" s="7" t="n"/>
      <c r="O333" s="7" t="n"/>
      <c r="R333" s="11" t="n"/>
      <c r="U333">
        <f>IF($A333="","",IF($AA333=1,Settings!$C$6,Settings!$C$7)*100)</f>
        <v/>
      </c>
      <c r="V333" s="7">
        <f>IF($A333="","",M333*U333/100)</f>
        <v/>
      </c>
      <c r="W333" s="7">
        <f>IF($A333="","",M333-V333)</f>
        <v/>
      </c>
      <c r="X333" s="7">
        <f>IF($A333="","",W333-F333)</f>
        <v/>
      </c>
      <c r="Y333">
        <f>IF($A333="","",IF(COUNTIF($A$2:$A333,$A333)=1,1,0))</f>
        <v/>
      </c>
      <c r="Z333">
        <f>IF($Y333=1,SUMPRODUCT(--($AB$2:$AB$501&lt;$AB333))+1,"")</f>
        <v/>
      </c>
      <c r="AA333">
        <f>IF($A333="","",IF(OR($T333=TRUE(),$T333="TRUE"),1,0))</f>
        <v/>
      </c>
      <c r="AB333">
        <f>IF($Y333=1,IFERROR(VALUE(MID($A333,2,20)),1000000000)+ROW()/100000,"")</f>
        <v/>
      </c>
    </row>
    <row r="334">
      <c r="F334" s="7">
        <f>IF($A334="","",E334*M334/100)</f>
        <v/>
      </c>
      <c r="I334" s="7" t="n"/>
      <c r="J334" s="7" t="n"/>
      <c r="L334" s="7" t="n"/>
      <c r="M334" s="7" t="n"/>
      <c r="N334" s="7" t="n"/>
      <c r="O334" s="7" t="n"/>
      <c r="R334" s="11" t="n"/>
      <c r="U334">
        <f>IF($A334="","",IF($AA334=1,Settings!$C$6,Settings!$C$7)*100)</f>
        <v/>
      </c>
      <c r="V334" s="7">
        <f>IF($A334="","",M334*U334/100)</f>
        <v/>
      </c>
      <c r="W334" s="7">
        <f>IF($A334="","",M334-V334)</f>
        <v/>
      </c>
      <c r="X334" s="7">
        <f>IF($A334="","",W334-F334)</f>
        <v/>
      </c>
      <c r="Y334">
        <f>IF($A334="","",IF(COUNTIF($A$2:$A334,$A334)=1,1,0))</f>
        <v/>
      </c>
      <c r="Z334">
        <f>IF($Y334=1,SUMPRODUCT(--($AB$2:$AB$501&lt;$AB334))+1,"")</f>
        <v/>
      </c>
      <c r="AA334">
        <f>IF($A334="","",IF(OR($T334=TRUE(),$T334="TRUE"),1,0))</f>
        <v/>
      </c>
      <c r="AB334">
        <f>IF($Y334=1,IFERROR(VALUE(MID($A334,2,20)),1000000000)+ROW()/100000,"")</f>
        <v/>
      </c>
    </row>
    <row r="335">
      <c r="F335" s="7">
        <f>IF($A335="","",E335*M335/100)</f>
        <v/>
      </c>
      <c r="I335" s="7" t="n"/>
      <c r="J335" s="7" t="n"/>
      <c r="L335" s="7" t="n"/>
      <c r="M335" s="7" t="n"/>
      <c r="N335" s="7" t="n"/>
      <c r="O335" s="7" t="n"/>
      <c r="R335" s="11" t="n"/>
      <c r="U335">
        <f>IF($A335="","",IF($AA335=1,Settings!$C$6,Settings!$C$7)*100)</f>
        <v/>
      </c>
      <c r="V335" s="7">
        <f>IF($A335="","",M335*U335/100)</f>
        <v/>
      </c>
      <c r="W335" s="7">
        <f>IF($A335="","",M335-V335)</f>
        <v/>
      </c>
      <c r="X335" s="7">
        <f>IF($A335="","",W335-F335)</f>
        <v/>
      </c>
      <c r="Y335">
        <f>IF($A335="","",IF(COUNTIF($A$2:$A335,$A335)=1,1,0))</f>
        <v/>
      </c>
      <c r="Z335">
        <f>IF($Y335=1,SUMPRODUCT(--($AB$2:$AB$501&lt;$AB335))+1,"")</f>
        <v/>
      </c>
      <c r="AA335">
        <f>IF($A335="","",IF(OR($T335=TRUE(),$T335="TRUE"),1,0))</f>
        <v/>
      </c>
      <c r="AB335">
        <f>IF($Y335=1,IFERROR(VALUE(MID($A335,2,20)),1000000000)+ROW()/100000,"")</f>
        <v/>
      </c>
    </row>
    <row r="336">
      <c r="F336" s="7">
        <f>IF($A336="","",E336*M336/100)</f>
        <v/>
      </c>
      <c r="I336" s="7" t="n"/>
      <c r="J336" s="7" t="n"/>
      <c r="L336" s="7" t="n"/>
      <c r="M336" s="7" t="n"/>
      <c r="N336" s="7" t="n"/>
      <c r="O336" s="7" t="n"/>
      <c r="R336" s="11" t="n"/>
      <c r="U336">
        <f>IF($A336="","",IF($AA336=1,Settings!$C$6,Settings!$C$7)*100)</f>
        <v/>
      </c>
      <c r="V336" s="7">
        <f>IF($A336="","",M336*U336/100)</f>
        <v/>
      </c>
      <c r="W336" s="7">
        <f>IF($A336="","",M336-V336)</f>
        <v/>
      </c>
      <c r="X336" s="7">
        <f>IF($A336="","",W336-F336)</f>
        <v/>
      </c>
      <c r="Y336">
        <f>IF($A336="","",IF(COUNTIF($A$2:$A336,$A336)=1,1,0))</f>
        <v/>
      </c>
      <c r="Z336">
        <f>IF($Y336=1,SUMPRODUCT(--($AB$2:$AB$501&lt;$AB336))+1,"")</f>
        <v/>
      </c>
      <c r="AA336">
        <f>IF($A336="","",IF(OR($T336=TRUE(),$T336="TRUE"),1,0))</f>
        <v/>
      </c>
      <c r="AB336">
        <f>IF($Y336=1,IFERROR(VALUE(MID($A336,2,20)),1000000000)+ROW()/100000,"")</f>
        <v/>
      </c>
    </row>
    <row r="337">
      <c r="F337" s="7">
        <f>IF($A337="","",E337*M337/100)</f>
        <v/>
      </c>
      <c r="I337" s="7" t="n"/>
      <c r="J337" s="7" t="n"/>
      <c r="L337" s="7" t="n"/>
      <c r="M337" s="7" t="n"/>
      <c r="N337" s="7" t="n"/>
      <c r="O337" s="7" t="n"/>
      <c r="R337" s="11" t="n"/>
      <c r="U337">
        <f>IF($A337="","",IF($AA337=1,Settings!$C$6,Settings!$C$7)*100)</f>
        <v/>
      </c>
      <c r="V337" s="7">
        <f>IF($A337="","",M337*U337/100)</f>
        <v/>
      </c>
      <c r="W337" s="7">
        <f>IF($A337="","",M337-V337)</f>
        <v/>
      </c>
      <c r="X337" s="7">
        <f>IF($A337="","",W337-F337)</f>
        <v/>
      </c>
      <c r="Y337">
        <f>IF($A337="","",IF(COUNTIF($A$2:$A337,$A337)=1,1,0))</f>
        <v/>
      </c>
      <c r="Z337">
        <f>IF($Y337=1,SUMPRODUCT(--($AB$2:$AB$501&lt;$AB337))+1,"")</f>
        <v/>
      </c>
      <c r="AA337">
        <f>IF($A337="","",IF(OR($T337=TRUE(),$T337="TRUE"),1,0))</f>
        <v/>
      </c>
      <c r="AB337">
        <f>IF($Y337=1,IFERROR(VALUE(MID($A337,2,20)),1000000000)+ROW()/100000,"")</f>
        <v/>
      </c>
    </row>
    <row r="338">
      <c r="F338" s="7">
        <f>IF($A338="","",E338*M338/100)</f>
        <v/>
      </c>
      <c r="I338" s="7" t="n"/>
      <c r="J338" s="7" t="n"/>
      <c r="L338" s="7" t="n"/>
      <c r="M338" s="7" t="n"/>
      <c r="N338" s="7" t="n"/>
      <c r="O338" s="7" t="n"/>
      <c r="R338" s="11" t="n"/>
      <c r="U338">
        <f>IF($A338="","",IF($AA338=1,Settings!$C$6,Settings!$C$7)*100)</f>
        <v/>
      </c>
      <c r="V338" s="7">
        <f>IF($A338="","",M338*U338/100)</f>
        <v/>
      </c>
      <c r="W338" s="7">
        <f>IF($A338="","",M338-V338)</f>
        <v/>
      </c>
      <c r="X338" s="7">
        <f>IF($A338="","",W338-F338)</f>
        <v/>
      </c>
      <c r="Y338">
        <f>IF($A338="","",IF(COUNTIF($A$2:$A338,$A338)=1,1,0))</f>
        <v/>
      </c>
      <c r="Z338">
        <f>IF($Y338=1,SUMPRODUCT(--($AB$2:$AB$501&lt;$AB338))+1,"")</f>
        <v/>
      </c>
      <c r="AA338">
        <f>IF($A338="","",IF(OR($T338=TRUE(),$T338="TRUE"),1,0))</f>
        <v/>
      </c>
      <c r="AB338">
        <f>IF($Y338=1,IFERROR(VALUE(MID($A338,2,20)),1000000000)+ROW()/100000,"")</f>
        <v/>
      </c>
    </row>
    <row r="339">
      <c r="F339" s="7">
        <f>IF($A339="","",E339*M339/100)</f>
        <v/>
      </c>
      <c r="I339" s="7" t="n"/>
      <c r="J339" s="7" t="n"/>
      <c r="L339" s="7" t="n"/>
      <c r="M339" s="7" t="n"/>
      <c r="N339" s="7" t="n"/>
      <c r="O339" s="7" t="n"/>
      <c r="R339" s="11" t="n"/>
      <c r="U339">
        <f>IF($A339="","",IF($AA339=1,Settings!$C$6,Settings!$C$7)*100)</f>
        <v/>
      </c>
      <c r="V339" s="7">
        <f>IF($A339="","",M339*U339/100)</f>
        <v/>
      </c>
      <c r="W339" s="7">
        <f>IF($A339="","",M339-V339)</f>
        <v/>
      </c>
      <c r="X339" s="7">
        <f>IF($A339="","",W339-F339)</f>
        <v/>
      </c>
      <c r="Y339">
        <f>IF($A339="","",IF(COUNTIF($A$2:$A339,$A339)=1,1,0))</f>
        <v/>
      </c>
      <c r="Z339">
        <f>IF($Y339=1,SUMPRODUCT(--($AB$2:$AB$501&lt;$AB339))+1,"")</f>
        <v/>
      </c>
      <c r="AA339">
        <f>IF($A339="","",IF(OR($T339=TRUE(),$T339="TRUE"),1,0))</f>
        <v/>
      </c>
      <c r="AB339">
        <f>IF($Y339=1,IFERROR(VALUE(MID($A339,2,20)),1000000000)+ROW()/100000,"")</f>
        <v/>
      </c>
    </row>
    <row r="340">
      <c r="F340" s="7">
        <f>IF($A340="","",E340*M340/100)</f>
        <v/>
      </c>
      <c r="I340" s="7" t="n"/>
      <c r="J340" s="7" t="n"/>
      <c r="L340" s="7" t="n"/>
      <c r="M340" s="7" t="n"/>
      <c r="N340" s="7" t="n"/>
      <c r="O340" s="7" t="n"/>
      <c r="R340" s="11" t="n"/>
      <c r="U340">
        <f>IF($A340="","",IF($AA340=1,Settings!$C$6,Settings!$C$7)*100)</f>
        <v/>
      </c>
      <c r="V340" s="7">
        <f>IF($A340="","",M340*U340/100)</f>
        <v/>
      </c>
      <c r="W340" s="7">
        <f>IF($A340="","",M340-V340)</f>
        <v/>
      </c>
      <c r="X340" s="7">
        <f>IF($A340="","",W340-F340)</f>
        <v/>
      </c>
      <c r="Y340">
        <f>IF($A340="","",IF(COUNTIF($A$2:$A340,$A340)=1,1,0))</f>
        <v/>
      </c>
      <c r="Z340">
        <f>IF($Y340=1,SUMPRODUCT(--($AB$2:$AB$501&lt;$AB340))+1,"")</f>
        <v/>
      </c>
      <c r="AA340">
        <f>IF($A340="","",IF(OR($T340=TRUE(),$T340="TRUE"),1,0))</f>
        <v/>
      </c>
      <c r="AB340">
        <f>IF($Y340=1,IFERROR(VALUE(MID($A340,2,20)),1000000000)+ROW()/100000,"")</f>
        <v/>
      </c>
    </row>
    <row r="341">
      <c r="F341" s="7">
        <f>IF($A341="","",E341*M341/100)</f>
        <v/>
      </c>
      <c r="I341" s="7" t="n"/>
      <c r="J341" s="7" t="n"/>
      <c r="L341" s="7" t="n"/>
      <c r="M341" s="7" t="n"/>
      <c r="N341" s="7" t="n"/>
      <c r="O341" s="7" t="n"/>
      <c r="R341" s="11" t="n"/>
      <c r="U341">
        <f>IF($A341="","",IF($AA341=1,Settings!$C$6,Settings!$C$7)*100)</f>
        <v/>
      </c>
      <c r="V341" s="7">
        <f>IF($A341="","",M341*U341/100)</f>
        <v/>
      </c>
      <c r="W341" s="7">
        <f>IF($A341="","",M341-V341)</f>
        <v/>
      </c>
      <c r="X341" s="7">
        <f>IF($A341="","",W341-F341)</f>
        <v/>
      </c>
      <c r="Y341">
        <f>IF($A341="","",IF(COUNTIF($A$2:$A341,$A341)=1,1,0))</f>
        <v/>
      </c>
      <c r="Z341">
        <f>IF($Y341=1,SUMPRODUCT(--($AB$2:$AB$501&lt;$AB341))+1,"")</f>
        <v/>
      </c>
      <c r="AA341">
        <f>IF($A341="","",IF(OR($T341=TRUE(),$T341="TRUE"),1,0))</f>
        <v/>
      </c>
      <c r="AB341">
        <f>IF($Y341=1,IFERROR(VALUE(MID($A341,2,20)),1000000000)+ROW()/100000,"")</f>
        <v/>
      </c>
    </row>
    <row r="342">
      <c r="F342" s="7">
        <f>IF($A342="","",E342*M342/100)</f>
        <v/>
      </c>
      <c r="I342" s="7" t="n"/>
      <c r="J342" s="7" t="n"/>
      <c r="L342" s="7" t="n"/>
      <c r="M342" s="7" t="n"/>
      <c r="N342" s="7" t="n"/>
      <c r="O342" s="7" t="n"/>
      <c r="R342" s="11" t="n"/>
      <c r="U342">
        <f>IF($A342="","",IF($AA342=1,Settings!$C$6,Settings!$C$7)*100)</f>
        <v/>
      </c>
      <c r="V342" s="7">
        <f>IF($A342="","",M342*U342/100)</f>
        <v/>
      </c>
      <c r="W342" s="7">
        <f>IF($A342="","",M342-V342)</f>
        <v/>
      </c>
      <c r="X342" s="7">
        <f>IF($A342="","",W342-F342)</f>
        <v/>
      </c>
      <c r="Y342">
        <f>IF($A342="","",IF(COUNTIF($A$2:$A342,$A342)=1,1,0))</f>
        <v/>
      </c>
      <c r="Z342">
        <f>IF($Y342=1,SUMPRODUCT(--($AB$2:$AB$501&lt;$AB342))+1,"")</f>
        <v/>
      </c>
      <c r="AA342">
        <f>IF($A342="","",IF(OR($T342=TRUE(),$T342="TRUE"),1,0))</f>
        <v/>
      </c>
      <c r="AB342">
        <f>IF($Y342=1,IFERROR(VALUE(MID($A342,2,20)),1000000000)+ROW()/100000,"")</f>
        <v/>
      </c>
    </row>
    <row r="343">
      <c r="F343" s="7">
        <f>IF($A343="","",E343*M343/100)</f>
        <v/>
      </c>
      <c r="I343" s="7" t="n"/>
      <c r="J343" s="7" t="n"/>
      <c r="L343" s="7" t="n"/>
      <c r="M343" s="7" t="n"/>
      <c r="N343" s="7" t="n"/>
      <c r="O343" s="7" t="n"/>
      <c r="R343" s="11" t="n"/>
      <c r="U343">
        <f>IF($A343="","",IF($AA343=1,Settings!$C$6,Settings!$C$7)*100)</f>
        <v/>
      </c>
      <c r="V343" s="7">
        <f>IF($A343="","",M343*U343/100)</f>
        <v/>
      </c>
      <c r="W343" s="7">
        <f>IF($A343="","",M343-V343)</f>
        <v/>
      </c>
      <c r="X343" s="7">
        <f>IF($A343="","",W343-F343)</f>
        <v/>
      </c>
      <c r="Y343">
        <f>IF($A343="","",IF(COUNTIF($A$2:$A343,$A343)=1,1,0))</f>
        <v/>
      </c>
      <c r="Z343">
        <f>IF($Y343=1,SUMPRODUCT(--($AB$2:$AB$501&lt;$AB343))+1,"")</f>
        <v/>
      </c>
      <c r="AA343">
        <f>IF($A343="","",IF(OR($T343=TRUE(),$T343="TRUE"),1,0))</f>
        <v/>
      </c>
      <c r="AB343">
        <f>IF($Y343=1,IFERROR(VALUE(MID($A343,2,20)),1000000000)+ROW()/100000,"")</f>
        <v/>
      </c>
    </row>
    <row r="344">
      <c r="F344" s="7">
        <f>IF($A344="","",E344*M344/100)</f>
        <v/>
      </c>
      <c r="I344" s="7" t="n"/>
      <c r="J344" s="7" t="n"/>
      <c r="L344" s="7" t="n"/>
      <c r="M344" s="7" t="n"/>
      <c r="N344" s="7" t="n"/>
      <c r="O344" s="7" t="n"/>
      <c r="R344" s="11" t="n"/>
      <c r="U344">
        <f>IF($A344="","",IF($AA344=1,Settings!$C$6,Settings!$C$7)*100)</f>
        <v/>
      </c>
      <c r="V344" s="7">
        <f>IF($A344="","",M344*U344/100)</f>
        <v/>
      </c>
      <c r="W344" s="7">
        <f>IF($A344="","",M344-V344)</f>
        <v/>
      </c>
      <c r="X344" s="7">
        <f>IF($A344="","",W344-F344)</f>
        <v/>
      </c>
      <c r="Y344">
        <f>IF($A344="","",IF(COUNTIF($A$2:$A344,$A344)=1,1,0))</f>
        <v/>
      </c>
      <c r="Z344">
        <f>IF($Y344=1,SUMPRODUCT(--($AB$2:$AB$501&lt;$AB344))+1,"")</f>
        <v/>
      </c>
      <c r="AA344">
        <f>IF($A344="","",IF(OR($T344=TRUE(),$T344="TRUE"),1,0))</f>
        <v/>
      </c>
      <c r="AB344">
        <f>IF($Y344=1,IFERROR(VALUE(MID($A344,2,20)),1000000000)+ROW()/100000,"")</f>
        <v/>
      </c>
    </row>
    <row r="345">
      <c r="F345" s="7">
        <f>IF($A345="","",E345*M345/100)</f>
        <v/>
      </c>
      <c r="I345" s="7" t="n"/>
      <c r="J345" s="7" t="n"/>
      <c r="L345" s="7" t="n"/>
      <c r="M345" s="7" t="n"/>
      <c r="N345" s="7" t="n"/>
      <c r="O345" s="7" t="n"/>
      <c r="R345" s="11" t="n"/>
      <c r="U345">
        <f>IF($A345="","",IF($AA345=1,Settings!$C$6,Settings!$C$7)*100)</f>
        <v/>
      </c>
      <c r="V345" s="7">
        <f>IF($A345="","",M345*U345/100)</f>
        <v/>
      </c>
      <c r="W345" s="7">
        <f>IF($A345="","",M345-V345)</f>
        <v/>
      </c>
      <c r="X345" s="7">
        <f>IF($A345="","",W345-F345)</f>
        <v/>
      </c>
      <c r="Y345">
        <f>IF($A345="","",IF(COUNTIF($A$2:$A345,$A345)=1,1,0))</f>
        <v/>
      </c>
      <c r="Z345">
        <f>IF($Y345=1,SUMPRODUCT(--($AB$2:$AB$501&lt;$AB345))+1,"")</f>
        <v/>
      </c>
      <c r="AA345">
        <f>IF($A345="","",IF(OR($T345=TRUE(),$T345="TRUE"),1,0))</f>
        <v/>
      </c>
      <c r="AB345">
        <f>IF($Y345=1,IFERROR(VALUE(MID($A345,2,20)),1000000000)+ROW()/100000,"")</f>
        <v/>
      </c>
    </row>
    <row r="346">
      <c r="F346" s="7">
        <f>IF($A346="","",E346*M346/100)</f>
        <v/>
      </c>
      <c r="I346" s="7" t="n"/>
      <c r="J346" s="7" t="n"/>
      <c r="L346" s="7" t="n"/>
      <c r="M346" s="7" t="n"/>
      <c r="N346" s="7" t="n"/>
      <c r="O346" s="7" t="n"/>
      <c r="R346" s="11" t="n"/>
      <c r="U346">
        <f>IF($A346="","",IF($AA346=1,Settings!$C$6,Settings!$C$7)*100)</f>
        <v/>
      </c>
      <c r="V346" s="7">
        <f>IF($A346="","",M346*U346/100)</f>
        <v/>
      </c>
      <c r="W346" s="7">
        <f>IF($A346="","",M346-V346)</f>
        <v/>
      </c>
      <c r="X346" s="7">
        <f>IF($A346="","",W346-F346)</f>
        <v/>
      </c>
      <c r="Y346">
        <f>IF($A346="","",IF(COUNTIF($A$2:$A346,$A346)=1,1,0))</f>
        <v/>
      </c>
      <c r="Z346">
        <f>IF($Y346=1,SUMPRODUCT(--($AB$2:$AB$501&lt;$AB346))+1,"")</f>
        <v/>
      </c>
      <c r="AA346">
        <f>IF($A346="","",IF(OR($T346=TRUE(),$T346="TRUE"),1,0))</f>
        <v/>
      </c>
      <c r="AB346">
        <f>IF($Y346=1,IFERROR(VALUE(MID($A346,2,20)),1000000000)+ROW()/100000,"")</f>
        <v/>
      </c>
    </row>
    <row r="347">
      <c r="F347" s="7">
        <f>IF($A347="","",E347*M347/100)</f>
        <v/>
      </c>
      <c r="I347" s="7" t="n"/>
      <c r="J347" s="7" t="n"/>
      <c r="L347" s="7" t="n"/>
      <c r="M347" s="7" t="n"/>
      <c r="N347" s="7" t="n"/>
      <c r="O347" s="7" t="n"/>
      <c r="R347" s="11" t="n"/>
      <c r="U347">
        <f>IF($A347="","",IF($AA347=1,Settings!$C$6,Settings!$C$7)*100)</f>
        <v/>
      </c>
      <c r="V347" s="7">
        <f>IF($A347="","",M347*U347/100)</f>
        <v/>
      </c>
      <c r="W347" s="7">
        <f>IF($A347="","",M347-V347)</f>
        <v/>
      </c>
      <c r="X347" s="7">
        <f>IF($A347="","",W347-F347)</f>
        <v/>
      </c>
      <c r="Y347">
        <f>IF($A347="","",IF(COUNTIF($A$2:$A347,$A347)=1,1,0))</f>
        <v/>
      </c>
      <c r="Z347">
        <f>IF($Y347=1,SUMPRODUCT(--($AB$2:$AB$501&lt;$AB347))+1,"")</f>
        <v/>
      </c>
      <c r="AA347">
        <f>IF($A347="","",IF(OR($T347=TRUE(),$T347="TRUE"),1,0))</f>
        <v/>
      </c>
      <c r="AB347">
        <f>IF($Y347=1,IFERROR(VALUE(MID($A347,2,20)),1000000000)+ROW()/100000,"")</f>
        <v/>
      </c>
    </row>
    <row r="348">
      <c r="F348" s="7">
        <f>IF($A348="","",E348*M348/100)</f>
        <v/>
      </c>
      <c r="I348" s="7" t="n"/>
      <c r="J348" s="7" t="n"/>
      <c r="L348" s="7" t="n"/>
      <c r="M348" s="7" t="n"/>
      <c r="N348" s="7" t="n"/>
      <c r="O348" s="7" t="n"/>
      <c r="R348" s="11" t="n"/>
      <c r="U348">
        <f>IF($A348="","",IF($AA348=1,Settings!$C$6,Settings!$C$7)*100)</f>
        <v/>
      </c>
      <c r="V348" s="7">
        <f>IF($A348="","",M348*U348/100)</f>
        <v/>
      </c>
      <c r="W348" s="7">
        <f>IF($A348="","",M348-V348)</f>
        <v/>
      </c>
      <c r="X348" s="7">
        <f>IF($A348="","",W348-F348)</f>
        <v/>
      </c>
      <c r="Y348">
        <f>IF($A348="","",IF(COUNTIF($A$2:$A348,$A348)=1,1,0))</f>
        <v/>
      </c>
      <c r="Z348">
        <f>IF($Y348=1,SUMPRODUCT(--($AB$2:$AB$501&lt;$AB348))+1,"")</f>
        <v/>
      </c>
      <c r="AA348">
        <f>IF($A348="","",IF(OR($T348=TRUE(),$T348="TRUE"),1,0))</f>
        <v/>
      </c>
      <c r="AB348">
        <f>IF($Y348=1,IFERROR(VALUE(MID($A348,2,20)),1000000000)+ROW()/100000,"")</f>
        <v/>
      </c>
    </row>
    <row r="349">
      <c r="F349" s="7">
        <f>IF($A349="","",E349*M349/100)</f>
        <v/>
      </c>
      <c r="I349" s="7" t="n"/>
      <c r="J349" s="7" t="n"/>
      <c r="L349" s="7" t="n"/>
      <c r="M349" s="7" t="n"/>
      <c r="N349" s="7" t="n"/>
      <c r="O349" s="7" t="n"/>
      <c r="R349" s="11" t="n"/>
      <c r="U349">
        <f>IF($A349="","",IF($AA349=1,Settings!$C$6,Settings!$C$7)*100)</f>
        <v/>
      </c>
      <c r="V349" s="7">
        <f>IF($A349="","",M349*U349/100)</f>
        <v/>
      </c>
      <c r="W349" s="7">
        <f>IF($A349="","",M349-V349)</f>
        <v/>
      </c>
      <c r="X349" s="7">
        <f>IF($A349="","",W349-F349)</f>
        <v/>
      </c>
      <c r="Y349">
        <f>IF($A349="","",IF(COUNTIF($A$2:$A349,$A349)=1,1,0))</f>
        <v/>
      </c>
      <c r="Z349">
        <f>IF($Y349=1,SUMPRODUCT(--($AB$2:$AB$501&lt;$AB349))+1,"")</f>
        <v/>
      </c>
      <c r="AA349">
        <f>IF($A349="","",IF(OR($T349=TRUE(),$T349="TRUE"),1,0))</f>
        <v/>
      </c>
      <c r="AB349">
        <f>IF($Y349=1,IFERROR(VALUE(MID($A349,2,20)),1000000000)+ROW()/100000,"")</f>
        <v/>
      </c>
    </row>
    <row r="350">
      <c r="F350" s="7">
        <f>IF($A350="","",E350*M350/100)</f>
        <v/>
      </c>
      <c r="I350" s="7" t="n"/>
      <c r="J350" s="7" t="n"/>
      <c r="L350" s="7" t="n"/>
      <c r="M350" s="7" t="n"/>
      <c r="N350" s="7" t="n"/>
      <c r="O350" s="7" t="n"/>
      <c r="R350" s="11" t="n"/>
      <c r="U350">
        <f>IF($A350="","",IF($AA350=1,Settings!$C$6,Settings!$C$7)*100)</f>
        <v/>
      </c>
      <c r="V350" s="7">
        <f>IF($A350="","",M350*U350/100)</f>
        <v/>
      </c>
      <c r="W350" s="7">
        <f>IF($A350="","",M350-V350)</f>
        <v/>
      </c>
      <c r="X350" s="7">
        <f>IF($A350="","",W350-F350)</f>
        <v/>
      </c>
      <c r="Y350">
        <f>IF($A350="","",IF(COUNTIF($A$2:$A350,$A350)=1,1,0))</f>
        <v/>
      </c>
      <c r="Z350">
        <f>IF($Y350=1,SUMPRODUCT(--($AB$2:$AB$501&lt;$AB350))+1,"")</f>
        <v/>
      </c>
      <c r="AA350">
        <f>IF($A350="","",IF(OR($T350=TRUE(),$T350="TRUE"),1,0))</f>
        <v/>
      </c>
      <c r="AB350">
        <f>IF($Y350=1,IFERROR(VALUE(MID($A350,2,20)),1000000000)+ROW()/100000,"")</f>
        <v/>
      </c>
    </row>
    <row r="351">
      <c r="F351" s="7">
        <f>IF($A351="","",E351*M351/100)</f>
        <v/>
      </c>
      <c r="I351" s="7" t="n"/>
      <c r="J351" s="7" t="n"/>
      <c r="L351" s="7" t="n"/>
      <c r="M351" s="7" t="n"/>
      <c r="N351" s="7" t="n"/>
      <c r="O351" s="7" t="n"/>
      <c r="R351" s="11" t="n"/>
      <c r="U351">
        <f>IF($A351="","",IF($AA351=1,Settings!$C$6,Settings!$C$7)*100)</f>
        <v/>
      </c>
      <c r="V351" s="7">
        <f>IF($A351="","",M351*U351/100)</f>
        <v/>
      </c>
      <c r="W351" s="7">
        <f>IF($A351="","",M351-V351)</f>
        <v/>
      </c>
      <c r="X351" s="7">
        <f>IF($A351="","",W351-F351)</f>
        <v/>
      </c>
      <c r="Y351">
        <f>IF($A351="","",IF(COUNTIF($A$2:$A351,$A351)=1,1,0))</f>
        <v/>
      </c>
      <c r="Z351">
        <f>IF($Y351=1,SUMPRODUCT(--($AB$2:$AB$501&lt;$AB351))+1,"")</f>
        <v/>
      </c>
      <c r="AA351">
        <f>IF($A351="","",IF(OR($T351=TRUE(),$T351="TRUE"),1,0))</f>
        <v/>
      </c>
      <c r="AB351">
        <f>IF($Y351=1,IFERROR(VALUE(MID($A351,2,20)),1000000000)+ROW()/100000,"")</f>
        <v/>
      </c>
    </row>
    <row r="352">
      <c r="F352" s="7">
        <f>IF($A352="","",E352*M352/100)</f>
        <v/>
      </c>
      <c r="I352" s="7" t="n"/>
      <c r="J352" s="7" t="n"/>
      <c r="L352" s="7" t="n"/>
      <c r="M352" s="7" t="n"/>
      <c r="N352" s="7" t="n"/>
      <c r="O352" s="7" t="n"/>
      <c r="R352" s="11" t="n"/>
      <c r="U352">
        <f>IF($A352="","",IF($AA352=1,Settings!$C$6,Settings!$C$7)*100)</f>
        <v/>
      </c>
      <c r="V352" s="7">
        <f>IF($A352="","",M352*U352/100)</f>
        <v/>
      </c>
      <c r="W352" s="7">
        <f>IF($A352="","",M352-V352)</f>
        <v/>
      </c>
      <c r="X352" s="7">
        <f>IF($A352="","",W352-F352)</f>
        <v/>
      </c>
      <c r="Y352">
        <f>IF($A352="","",IF(COUNTIF($A$2:$A352,$A352)=1,1,0))</f>
        <v/>
      </c>
      <c r="Z352">
        <f>IF($Y352=1,SUMPRODUCT(--($AB$2:$AB$501&lt;$AB352))+1,"")</f>
        <v/>
      </c>
      <c r="AA352">
        <f>IF($A352="","",IF(OR($T352=TRUE(),$T352="TRUE"),1,0))</f>
        <v/>
      </c>
      <c r="AB352">
        <f>IF($Y352=1,IFERROR(VALUE(MID($A352,2,20)),1000000000)+ROW()/100000,"")</f>
        <v/>
      </c>
    </row>
    <row r="353">
      <c r="F353" s="7">
        <f>IF($A353="","",E353*M353/100)</f>
        <v/>
      </c>
      <c r="I353" s="7" t="n"/>
      <c r="J353" s="7" t="n"/>
      <c r="L353" s="7" t="n"/>
      <c r="M353" s="7" t="n"/>
      <c r="N353" s="7" t="n"/>
      <c r="O353" s="7" t="n"/>
      <c r="R353" s="11" t="n"/>
      <c r="U353">
        <f>IF($A353="","",IF($AA353=1,Settings!$C$6,Settings!$C$7)*100)</f>
        <v/>
      </c>
      <c r="V353" s="7">
        <f>IF($A353="","",M353*U353/100)</f>
        <v/>
      </c>
      <c r="W353" s="7">
        <f>IF($A353="","",M353-V353)</f>
        <v/>
      </c>
      <c r="X353" s="7">
        <f>IF($A353="","",W353-F353)</f>
        <v/>
      </c>
      <c r="Y353">
        <f>IF($A353="","",IF(COUNTIF($A$2:$A353,$A353)=1,1,0))</f>
        <v/>
      </c>
      <c r="Z353">
        <f>IF($Y353=1,SUMPRODUCT(--($AB$2:$AB$501&lt;$AB353))+1,"")</f>
        <v/>
      </c>
      <c r="AA353">
        <f>IF($A353="","",IF(OR($T353=TRUE(),$T353="TRUE"),1,0))</f>
        <v/>
      </c>
      <c r="AB353">
        <f>IF($Y353=1,IFERROR(VALUE(MID($A353,2,20)),1000000000)+ROW()/100000,"")</f>
        <v/>
      </c>
    </row>
    <row r="354">
      <c r="F354" s="7">
        <f>IF($A354="","",E354*M354/100)</f>
        <v/>
      </c>
      <c r="I354" s="7" t="n"/>
      <c r="J354" s="7" t="n"/>
      <c r="L354" s="7" t="n"/>
      <c r="M354" s="7" t="n"/>
      <c r="N354" s="7" t="n"/>
      <c r="O354" s="7" t="n"/>
      <c r="R354" s="11" t="n"/>
      <c r="U354">
        <f>IF($A354="","",IF($AA354=1,Settings!$C$6,Settings!$C$7)*100)</f>
        <v/>
      </c>
      <c r="V354" s="7">
        <f>IF($A354="","",M354*U354/100)</f>
        <v/>
      </c>
      <c r="W354" s="7">
        <f>IF($A354="","",M354-V354)</f>
        <v/>
      </c>
      <c r="X354" s="7">
        <f>IF($A354="","",W354-F354)</f>
        <v/>
      </c>
      <c r="Y354">
        <f>IF($A354="","",IF(COUNTIF($A$2:$A354,$A354)=1,1,0))</f>
        <v/>
      </c>
      <c r="Z354">
        <f>IF($Y354=1,SUMPRODUCT(--($AB$2:$AB$501&lt;$AB354))+1,"")</f>
        <v/>
      </c>
      <c r="AA354">
        <f>IF($A354="","",IF(OR($T354=TRUE(),$T354="TRUE"),1,0))</f>
        <v/>
      </c>
      <c r="AB354">
        <f>IF($Y354=1,IFERROR(VALUE(MID($A354,2,20)),1000000000)+ROW()/100000,"")</f>
        <v/>
      </c>
    </row>
    <row r="355">
      <c r="F355" s="7">
        <f>IF($A355="","",E355*M355/100)</f>
        <v/>
      </c>
      <c r="I355" s="7" t="n"/>
      <c r="J355" s="7" t="n"/>
      <c r="L355" s="7" t="n"/>
      <c r="M355" s="7" t="n"/>
      <c r="N355" s="7" t="n"/>
      <c r="O355" s="7" t="n"/>
      <c r="R355" s="11" t="n"/>
      <c r="U355">
        <f>IF($A355="","",IF($AA355=1,Settings!$C$6,Settings!$C$7)*100)</f>
        <v/>
      </c>
      <c r="V355" s="7">
        <f>IF($A355="","",M355*U355/100)</f>
        <v/>
      </c>
      <c r="W355" s="7">
        <f>IF($A355="","",M355-V355)</f>
        <v/>
      </c>
      <c r="X355" s="7">
        <f>IF($A355="","",W355-F355)</f>
        <v/>
      </c>
      <c r="Y355">
        <f>IF($A355="","",IF(COUNTIF($A$2:$A355,$A355)=1,1,0))</f>
        <v/>
      </c>
      <c r="Z355">
        <f>IF($Y355=1,SUMPRODUCT(--($AB$2:$AB$501&lt;$AB355))+1,"")</f>
        <v/>
      </c>
      <c r="AA355">
        <f>IF($A355="","",IF(OR($T355=TRUE(),$T355="TRUE"),1,0))</f>
        <v/>
      </c>
      <c r="AB355">
        <f>IF($Y355=1,IFERROR(VALUE(MID($A355,2,20)),1000000000)+ROW()/100000,"")</f>
        <v/>
      </c>
    </row>
    <row r="356">
      <c r="F356" s="7">
        <f>IF($A356="","",E356*M356/100)</f>
        <v/>
      </c>
      <c r="I356" s="7" t="n"/>
      <c r="J356" s="7" t="n"/>
      <c r="L356" s="7" t="n"/>
      <c r="M356" s="7" t="n"/>
      <c r="N356" s="7" t="n"/>
      <c r="O356" s="7" t="n"/>
      <c r="R356" s="11" t="n"/>
      <c r="U356">
        <f>IF($A356="","",IF($AA356=1,Settings!$C$6,Settings!$C$7)*100)</f>
        <v/>
      </c>
      <c r="V356" s="7">
        <f>IF($A356="","",M356*U356/100)</f>
        <v/>
      </c>
      <c r="W356" s="7">
        <f>IF($A356="","",M356-V356)</f>
        <v/>
      </c>
      <c r="X356" s="7">
        <f>IF($A356="","",W356-F356)</f>
        <v/>
      </c>
      <c r="Y356">
        <f>IF($A356="","",IF(COUNTIF($A$2:$A356,$A356)=1,1,0))</f>
        <v/>
      </c>
      <c r="Z356">
        <f>IF($Y356=1,SUMPRODUCT(--($AB$2:$AB$501&lt;$AB356))+1,"")</f>
        <v/>
      </c>
      <c r="AA356">
        <f>IF($A356="","",IF(OR($T356=TRUE(),$T356="TRUE"),1,0))</f>
        <v/>
      </c>
      <c r="AB356">
        <f>IF($Y356=1,IFERROR(VALUE(MID($A356,2,20)),1000000000)+ROW()/100000,"")</f>
        <v/>
      </c>
    </row>
    <row r="357">
      <c r="F357" s="7">
        <f>IF($A357="","",E357*M357/100)</f>
        <v/>
      </c>
      <c r="I357" s="7" t="n"/>
      <c r="J357" s="7" t="n"/>
      <c r="L357" s="7" t="n"/>
      <c r="M357" s="7" t="n"/>
      <c r="N357" s="7" t="n"/>
      <c r="O357" s="7" t="n"/>
      <c r="R357" s="11" t="n"/>
      <c r="U357">
        <f>IF($A357="","",IF($AA357=1,Settings!$C$6,Settings!$C$7)*100)</f>
        <v/>
      </c>
      <c r="V357" s="7">
        <f>IF($A357="","",M357*U357/100)</f>
        <v/>
      </c>
      <c r="W357" s="7">
        <f>IF($A357="","",M357-V357)</f>
        <v/>
      </c>
      <c r="X357" s="7">
        <f>IF($A357="","",W357-F357)</f>
        <v/>
      </c>
      <c r="Y357">
        <f>IF($A357="","",IF(COUNTIF($A$2:$A357,$A357)=1,1,0))</f>
        <v/>
      </c>
      <c r="Z357">
        <f>IF($Y357=1,SUMPRODUCT(--($AB$2:$AB$501&lt;$AB357))+1,"")</f>
        <v/>
      </c>
      <c r="AA357">
        <f>IF($A357="","",IF(OR($T357=TRUE(),$T357="TRUE"),1,0))</f>
        <v/>
      </c>
      <c r="AB357">
        <f>IF($Y357=1,IFERROR(VALUE(MID($A357,2,20)),1000000000)+ROW()/100000,"")</f>
        <v/>
      </c>
    </row>
    <row r="358">
      <c r="F358" s="7">
        <f>IF($A358="","",E358*M358/100)</f>
        <v/>
      </c>
      <c r="I358" s="7" t="n"/>
      <c r="J358" s="7" t="n"/>
      <c r="L358" s="7" t="n"/>
      <c r="M358" s="7" t="n"/>
      <c r="N358" s="7" t="n"/>
      <c r="O358" s="7" t="n"/>
      <c r="R358" s="11" t="n"/>
      <c r="U358">
        <f>IF($A358="","",IF($AA358=1,Settings!$C$6,Settings!$C$7)*100)</f>
        <v/>
      </c>
      <c r="V358" s="7">
        <f>IF($A358="","",M358*U358/100)</f>
        <v/>
      </c>
      <c r="W358" s="7">
        <f>IF($A358="","",M358-V358)</f>
        <v/>
      </c>
      <c r="X358" s="7">
        <f>IF($A358="","",W358-F358)</f>
        <v/>
      </c>
      <c r="Y358">
        <f>IF($A358="","",IF(COUNTIF($A$2:$A358,$A358)=1,1,0))</f>
        <v/>
      </c>
      <c r="Z358">
        <f>IF($Y358=1,SUMPRODUCT(--($AB$2:$AB$501&lt;$AB358))+1,"")</f>
        <v/>
      </c>
      <c r="AA358">
        <f>IF($A358="","",IF(OR($T358=TRUE(),$T358="TRUE"),1,0))</f>
        <v/>
      </c>
      <c r="AB358">
        <f>IF($Y358=1,IFERROR(VALUE(MID($A358,2,20)),1000000000)+ROW()/100000,"")</f>
        <v/>
      </c>
    </row>
    <row r="359">
      <c r="F359" s="7">
        <f>IF($A359="","",E359*M359/100)</f>
        <v/>
      </c>
      <c r="I359" s="7" t="n"/>
      <c r="J359" s="7" t="n"/>
      <c r="L359" s="7" t="n"/>
      <c r="M359" s="7" t="n"/>
      <c r="N359" s="7" t="n"/>
      <c r="O359" s="7" t="n"/>
      <c r="R359" s="11" t="n"/>
      <c r="U359">
        <f>IF($A359="","",IF($AA359=1,Settings!$C$6,Settings!$C$7)*100)</f>
        <v/>
      </c>
      <c r="V359" s="7">
        <f>IF($A359="","",M359*U359/100)</f>
        <v/>
      </c>
      <c r="W359" s="7">
        <f>IF($A359="","",M359-V359)</f>
        <v/>
      </c>
      <c r="X359" s="7">
        <f>IF($A359="","",W359-F359)</f>
        <v/>
      </c>
      <c r="Y359">
        <f>IF($A359="","",IF(COUNTIF($A$2:$A359,$A359)=1,1,0))</f>
        <v/>
      </c>
      <c r="Z359">
        <f>IF($Y359=1,SUMPRODUCT(--($AB$2:$AB$501&lt;$AB359))+1,"")</f>
        <v/>
      </c>
      <c r="AA359">
        <f>IF($A359="","",IF(OR($T359=TRUE(),$T359="TRUE"),1,0))</f>
        <v/>
      </c>
      <c r="AB359">
        <f>IF($Y359=1,IFERROR(VALUE(MID($A359,2,20)),1000000000)+ROW()/100000,"")</f>
        <v/>
      </c>
    </row>
    <row r="360">
      <c r="F360" s="7">
        <f>IF($A360="","",E360*M360/100)</f>
        <v/>
      </c>
      <c r="I360" s="7" t="n"/>
      <c r="J360" s="7" t="n"/>
      <c r="L360" s="7" t="n"/>
      <c r="M360" s="7" t="n"/>
      <c r="N360" s="7" t="n"/>
      <c r="O360" s="7" t="n"/>
      <c r="R360" s="11" t="n"/>
      <c r="U360">
        <f>IF($A360="","",IF($AA360=1,Settings!$C$6,Settings!$C$7)*100)</f>
        <v/>
      </c>
      <c r="V360" s="7">
        <f>IF($A360="","",M360*U360/100)</f>
        <v/>
      </c>
      <c r="W360" s="7">
        <f>IF($A360="","",M360-V360)</f>
        <v/>
      </c>
      <c r="X360" s="7">
        <f>IF($A360="","",W360-F360)</f>
        <v/>
      </c>
      <c r="Y360">
        <f>IF($A360="","",IF(COUNTIF($A$2:$A360,$A360)=1,1,0))</f>
        <v/>
      </c>
      <c r="Z360">
        <f>IF($Y360=1,SUMPRODUCT(--($AB$2:$AB$501&lt;$AB360))+1,"")</f>
        <v/>
      </c>
      <c r="AA360">
        <f>IF($A360="","",IF(OR($T360=TRUE(),$T360="TRUE"),1,0))</f>
        <v/>
      </c>
      <c r="AB360">
        <f>IF($Y360=1,IFERROR(VALUE(MID($A360,2,20)),1000000000)+ROW()/100000,"")</f>
        <v/>
      </c>
    </row>
    <row r="361">
      <c r="F361" s="7">
        <f>IF($A361="","",E361*M361/100)</f>
        <v/>
      </c>
      <c r="I361" s="7" t="n"/>
      <c r="J361" s="7" t="n"/>
      <c r="L361" s="7" t="n"/>
      <c r="M361" s="7" t="n"/>
      <c r="N361" s="7" t="n"/>
      <c r="O361" s="7" t="n"/>
      <c r="R361" s="11" t="n"/>
      <c r="U361">
        <f>IF($A361="","",IF($AA361=1,Settings!$C$6,Settings!$C$7)*100)</f>
        <v/>
      </c>
      <c r="V361" s="7">
        <f>IF($A361="","",M361*U361/100)</f>
        <v/>
      </c>
      <c r="W361" s="7">
        <f>IF($A361="","",M361-V361)</f>
        <v/>
      </c>
      <c r="X361" s="7">
        <f>IF($A361="","",W361-F361)</f>
        <v/>
      </c>
      <c r="Y361">
        <f>IF($A361="","",IF(COUNTIF($A$2:$A361,$A361)=1,1,0))</f>
        <v/>
      </c>
      <c r="Z361">
        <f>IF($Y361=1,SUMPRODUCT(--($AB$2:$AB$501&lt;$AB361))+1,"")</f>
        <v/>
      </c>
      <c r="AA361">
        <f>IF($A361="","",IF(OR($T361=TRUE(),$T361="TRUE"),1,0))</f>
        <v/>
      </c>
      <c r="AB361">
        <f>IF($Y361=1,IFERROR(VALUE(MID($A361,2,20)),1000000000)+ROW()/100000,"")</f>
        <v/>
      </c>
    </row>
    <row r="362">
      <c r="F362" s="7">
        <f>IF($A362="","",E362*M362/100)</f>
        <v/>
      </c>
      <c r="I362" s="7" t="n"/>
      <c r="J362" s="7" t="n"/>
      <c r="L362" s="7" t="n"/>
      <c r="M362" s="7" t="n"/>
      <c r="N362" s="7" t="n"/>
      <c r="O362" s="7" t="n"/>
      <c r="R362" s="11" t="n"/>
      <c r="U362">
        <f>IF($A362="","",IF($AA362=1,Settings!$C$6,Settings!$C$7)*100)</f>
        <v/>
      </c>
      <c r="V362" s="7">
        <f>IF($A362="","",M362*U362/100)</f>
        <v/>
      </c>
      <c r="W362" s="7">
        <f>IF($A362="","",M362-V362)</f>
        <v/>
      </c>
      <c r="X362" s="7">
        <f>IF($A362="","",W362-F362)</f>
        <v/>
      </c>
      <c r="Y362">
        <f>IF($A362="","",IF(COUNTIF($A$2:$A362,$A362)=1,1,0))</f>
        <v/>
      </c>
      <c r="Z362">
        <f>IF($Y362=1,SUMPRODUCT(--($AB$2:$AB$501&lt;$AB362))+1,"")</f>
        <v/>
      </c>
      <c r="AA362">
        <f>IF($A362="","",IF(OR($T362=TRUE(),$T362="TRUE"),1,0))</f>
        <v/>
      </c>
      <c r="AB362">
        <f>IF($Y362=1,IFERROR(VALUE(MID($A362,2,20)),1000000000)+ROW()/100000,"")</f>
        <v/>
      </c>
    </row>
    <row r="363">
      <c r="F363" s="7">
        <f>IF($A363="","",E363*M363/100)</f>
        <v/>
      </c>
      <c r="I363" s="7" t="n"/>
      <c r="J363" s="7" t="n"/>
      <c r="L363" s="7" t="n"/>
      <c r="M363" s="7" t="n"/>
      <c r="N363" s="7" t="n"/>
      <c r="O363" s="7" t="n"/>
      <c r="R363" s="11" t="n"/>
      <c r="U363">
        <f>IF($A363="","",IF($AA363=1,Settings!$C$6,Settings!$C$7)*100)</f>
        <v/>
      </c>
      <c r="V363" s="7">
        <f>IF($A363="","",M363*U363/100)</f>
        <v/>
      </c>
      <c r="W363" s="7">
        <f>IF($A363="","",M363-V363)</f>
        <v/>
      </c>
      <c r="X363" s="7">
        <f>IF($A363="","",W363-F363)</f>
        <v/>
      </c>
      <c r="Y363">
        <f>IF($A363="","",IF(COUNTIF($A$2:$A363,$A363)=1,1,0))</f>
        <v/>
      </c>
      <c r="Z363">
        <f>IF($Y363=1,SUMPRODUCT(--($AB$2:$AB$501&lt;$AB363))+1,"")</f>
        <v/>
      </c>
      <c r="AA363">
        <f>IF($A363="","",IF(OR($T363=TRUE(),$T363="TRUE"),1,0))</f>
        <v/>
      </c>
      <c r="AB363">
        <f>IF($Y363=1,IFERROR(VALUE(MID($A363,2,20)),1000000000)+ROW()/100000,"")</f>
        <v/>
      </c>
    </row>
    <row r="364">
      <c r="F364" s="7">
        <f>IF($A364="","",E364*M364/100)</f>
        <v/>
      </c>
      <c r="I364" s="7" t="n"/>
      <c r="J364" s="7" t="n"/>
      <c r="L364" s="7" t="n"/>
      <c r="M364" s="7" t="n"/>
      <c r="N364" s="7" t="n"/>
      <c r="O364" s="7" t="n"/>
      <c r="R364" s="11" t="n"/>
      <c r="U364">
        <f>IF($A364="","",IF($AA364=1,Settings!$C$6,Settings!$C$7)*100)</f>
        <v/>
      </c>
      <c r="V364" s="7">
        <f>IF($A364="","",M364*U364/100)</f>
        <v/>
      </c>
      <c r="W364" s="7">
        <f>IF($A364="","",M364-V364)</f>
        <v/>
      </c>
      <c r="X364" s="7">
        <f>IF($A364="","",W364-F364)</f>
        <v/>
      </c>
      <c r="Y364">
        <f>IF($A364="","",IF(COUNTIF($A$2:$A364,$A364)=1,1,0))</f>
        <v/>
      </c>
      <c r="Z364">
        <f>IF($Y364=1,SUMPRODUCT(--($AB$2:$AB$501&lt;$AB364))+1,"")</f>
        <v/>
      </c>
      <c r="AA364">
        <f>IF($A364="","",IF(OR($T364=TRUE(),$T364="TRUE"),1,0))</f>
        <v/>
      </c>
      <c r="AB364">
        <f>IF($Y364=1,IFERROR(VALUE(MID($A364,2,20)),1000000000)+ROW()/100000,"")</f>
        <v/>
      </c>
    </row>
    <row r="365">
      <c r="F365" s="7">
        <f>IF($A365="","",E365*M365/100)</f>
        <v/>
      </c>
      <c r="I365" s="7" t="n"/>
      <c r="J365" s="7" t="n"/>
      <c r="L365" s="7" t="n"/>
      <c r="M365" s="7" t="n"/>
      <c r="N365" s="7" t="n"/>
      <c r="O365" s="7" t="n"/>
      <c r="R365" s="11" t="n"/>
      <c r="U365">
        <f>IF($A365="","",IF($AA365=1,Settings!$C$6,Settings!$C$7)*100)</f>
        <v/>
      </c>
      <c r="V365" s="7">
        <f>IF($A365="","",M365*U365/100)</f>
        <v/>
      </c>
      <c r="W365" s="7">
        <f>IF($A365="","",M365-V365)</f>
        <v/>
      </c>
      <c r="X365" s="7">
        <f>IF($A365="","",W365-F365)</f>
        <v/>
      </c>
      <c r="Y365">
        <f>IF($A365="","",IF(COUNTIF($A$2:$A365,$A365)=1,1,0))</f>
        <v/>
      </c>
      <c r="Z365">
        <f>IF($Y365=1,SUMPRODUCT(--($AB$2:$AB$501&lt;$AB365))+1,"")</f>
        <v/>
      </c>
      <c r="AA365">
        <f>IF($A365="","",IF(OR($T365=TRUE(),$T365="TRUE"),1,0))</f>
        <v/>
      </c>
      <c r="AB365">
        <f>IF($Y365=1,IFERROR(VALUE(MID($A365,2,20)),1000000000)+ROW()/100000,"")</f>
        <v/>
      </c>
    </row>
    <row r="366">
      <c r="F366" s="7">
        <f>IF($A366="","",E366*M366/100)</f>
        <v/>
      </c>
      <c r="I366" s="7" t="n"/>
      <c r="J366" s="7" t="n"/>
      <c r="L366" s="7" t="n"/>
      <c r="M366" s="7" t="n"/>
      <c r="N366" s="7" t="n"/>
      <c r="O366" s="7" t="n"/>
      <c r="R366" s="11" t="n"/>
      <c r="U366">
        <f>IF($A366="","",IF($AA366=1,Settings!$C$6,Settings!$C$7)*100)</f>
        <v/>
      </c>
      <c r="V366" s="7">
        <f>IF($A366="","",M366*U366/100)</f>
        <v/>
      </c>
      <c r="W366" s="7">
        <f>IF($A366="","",M366-V366)</f>
        <v/>
      </c>
      <c r="X366" s="7">
        <f>IF($A366="","",W366-F366)</f>
        <v/>
      </c>
      <c r="Y366">
        <f>IF($A366="","",IF(COUNTIF($A$2:$A366,$A366)=1,1,0))</f>
        <v/>
      </c>
      <c r="Z366">
        <f>IF($Y366=1,SUMPRODUCT(--($AB$2:$AB$501&lt;$AB366))+1,"")</f>
        <v/>
      </c>
      <c r="AA366">
        <f>IF($A366="","",IF(OR($T366=TRUE(),$T366="TRUE"),1,0))</f>
        <v/>
      </c>
      <c r="AB366">
        <f>IF($Y366=1,IFERROR(VALUE(MID($A366,2,20)),1000000000)+ROW()/100000,"")</f>
        <v/>
      </c>
    </row>
    <row r="367">
      <c r="F367" s="7">
        <f>IF($A367="","",E367*M367/100)</f>
        <v/>
      </c>
      <c r="I367" s="7" t="n"/>
      <c r="J367" s="7" t="n"/>
      <c r="L367" s="7" t="n"/>
      <c r="M367" s="7" t="n"/>
      <c r="N367" s="7" t="n"/>
      <c r="O367" s="7" t="n"/>
      <c r="R367" s="11" t="n"/>
      <c r="U367">
        <f>IF($A367="","",IF($AA367=1,Settings!$C$6,Settings!$C$7)*100)</f>
        <v/>
      </c>
      <c r="V367" s="7">
        <f>IF($A367="","",M367*U367/100)</f>
        <v/>
      </c>
      <c r="W367" s="7">
        <f>IF($A367="","",M367-V367)</f>
        <v/>
      </c>
      <c r="X367" s="7">
        <f>IF($A367="","",W367-F367)</f>
        <v/>
      </c>
      <c r="Y367">
        <f>IF($A367="","",IF(COUNTIF($A$2:$A367,$A367)=1,1,0))</f>
        <v/>
      </c>
      <c r="Z367">
        <f>IF($Y367=1,SUMPRODUCT(--($AB$2:$AB$501&lt;$AB367))+1,"")</f>
        <v/>
      </c>
      <c r="AA367">
        <f>IF($A367="","",IF(OR($T367=TRUE(),$T367="TRUE"),1,0))</f>
        <v/>
      </c>
      <c r="AB367">
        <f>IF($Y367=1,IFERROR(VALUE(MID($A367,2,20)),1000000000)+ROW()/100000,"")</f>
        <v/>
      </c>
    </row>
    <row r="368">
      <c r="F368" s="7">
        <f>IF($A368="","",E368*M368/100)</f>
        <v/>
      </c>
      <c r="I368" s="7" t="n"/>
      <c r="J368" s="7" t="n"/>
      <c r="L368" s="7" t="n"/>
      <c r="M368" s="7" t="n"/>
      <c r="N368" s="7" t="n"/>
      <c r="O368" s="7" t="n"/>
      <c r="R368" s="11" t="n"/>
      <c r="U368">
        <f>IF($A368="","",IF($AA368=1,Settings!$C$6,Settings!$C$7)*100)</f>
        <v/>
      </c>
      <c r="V368" s="7">
        <f>IF($A368="","",M368*U368/100)</f>
        <v/>
      </c>
      <c r="W368" s="7">
        <f>IF($A368="","",M368-V368)</f>
        <v/>
      </c>
      <c r="X368" s="7">
        <f>IF($A368="","",W368-F368)</f>
        <v/>
      </c>
      <c r="Y368">
        <f>IF($A368="","",IF(COUNTIF($A$2:$A368,$A368)=1,1,0))</f>
        <v/>
      </c>
      <c r="Z368">
        <f>IF($Y368=1,SUMPRODUCT(--($AB$2:$AB$501&lt;$AB368))+1,"")</f>
        <v/>
      </c>
      <c r="AA368">
        <f>IF($A368="","",IF(OR($T368=TRUE(),$T368="TRUE"),1,0))</f>
        <v/>
      </c>
      <c r="AB368">
        <f>IF($Y368=1,IFERROR(VALUE(MID($A368,2,20)),1000000000)+ROW()/100000,"")</f>
        <v/>
      </c>
    </row>
    <row r="369">
      <c r="F369" s="7">
        <f>IF($A369="","",E369*M369/100)</f>
        <v/>
      </c>
      <c r="I369" s="7" t="n"/>
      <c r="J369" s="7" t="n"/>
      <c r="L369" s="7" t="n"/>
      <c r="M369" s="7" t="n"/>
      <c r="N369" s="7" t="n"/>
      <c r="O369" s="7" t="n"/>
      <c r="R369" s="11" t="n"/>
      <c r="U369">
        <f>IF($A369="","",IF($AA369=1,Settings!$C$6,Settings!$C$7)*100)</f>
        <v/>
      </c>
      <c r="V369" s="7">
        <f>IF($A369="","",M369*U369/100)</f>
        <v/>
      </c>
      <c r="W369" s="7">
        <f>IF($A369="","",M369-V369)</f>
        <v/>
      </c>
      <c r="X369" s="7">
        <f>IF($A369="","",W369-F369)</f>
        <v/>
      </c>
      <c r="Y369">
        <f>IF($A369="","",IF(COUNTIF($A$2:$A369,$A369)=1,1,0))</f>
        <v/>
      </c>
      <c r="Z369">
        <f>IF($Y369=1,SUMPRODUCT(--($AB$2:$AB$501&lt;$AB369))+1,"")</f>
        <v/>
      </c>
      <c r="AA369">
        <f>IF($A369="","",IF(OR($T369=TRUE(),$T369="TRUE"),1,0))</f>
        <v/>
      </c>
      <c r="AB369">
        <f>IF($Y369=1,IFERROR(VALUE(MID($A369,2,20)),1000000000)+ROW()/100000,"")</f>
        <v/>
      </c>
    </row>
    <row r="370">
      <c r="F370" s="7">
        <f>IF($A370="","",E370*M370/100)</f>
        <v/>
      </c>
      <c r="I370" s="7" t="n"/>
      <c r="J370" s="7" t="n"/>
      <c r="L370" s="7" t="n"/>
      <c r="M370" s="7" t="n"/>
      <c r="N370" s="7" t="n"/>
      <c r="O370" s="7" t="n"/>
      <c r="R370" s="11" t="n"/>
      <c r="U370">
        <f>IF($A370="","",IF($AA370=1,Settings!$C$6,Settings!$C$7)*100)</f>
        <v/>
      </c>
      <c r="V370" s="7">
        <f>IF($A370="","",M370*U370/100)</f>
        <v/>
      </c>
      <c r="W370" s="7">
        <f>IF($A370="","",M370-V370)</f>
        <v/>
      </c>
      <c r="X370" s="7">
        <f>IF($A370="","",W370-F370)</f>
        <v/>
      </c>
      <c r="Y370">
        <f>IF($A370="","",IF(COUNTIF($A$2:$A370,$A370)=1,1,0))</f>
        <v/>
      </c>
      <c r="Z370">
        <f>IF($Y370=1,SUMPRODUCT(--($AB$2:$AB$501&lt;$AB370))+1,"")</f>
        <v/>
      </c>
      <c r="AA370">
        <f>IF($A370="","",IF(OR($T370=TRUE(),$T370="TRUE"),1,0))</f>
        <v/>
      </c>
      <c r="AB370">
        <f>IF($Y370=1,IFERROR(VALUE(MID($A370,2,20)),1000000000)+ROW()/100000,"")</f>
        <v/>
      </c>
    </row>
    <row r="371">
      <c r="F371" s="7">
        <f>IF($A371="","",E371*M371/100)</f>
        <v/>
      </c>
      <c r="I371" s="7" t="n"/>
      <c r="J371" s="7" t="n"/>
      <c r="L371" s="7" t="n"/>
      <c r="M371" s="7" t="n"/>
      <c r="N371" s="7" t="n"/>
      <c r="O371" s="7" t="n"/>
      <c r="R371" s="11" t="n"/>
      <c r="U371">
        <f>IF($A371="","",IF($AA371=1,Settings!$C$6,Settings!$C$7)*100)</f>
        <v/>
      </c>
      <c r="V371" s="7">
        <f>IF($A371="","",M371*U371/100)</f>
        <v/>
      </c>
      <c r="W371" s="7">
        <f>IF($A371="","",M371-V371)</f>
        <v/>
      </c>
      <c r="X371" s="7">
        <f>IF($A371="","",W371-F371)</f>
        <v/>
      </c>
      <c r="Y371">
        <f>IF($A371="","",IF(COUNTIF($A$2:$A371,$A371)=1,1,0))</f>
        <v/>
      </c>
      <c r="Z371">
        <f>IF($Y371=1,SUMPRODUCT(--($AB$2:$AB$501&lt;$AB371))+1,"")</f>
        <v/>
      </c>
      <c r="AA371">
        <f>IF($A371="","",IF(OR($T371=TRUE(),$T371="TRUE"),1,0))</f>
        <v/>
      </c>
      <c r="AB371">
        <f>IF($Y371=1,IFERROR(VALUE(MID($A371,2,20)),1000000000)+ROW()/100000,"")</f>
        <v/>
      </c>
    </row>
    <row r="372">
      <c r="F372" s="7">
        <f>IF($A372="","",E372*M372/100)</f>
        <v/>
      </c>
      <c r="I372" s="7" t="n"/>
      <c r="J372" s="7" t="n"/>
      <c r="L372" s="7" t="n"/>
      <c r="M372" s="7" t="n"/>
      <c r="N372" s="7" t="n"/>
      <c r="O372" s="7" t="n"/>
      <c r="R372" s="11" t="n"/>
      <c r="U372">
        <f>IF($A372="","",IF($AA372=1,Settings!$C$6,Settings!$C$7)*100)</f>
        <v/>
      </c>
      <c r="V372" s="7">
        <f>IF($A372="","",M372*U372/100)</f>
        <v/>
      </c>
      <c r="W372" s="7">
        <f>IF($A372="","",M372-V372)</f>
        <v/>
      </c>
      <c r="X372" s="7">
        <f>IF($A372="","",W372-F372)</f>
        <v/>
      </c>
      <c r="Y372">
        <f>IF($A372="","",IF(COUNTIF($A$2:$A372,$A372)=1,1,0))</f>
        <v/>
      </c>
      <c r="Z372">
        <f>IF($Y372=1,SUMPRODUCT(--($AB$2:$AB$501&lt;$AB372))+1,"")</f>
        <v/>
      </c>
      <c r="AA372">
        <f>IF($A372="","",IF(OR($T372=TRUE(),$T372="TRUE"),1,0))</f>
        <v/>
      </c>
      <c r="AB372">
        <f>IF($Y372=1,IFERROR(VALUE(MID($A372,2,20)),1000000000)+ROW()/100000,"")</f>
        <v/>
      </c>
    </row>
    <row r="373">
      <c r="F373" s="7">
        <f>IF($A373="","",E373*M373/100)</f>
        <v/>
      </c>
      <c r="I373" s="7" t="n"/>
      <c r="J373" s="7" t="n"/>
      <c r="L373" s="7" t="n"/>
      <c r="M373" s="7" t="n"/>
      <c r="N373" s="7" t="n"/>
      <c r="O373" s="7" t="n"/>
      <c r="R373" s="11" t="n"/>
      <c r="U373">
        <f>IF($A373="","",IF($AA373=1,Settings!$C$6,Settings!$C$7)*100)</f>
        <v/>
      </c>
      <c r="V373" s="7">
        <f>IF($A373="","",M373*U373/100)</f>
        <v/>
      </c>
      <c r="W373" s="7">
        <f>IF($A373="","",M373-V373)</f>
        <v/>
      </c>
      <c r="X373" s="7">
        <f>IF($A373="","",W373-F373)</f>
        <v/>
      </c>
      <c r="Y373">
        <f>IF($A373="","",IF(COUNTIF($A$2:$A373,$A373)=1,1,0))</f>
        <v/>
      </c>
      <c r="Z373">
        <f>IF($Y373=1,SUMPRODUCT(--($AB$2:$AB$501&lt;$AB373))+1,"")</f>
        <v/>
      </c>
      <c r="AA373">
        <f>IF($A373="","",IF(OR($T373=TRUE(),$T373="TRUE"),1,0))</f>
        <v/>
      </c>
      <c r="AB373">
        <f>IF($Y373=1,IFERROR(VALUE(MID($A373,2,20)),1000000000)+ROW()/100000,"")</f>
        <v/>
      </c>
    </row>
    <row r="374">
      <c r="F374" s="7">
        <f>IF($A374="","",E374*M374/100)</f>
        <v/>
      </c>
      <c r="I374" s="7" t="n"/>
      <c r="J374" s="7" t="n"/>
      <c r="L374" s="7" t="n"/>
      <c r="M374" s="7" t="n"/>
      <c r="N374" s="7" t="n"/>
      <c r="O374" s="7" t="n"/>
      <c r="R374" s="11" t="n"/>
      <c r="U374">
        <f>IF($A374="","",IF($AA374=1,Settings!$C$6,Settings!$C$7)*100)</f>
        <v/>
      </c>
      <c r="V374" s="7">
        <f>IF($A374="","",M374*U374/100)</f>
        <v/>
      </c>
      <c r="W374" s="7">
        <f>IF($A374="","",M374-V374)</f>
        <v/>
      </c>
      <c r="X374" s="7">
        <f>IF($A374="","",W374-F374)</f>
        <v/>
      </c>
      <c r="Y374">
        <f>IF($A374="","",IF(COUNTIF($A$2:$A374,$A374)=1,1,0))</f>
        <v/>
      </c>
      <c r="Z374">
        <f>IF($Y374=1,SUMPRODUCT(--($AB$2:$AB$501&lt;$AB374))+1,"")</f>
        <v/>
      </c>
      <c r="AA374">
        <f>IF($A374="","",IF(OR($T374=TRUE(),$T374="TRUE"),1,0))</f>
        <v/>
      </c>
      <c r="AB374">
        <f>IF($Y374=1,IFERROR(VALUE(MID($A374,2,20)),1000000000)+ROW()/100000,"")</f>
        <v/>
      </c>
    </row>
    <row r="375">
      <c r="F375" s="7">
        <f>IF($A375="","",E375*M375/100)</f>
        <v/>
      </c>
      <c r="I375" s="7" t="n"/>
      <c r="J375" s="7" t="n"/>
      <c r="L375" s="7" t="n"/>
      <c r="M375" s="7" t="n"/>
      <c r="N375" s="7" t="n"/>
      <c r="O375" s="7" t="n"/>
      <c r="R375" s="11" t="n"/>
      <c r="U375">
        <f>IF($A375="","",IF($AA375=1,Settings!$C$6,Settings!$C$7)*100)</f>
        <v/>
      </c>
      <c r="V375" s="7">
        <f>IF($A375="","",M375*U375/100)</f>
        <v/>
      </c>
      <c r="W375" s="7">
        <f>IF($A375="","",M375-V375)</f>
        <v/>
      </c>
      <c r="X375" s="7">
        <f>IF($A375="","",W375-F375)</f>
        <v/>
      </c>
      <c r="Y375">
        <f>IF($A375="","",IF(COUNTIF($A$2:$A375,$A375)=1,1,0))</f>
        <v/>
      </c>
      <c r="Z375">
        <f>IF($Y375=1,SUMPRODUCT(--($AB$2:$AB$501&lt;$AB375))+1,"")</f>
        <v/>
      </c>
      <c r="AA375">
        <f>IF($A375="","",IF(OR($T375=TRUE(),$T375="TRUE"),1,0))</f>
        <v/>
      </c>
      <c r="AB375">
        <f>IF($Y375=1,IFERROR(VALUE(MID($A375,2,20)),1000000000)+ROW()/100000,"")</f>
        <v/>
      </c>
    </row>
    <row r="376">
      <c r="F376" s="7">
        <f>IF($A376="","",E376*M376/100)</f>
        <v/>
      </c>
      <c r="I376" s="7" t="n"/>
      <c r="J376" s="7" t="n"/>
      <c r="L376" s="7" t="n"/>
      <c r="M376" s="7" t="n"/>
      <c r="N376" s="7" t="n"/>
      <c r="O376" s="7" t="n"/>
      <c r="R376" s="11" t="n"/>
      <c r="U376">
        <f>IF($A376="","",IF($AA376=1,Settings!$C$6,Settings!$C$7)*100)</f>
        <v/>
      </c>
      <c r="V376" s="7">
        <f>IF($A376="","",M376*U376/100)</f>
        <v/>
      </c>
      <c r="W376" s="7">
        <f>IF($A376="","",M376-V376)</f>
        <v/>
      </c>
      <c r="X376" s="7">
        <f>IF($A376="","",W376-F376)</f>
        <v/>
      </c>
      <c r="Y376">
        <f>IF($A376="","",IF(COUNTIF($A$2:$A376,$A376)=1,1,0))</f>
        <v/>
      </c>
      <c r="Z376">
        <f>IF($Y376=1,SUMPRODUCT(--($AB$2:$AB$501&lt;$AB376))+1,"")</f>
        <v/>
      </c>
      <c r="AA376">
        <f>IF($A376="","",IF(OR($T376=TRUE(),$T376="TRUE"),1,0))</f>
        <v/>
      </c>
      <c r="AB376">
        <f>IF($Y376=1,IFERROR(VALUE(MID($A376,2,20)),1000000000)+ROW()/100000,"")</f>
        <v/>
      </c>
    </row>
    <row r="377">
      <c r="F377" s="7">
        <f>IF($A377="","",E377*M377/100)</f>
        <v/>
      </c>
      <c r="I377" s="7" t="n"/>
      <c r="J377" s="7" t="n"/>
      <c r="L377" s="7" t="n"/>
      <c r="M377" s="7" t="n"/>
      <c r="N377" s="7" t="n"/>
      <c r="O377" s="7" t="n"/>
      <c r="R377" s="11" t="n"/>
      <c r="U377">
        <f>IF($A377="","",IF($AA377=1,Settings!$C$6,Settings!$C$7)*100)</f>
        <v/>
      </c>
      <c r="V377" s="7">
        <f>IF($A377="","",M377*U377/100)</f>
        <v/>
      </c>
      <c r="W377" s="7">
        <f>IF($A377="","",M377-V377)</f>
        <v/>
      </c>
      <c r="X377" s="7">
        <f>IF($A377="","",W377-F377)</f>
        <v/>
      </c>
      <c r="Y377">
        <f>IF($A377="","",IF(COUNTIF($A$2:$A377,$A377)=1,1,0))</f>
        <v/>
      </c>
      <c r="Z377">
        <f>IF($Y377=1,SUMPRODUCT(--($AB$2:$AB$501&lt;$AB377))+1,"")</f>
        <v/>
      </c>
      <c r="AA377">
        <f>IF($A377="","",IF(OR($T377=TRUE(),$T377="TRUE"),1,0))</f>
        <v/>
      </c>
      <c r="AB377">
        <f>IF($Y377=1,IFERROR(VALUE(MID($A377,2,20)),1000000000)+ROW()/100000,"")</f>
        <v/>
      </c>
    </row>
    <row r="378">
      <c r="F378" s="7">
        <f>IF($A378="","",E378*M378/100)</f>
        <v/>
      </c>
      <c r="I378" s="7" t="n"/>
      <c r="J378" s="7" t="n"/>
      <c r="L378" s="7" t="n"/>
      <c r="M378" s="7" t="n"/>
      <c r="N378" s="7" t="n"/>
      <c r="O378" s="7" t="n"/>
      <c r="R378" s="11" t="n"/>
      <c r="U378">
        <f>IF($A378="","",IF($AA378=1,Settings!$C$6,Settings!$C$7)*100)</f>
        <v/>
      </c>
      <c r="V378" s="7">
        <f>IF($A378="","",M378*U378/100)</f>
        <v/>
      </c>
      <c r="W378" s="7">
        <f>IF($A378="","",M378-V378)</f>
        <v/>
      </c>
      <c r="X378" s="7">
        <f>IF($A378="","",W378-F378)</f>
        <v/>
      </c>
      <c r="Y378">
        <f>IF($A378="","",IF(COUNTIF($A$2:$A378,$A378)=1,1,0))</f>
        <v/>
      </c>
      <c r="Z378">
        <f>IF($Y378=1,SUMPRODUCT(--($AB$2:$AB$501&lt;$AB378))+1,"")</f>
        <v/>
      </c>
      <c r="AA378">
        <f>IF($A378="","",IF(OR($T378=TRUE(),$T378="TRUE"),1,0))</f>
        <v/>
      </c>
      <c r="AB378">
        <f>IF($Y378=1,IFERROR(VALUE(MID($A378,2,20)),1000000000)+ROW()/100000,"")</f>
        <v/>
      </c>
    </row>
    <row r="379">
      <c r="F379" s="7">
        <f>IF($A379="","",E379*M379/100)</f>
        <v/>
      </c>
      <c r="I379" s="7" t="n"/>
      <c r="J379" s="7" t="n"/>
      <c r="L379" s="7" t="n"/>
      <c r="M379" s="7" t="n"/>
      <c r="N379" s="7" t="n"/>
      <c r="O379" s="7" t="n"/>
      <c r="R379" s="11" t="n"/>
      <c r="U379">
        <f>IF($A379="","",IF($AA379=1,Settings!$C$6,Settings!$C$7)*100)</f>
        <v/>
      </c>
      <c r="V379" s="7">
        <f>IF($A379="","",M379*U379/100)</f>
        <v/>
      </c>
      <c r="W379" s="7">
        <f>IF($A379="","",M379-V379)</f>
        <v/>
      </c>
      <c r="X379" s="7">
        <f>IF($A379="","",W379-F379)</f>
        <v/>
      </c>
      <c r="Y379">
        <f>IF($A379="","",IF(COUNTIF($A$2:$A379,$A379)=1,1,0))</f>
        <v/>
      </c>
      <c r="Z379">
        <f>IF($Y379=1,SUMPRODUCT(--($AB$2:$AB$501&lt;$AB379))+1,"")</f>
        <v/>
      </c>
      <c r="AA379">
        <f>IF($A379="","",IF(OR($T379=TRUE(),$T379="TRUE"),1,0))</f>
        <v/>
      </c>
      <c r="AB379">
        <f>IF($Y379=1,IFERROR(VALUE(MID($A379,2,20)),1000000000)+ROW()/100000,"")</f>
        <v/>
      </c>
    </row>
    <row r="380">
      <c r="F380" s="7">
        <f>IF($A380="","",E380*M380/100)</f>
        <v/>
      </c>
      <c r="I380" s="7" t="n"/>
      <c r="J380" s="7" t="n"/>
      <c r="L380" s="7" t="n"/>
      <c r="M380" s="7" t="n"/>
      <c r="N380" s="7" t="n"/>
      <c r="O380" s="7" t="n"/>
      <c r="R380" s="11" t="n"/>
      <c r="U380">
        <f>IF($A380="","",IF($AA380=1,Settings!$C$6,Settings!$C$7)*100)</f>
        <v/>
      </c>
      <c r="V380" s="7">
        <f>IF($A380="","",M380*U380/100)</f>
        <v/>
      </c>
      <c r="W380" s="7">
        <f>IF($A380="","",M380-V380)</f>
        <v/>
      </c>
      <c r="X380" s="7">
        <f>IF($A380="","",W380-F380)</f>
        <v/>
      </c>
      <c r="Y380">
        <f>IF($A380="","",IF(COUNTIF($A$2:$A380,$A380)=1,1,0))</f>
        <v/>
      </c>
      <c r="Z380">
        <f>IF($Y380=1,SUMPRODUCT(--($AB$2:$AB$501&lt;$AB380))+1,"")</f>
        <v/>
      </c>
      <c r="AA380">
        <f>IF($A380="","",IF(OR($T380=TRUE(),$T380="TRUE"),1,0))</f>
        <v/>
      </c>
      <c r="AB380">
        <f>IF($Y380=1,IFERROR(VALUE(MID($A380,2,20)),1000000000)+ROW()/100000,"")</f>
        <v/>
      </c>
    </row>
    <row r="381">
      <c r="F381" s="7">
        <f>IF($A381="","",E381*M381/100)</f>
        <v/>
      </c>
      <c r="I381" s="7" t="n"/>
      <c r="J381" s="7" t="n"/>
      <c r="L381" s="7" t="n"/>
      <c r="M381" s="7" t="n"/>
      <c r="N381" s="7" t="n"/>
      <c r="O381" s="7" t="n"/>
      <c r="R381" s="11" t="n"/>
      <c r="U381">
        <f>IF($A381="","",IF($AA381=1,Settings!$C$6,Settings!$C$7)*100)</f>
        <v/>
      </c>
      <c r="V381" s="7">
        <f>IF($A381="","",M381*U381/100)</f>
        <v/>
      </c>
      <c r="W381" s="7">
        <f>IF($A381="","",M381-V381)</f>
        <v/>
      </c>
      <c r="X381" s="7">
        <f>IF($A381="","",W381-F381)</f>
        <v/>
      </c>
      <c r="Y381">
        <f>IF($A381="","",IF(COUNTIF($A$2:$A381,$A381)=1,1,0))</f>
        <v/>
      </c>
      <c r="Z381">
        <f>IF($Y381=1,SUMPRODUCT(--($AB$2:$AB$501&lt;$AB381))+1,"")</f>
        <v/>
      </c>
      <c r="AA381">
        <f>IF($A381="","",IF(OR($T381=TRUE(),$T381="TRUE"),1,0))</f>
        <v/>
      </c>
      <c r="AB381">
        <f>IF($Y381=1,IFERROR(VALUE(MID($A381,2,20)),1000000000)+ROW()/100000,"")</f>
        <v/>
      </c>
    </row>
    <row r="382">
      <c r="F382" s="7">
        <f>IF($A382="","",E382*M382/100)</f>
        <v/>
      </c>
      <c r="I382" s="7" t="n"/>
      <c r="J382" s="7" t="n"/>
      <c r="L382" s="7" t="n"/>
      <c r="M382" s="7" t="n"/>
      <c r="N382" s="7" t="n"/>
      <c r="O382" s="7" t="n"/>
      <c r="R382" s="11" t="n"/>
      <c r="U382">
        <f>IF($A382="","",IF($AA382=1,Settings!$C$6,Settings!$C$7)*100)</f>
        <v/>
      </c>
      <c r="V382" s="7">
        <f>IF($A382="","",M382*U382/100)</f>
        <v/>
      </c>
      <c r="W382" s="7">
        <f>IF($A382="","",M382-V382)</f>
        <v/>
      </c>
      <c r="X382" s="7">
        <f>IF($A382="","",W382-F382)</f>
        <v/>
      </c>
      <c r="Y382">
        <f>IF($A382="","",IF(COUNTIF($A$2:$A382,$A382)=1,1,0))</f>
        <v/>
      </c>
      <c r="Z382">
        <f>IF($Y382=1,SUMPRODUCT(--($AB$2:$AB$501&lt;$AB382))+1,"")</f>
        <v/>
      </c>
      <c r="AA382">
        <f>IF($A382="","",IF(OR($T382=TRUE(),$T382="TRUE"),1,0))</f>
        <v/>
      </c>
      <c r="AB382">
        <f>IF($Y382=1,IFERROR(VALUE(MID($A382,2,20)),1000000000)+ROW()/100000,"")</f>
        <v/>
      </c>
    </row>
    <row r="383">
      <c r="F383" s="7">
        <f>IF($A383="","",E383*M383/100)</f>
        <v/>
      </c>
      <c r="I383" s="7" t="n"/>
      <c r="J383" s="7" t="n"/>
      <c r="L383" s="7" t="n"/>
      <c r="M383" s="7" t="n"/>
      <c r="N383" s="7" t="n"/>
      <c r="O383" s="7" t="n"/>
      <c r="R383" s="11" t="n"/>
      <c r="U383">
        <f>IF($A383="","",IF($AA383=1,Settings!$C$6,Settings!$C$7)*100)</f>
        <v/>
      </c>
      <c r="V383" s="7">
        <f>IF($A383="","",M383*U383/100)</f>
        <v/>
      </c>
      <c r="W383" s="7">
        <f>IF($A383="","",M383-V383)</f>
        <v/>
      </c>
      <c r="X383" s="7">
        <f>IF($A383="","",W383-F383)</f>
        <v/>
      </c>
      <c r="Y383">
        <f>IF($A383="","",IF(COUNTIF($A$2:$A383,$A383)=1,1,0))</f>
        <v/>
      </c>
      <c r="Z383">
        <f>IF($Y383=1,SUMPRODUCT(--($AB$2:$AB$501&lt;$AB383))+1,"")</f>
        <v/>
      </c>
      <c r="AA383">
        <f>IF($A383="","",IF(OR($T383=TRUE(),$T383="TRUE"),1,0))</f>
        <v/>
      </c>
      <c r="AB383">
        <f>IF($Y383=1,IFERROR(VALUE(MID($A383,2,20)),1000000000)+ROW()/100000,"")</f>
        <v/>
      </c>
    </row>
    <row r="384">
      <c r="F384" s="7">
        <f>IF($A384="","",E384*M384/100)</f>
        <v/>
      </c>
      <c r="I384" s="7" t="n"/>
      <c r="J384" s="7" t="n"/>
      <c r="L384" s="7" t="n"/>
      <c r="M384" s="7" t="n"/>
      <c r="N384" s="7" t="n"/>
      <c r="O384" s="7" t="n"/>
      <c r="R384" s="11" t="n"/>
      <c r="U384">
        <f>IF($A384="","",IF($AA384=1,Settings!$C$6,Settings!$C$7)*100)</f>
        <v/>
      </c>
      <c r="V384" s="7">
        <f>IF($A384="","",M384*U384/100)</f>
        <v/>
      </c>
      <c r="W384" s="7">
        <f>IF($A384="","",M384-V384)</f>
        <v/>
      </c>
      <c r="X384" s="7">
        <f>IF($A384="","",W384-F384)</f>
        <v/>
      </c>
      <c r="Y384">
        <f>IF($A384="","",IF(COUNTIF($A$2:$A384,$A384)=1,1,0))</f>
        <v/>
      </c>
      <c r="Z384">
        <f>IF($Y384=1,SUMPRODUCT(--($AB$2:$AB$501&lt;$AB384))+1,"")</f>
        <v/>
      </c>
      <c r="AA384">
        <f>IF($A384="","",IF(OR($T384=TRUE(),$T384="TRUE"),1,0))</f>
        <v/>
      </c>
      <c r="AB384">
        <f>IF($Y384=1,IFERROR(VALUE(MID($A384,2,20)),1000000000)+ROW()/100000,"")</f>
        <v/>
      </c>
    </row>
    <row r="385">
      <c r="F385" s="7">
        <f>IF($A385="","",E385*M385/100)</f>
        <v/>
      </c>
      <c r="I385" s="7" t="n"/>
      <c r="J385" s="7" t="n"/>
      <c r="L385" s="7" t="n"/>
      <c r="M385" s="7" t="n"/>
      <c r="N385" s="7" t="n"/>
      <c r="O385" s="7" t="n"/>
      <c r="R385" s="11" t="n"/>
      <c r="U385">
        <f>IF($A385="","",IF($AA385=1,Settings!$C$6,Settings!$C$7)*100)</f>
        <v/>
      </c>
      <c r="V385" s="7">
        <f>IF($A385="","",M385*U385/100)</f>
        <v/>
      </c>
      <c r="W385" s="7">
        <f>IF($A385="","",M385-V385)</f>
        <v/>
      </c>
      <c r="X385" s="7">
        <f>IF($A385="","",W385-F385)</f>
        <v/>
      </c>
      <c r="Y385">
        <f>IF($A385="","",IF(COUNTIF($A$2:$A385,$A385)=1,1,0))</f>
        <v/>
      </c>
      <c r="Z385">
        <f>IF($Y385=1,SUMPRODUCT(--($AB$2:$AB$501&lt;$AB385))+1,"")</f>
        <v/>
      </c>
      <c r="AA385">
        <f>IF($A385="","",IF(OR($T385=TRUE(),$T385="TRUE"),1,0))</f>
        <v/>
      </c>
      <c r="AB385">
        <f>IF($Y385=1,IFERROR(VALUE(MID($A385,2,20)),1000000000)+ROW()/100000,"")</f>
        <v/>
      </c>
    </row>
    <row r="386">
      <c r="F386" s="7">
        <f>IF($A386="","",E386*M386/100)</f>
        <v/>
      </c>
      <c r="I386" s="7" t="n"/>
      <c r="J386" s="7" t="n"/>
      <c r="L386" s="7" t="n"/>
      <c r="M386" s="7" t="n"/>
      <c r="N386" s="7" t="n"/>
      <c r="O386" s="7" t="n"/>
      <c r="R386" s="11" t="n"/>
      <c r="U386">
        <f>IF($A386="","",IF($AA386=1,Settings!$C$6,Settings!$C$7)*100)</f>
        <v/>
      </c>
      <c r="V386" s="7">
        <f>IF($A386="","",M386*U386/100)</f>
        <v/>
      </c>
      <c r="W386" s="7">
        <f>IF($A386="","",M386-V386)</f>
        <v/>
      </c>
      <c r="X386" s="7">
        <f>IF($A386="","",W386-F386)</f>
        <v/>
      </c>
      <c r="Y386">
        <f>IF($A386="","",IF(COUNTIF($A$2:$A386,$A386)=1,1,0))</f>
        <v/>
      </c>
      <c r="Z386">
        <f>IF($Y386=1,SUMPRODUCT(--($AB$2:$AB$501&lt;$AB386))+1,"")</f>
        <v/>
      </c>
      <c r="AA386">
        <f>IF($A386="","",IF(OR($T386=TRUE(),$T386="TRUE"),1,0))</f>
        <v/>
      </c>
      <c r="AB386">
        <f>IF($Y386=1,IFERROR(VALUE(MID($A386,2,20)),1000000000)+ROW()/100000,"")</f>
        <v/>
      </c>
    </row>
    <row r="387">
      <c r="F387" s="7">
        <f>IF($A387="","",E387*M387/100)</f>
        <v/>
      </c>
      <c r="I387" s="7" t="n"/>
      <c r="J387" s="7" t="n"/>
      <c r="L387" s="7" t="n"/>
      <c r="M387" s="7" t="n"/>
      <c r="N387" s="7" t="n"/>
      <c r="O387" s="7" t="n"/>
      <c r="R387" s="11" t="n"/>
      <c r="U387">
        <f>IF($A387="","",IF($AA387=1,Settings!$C$6,Settings!$C$7)*100)</f>
        <v/>
      </c>
      <c r="V387" s="7">
        <f>IF($A387="","",M387*U387/100)</f>
        <v/>
      </c>
      <c r="W387" s="7">
        <f>IF($A387="","",M387-V387)</f>
        <v/>
      </c>
      <c r="X387" s="7">
        <f>IF($A387="","",W387-F387)</f>
        <v/>
      </c>
      <c r="Y387">
        <f>IF($A387="","",IF(COUNTIF($A$2:$A387,$A387)=1,1,0))</f>
        <v/>
      </c>
      <c r="Z387">
        <f>IF($Y387=1,SUMPRODUCT(--($AB$2:$AB$501&lt;$AB387))+1,"")</f>
        <v/>
      </c>
      <c r="AA387">
        <f>IF($A387="","",IF(OR($T387=TRUE(),$T387="TRUE"),1,0))</f>
        <v/>
      </c>
      <c r="AB387">
        <f>IF($Y387=1,IFERROR(VALUE(MID($A387,2,20)),1000000000)+ROW()/100000,"")</f>
        <v/>
      </c>
    </row>
    <row r="388">
      <c r="F388" s="7">
        <f>IF($A388="","",E388*M388/100)</f>
        <v/>
      </c>
      <c r="I388" s="7" t="n"/>
      <c r="J388" s="7" t="n"/>
      <c r="L388" s="7" t="n"/>
      <c r="M388" s="7" t="n"/>
      <c r="N388" s="7" t="n"/>
      <c r="O388" s="7" t="n"/>
      <c r="R388" s="11" t="n"/>
      <c r="U388">
        <f>IF($A388="","",IF($AA388=1,Settings!$C$6,Settings!$C$7)*100)</f>
        <v/>
      </c>
      <c r="V388" s="7">
        <f>IF($A388="","",M388*U388/100)</f>
        <v/>
      </c>
      <c r="W388" s="7">
        <f>IF($A388="","",M388-V388)</f>
        <v/>
      </c>
      <c r="X388" s="7">
        <f>IF($A388="","",W388-F388)</f>
        <v/>
      </c>
      <c r="Y388">
        <f>IF($A388="","",IF(COUNTIF($A$2:$A388,$A388)=1,1,0))</f>
        <v/>
      </c>
      <c r="Z388">
        <f>IF($Y388=1,SUMPRODUCT(--($AB$2:$AB$501&lt;$AB388))+1,"")</f>
        <v/>
      </c>
      <c r="AA388">
        <f>IF($A388="","",IF(OR($T388=TRUE(),$T388="TRUE"),1,0))</f>
        <v/>
      </c>
      <c r="AB388">
        <f>IF($Y388=1,IFERROR(VALUE(MID($A388,2,20)),1000000000)+ROW()/100000,"")</f>
        <v/>
      </c>
    </row>
    <row r="389">
      <c r="F389" s="7">
        <f>IF($A389="","",E389*M389/100)</f>
        <v/>
      </c>
      <c r="I389" s="7" t="n"/>
      <c r="J389" s="7" t="n"/>
      <c r="L389" s="7" t="n"/>
      <c r="M389" s="7" t="n"/>
      <c r="N389" s="7" t="n"/>
      <c r="O389" s="7" t="n"/>
      <c r="R389" s="11" t="n"/>
      <c r="U389">
        <f>IF($A389="","",IF($AA389=1,Settings!$C$6,Settings!$C$7)*100)</f>
        <v/>
      </c>
      <c r="V389" s="7">
        <f>IF($A389="","",M389*U389/100)</f>
        <v/>
      </c>
      <c r="W389" s="7">
        <f>IF($A389="","",M389-V389)</f>
        <v/>
      </c>
      <c r="X389" s="7">
        <f>IF($A389="","",W389-F389)</f>
        <v/>
      </c>
      <c r="Y389">
        <f>IF($A389="","",IF(COUNTIF($A$2:$A389,$A389)=1,1,0))</f>
        <v/>
      </c>
      <c r="Z389">
        <f>IF($Y389=1,SUMPRODUCT(--($AB$2:$AB$501&lt;$AB389))+1,"")</f>
        <v/>
      </c>
      <c r="AA389">
        <f>IF($A389="","",IF(OR($T389=TRUE(),$T389="TRUE"),1,0))</f>
        <v/>
      </c>
      <c r="AB389">
        <f>IF($Y389=1,IFERROR(VALUE(MID($A389,2,20)),1000000000)+ROW()/100000,"")</f>
        <v/>
      </c>
    </row>
    <row r="390">
      <c r="F390" s="7">
        <f>IF($A390="","",E390*M390/100)</f>
        <v/>
      </c>
      <c r="I390" s="7" t="n"/>
      <c r="J390" s="7" t="n"/>
      <c r="L390" s="7" t="n"/>
      <c r="M390" s="7" t="n"/>
      <c r="N390" s="7" t="n"/>
      <c r="O390" s="7" t="n"/>
      <c r="R390" s="11" t="n"/>
      <c r="U390">
        <f>IF($A390="","",IF($AA390=1,Settings!$C$6,Settings!$C$7)*100)</f>
        <v/>
      </c>
      <c r="V390" s="7">
        <f>IF($A390="","",M390*U390/100)</f>
        <v/>
      </c>
      <c r="W390" s="7">
        <f>IF($A390="","",M390-V390)</f>
        <v/>
      </c>
      <c r="X390" s="7">
        <f>IF($A390="","",W390-F390)</f>
        <v/>
      </c>
      <c r="Y390">
        <f>IF($A390="","",IF(COUNTIF($A$2:$A390,$A390)=1,1,0))</f>
        <v/>
      </c>
      <c r="Z390">
        <f>IF($Y390=1,SUMPRODUCT(--($AB$2:$AB$501&lt;$AB390))+1,"")</f>
        <v/>
      </c>
      <c r="AA390">
        <f>IF($A390="","",IF(OR($T390=TRUE(),$T390="TRUE"),1,0))</f>
        <v/>
      </c>
      <c r="AB390">
        <f>IF($Y390=1,IFERROR(VALUE(MID($A390,2,20)),1000000000)+ROW()/100000,"")</f>
        <v/>
      </c>
    </row>
    <row r="391">
      <c r="F391" s="7">
        <f>IF($A391="","",E391*M391/100)</f>
        <v/>
      </c>
      <c r="I391" s="7" t="n"/>
      <c r="J391" s="7" t="n"/>
      <c r="L391" s="7" t="n"/>
      <c r="M391" s="7" t="n"/>
      <c r="N391" s="7" t="n"/>
      <c r="O391" s="7" t="n"/>
      <c r="R391" s="11" t="n"/>
      <c r="U391">
        <f>IF($A391="","",IF($AA391=1,Settings!$C$6,Settings!$C$7)*100)</f>
        <v/>
      </c>
      <c r="V391" s="7">
        <f>IF($A391="","",M391*U391/100)</f>
        <v/>
      </c>
      <c r="W391" s="7">
        <f>IF($A391="","",M391-V391)</f>
        <v/>
      </c>
      <c r="X391" s="7">
        <f>IF($A391="","",W391-F391)</f>
        <v/>
      </c>
      <c r="Y391">
        <f>IF($A391="","",IF(COUNTIF($A$2:$A391,$A391)=1,1,0))</f>
        <v/>
      </c>
      <c r="Z391">
        <f>IF($Y391=1,SUMPRODUCT(--($AB$2:$AB$501&lt;$AB391))+1,"")</f>
        <v/>
      </c>
      <c r="AA391">
        <f>IF($A391="","",IF(OR($T391=TRUE(),$T391="TRUE"),1,0))</f>
        <v/>
      </c>
      <c r="AB391">
        <f>IF($Y391=1,IFERROR(VALUE(MID($A391,2,20)),1000000000)+ROW()/100000,"")</f>
        <v/>
      </c>
    </row>
    <row r="392">
      <c r="F392" s="7">
        <f>IF($A392="","",E392*M392/100)</f>
        <v/>
      </c>
      <c r="I392" s="7" t="n"/>
      <c r="J392" s="7" t="n"/>
      <c r="L392" s="7" t="n"/>
      <c r="M392" s="7" t="n"/>
      <c r="N392" s="7" t="n"/>
      <c r="O392" s="7" t="n"/>
      <c r="R392" s="11" t="n"/>
      <c r="U392">
        <f>IF($A392="","",IF($AA392=1,Settings!$C$6,Settings!$C$7)*100)</f>
        <v/>
      </c>
      <c r="V392" s="7">
        <f>IF($A392="","",M392*U392/100)</f>
        <v/>
      </c>
      <c r="W392" s="7">
        <f>IF($A392="","",M392-V392)</f>
        <v/>
      </c>
      <c r="X392" s="7">
        <f>IF($A392="","",W392-F392)</f>
        <v/>
      </c>
      <c r="Y392">
        <f>IF($A392="","",IF(COUNTIF($A$2:$A392,$A392)=1,1,0))</f>
        <v/>
      </c>
      <c r="Z392">
        <f>IF($Y392=1,SUMPRODUCT(--($AB$2:$AB$501&lt;$AB392))+1,"")</f>
        <v/>
      </c>
      <c r="AA392">
        <f>IF($A392="","",IF(OR($T392=TRUE(),$T392="TRUE"),1,0))</f>
        <v/>
      </c>
      <c r="AB392">
        <f>IF($Y392=1,IFERROR(VALUE(MID($A392,2,20)),1000000000)+ROW()/100000,"")</f>
        <v/>
      </c>
    </row>
    <row r="393">
      <c r="F393" s="7">
        <f>IF($A393="","",E393*M393/100)</f>
        <v/>
      </c>
      <c r="I393" s="7" t="n"/>
      <c r="J393" s="7" t="n"/>
      <c r="L393" s="7" t="n"/>
      <c r="M393" s="7" t="n"/>
      <c r="N393" s="7" t="n"/>
      <c r="O393" s="7" t="n"/>
      <c r="R393" s="11" t="n"/>
      <c r="U393">
        <f>IF($A393="","",IF($AA393=1,Settings!$C$6,Settings!$C$7)*100)</f>
        <v/>
      </c>
      <c r="V393" s="7">
        <f>IF($A393="","",M393*U393/100)</f>
        <v/>
      </c>
      <c r="W393" s="7">
        <f>IF($A393="","",M393-V393)</f>
        <v/>
      </c>
      <c r="X393" s="7">
        <f>IF($A393="","",W393-F393)</f>
        <v/>
      </c>
      <c r="Y393">
        <f>IF($A393="","",IF(COUNTIF($A$2:$A393,$A393)=1,1,0))</f>
        <v/>
      </c>
      <c r="Z393">
        <f>IF($Y393=1,SUMPRODUCT(--($AB$2:$AB$501&lt;$AB393))+1,"")</f>
        <v/>
      </c>
      <c r="AA393">
        <f>IF($A393="","",IF(OR($T393=TRUE(),$T393="TRUE"),1,0))</f>
        <v/>
      </c>
      <c r="AB393">
        <f>IF($Y393=1,IFERROR(VALUE(MID($A393,2,20)),1000000000)+ROW()/100000,"")</f>
        <v/>
      </c>
    </row>
    <row r="394">
      <c r="F394" s="7">
        <f>IF($A394="","",E394*M394/100)</f>
        <v/>
      </c>
      <c r="I394" s="7" t="n"/>
      <c r="J394" s="7" t="n"/>
      <c r="L394" s="7" t="n"/>
      <c r="M394" s="7" t="n"/>
      <c r="N394" s="7" t="n"/>
      <c r="O394" s="7" t="n"/>
      <c r="R394" s="11" t="n"/>
      <c r="U394">
        <f>IF($A394="","",IF($AA394=1,Settings!$C$6,Settings!$C$7)*100)</f>
        <v/>
      </c>
      <c r="V394" s="7">
        <f>IF($A394="","",M394*U394/100)</f>
        <v/>
      </c>
      <c r="W394" s="7">
        <f>IF($A394="","",M394-V394)</f>
        <v/>
      </c>
      <c r="X394" s="7">
        <f>IF($A394="","",W394-F394)</f>
        <v/>
      </c>
      <c r="Y394">
        <f>IF($A394="","",IF(COUNTIF($A$2:$A394,$A394)=1,1,0))</f>
        <v/>
      </c>
      <c r="Z394">
        <f>IF($Y394=1,SUMPRODUCT(--($AB$2:$AB$501&lt;$AB394))+1,"")</f>
        <v/>
      </c>
      <c r="AA394">
        <f>IF($A394="","",IF(OR($T394=TRUE(),$T394="TRUE"),1,0))</f>
        <v/>
      </c>
      <c r="AB394">
        <f>IF($Y394=1,IFERROR(VALUE(MID($A394,2,20)),1000000000)+ROW()/100000,"")</f>
        <v/>
      </c>
    </row>
    <row r="395">
      <c r="F395" s="7">
        <f>IF($A395="","",E395*M395/100)</f>
        <v/>
      </c>
      <c r="I395" s="7" t="n"/>
      <c r="J395" s="7" t="n"/>
      <c r="L395" s="7" t="n"/>
      <c r="M395" s="7" t="n"/>
      <c r="N395" s="7" t="n"/>
      <c r="O395" s="7" t="n"/>
      <c r="R395" s="11" t="n"/>
      <c r="U395">
        <f>IF($A395="","",IF($AA395=1,Settings!$C$6,Settings!$C$7)*100)</f>
        <v/>
      </c>
      <c r="V395" s="7">
        <f>IF($A395="","",M395*U395/100)</f>
        <v/>
      </c>
      <c r="W395" s="7">
        <f>IF($A395="","",M395-V395)</f>
        <v/>
      </c>
      <c r="X395" s="7">
        <f>IF($A395="","",W395-F395)</f>
        <v/>
      </c>
      <c r="Y395">
        <f>IF($A395="","",IF(COUNTIF($A$2:$A395,$A395)=1,1,0))</f>
        <v/>
      </c>
      <c r="Z395">
        <f>IF($Y395=1,SUMPRODUCT(--($AB$2:$AB$501&lt;$AB395))+1,"")</f>
        <v/>
      </c>
      <c r="AA395">
        <f>IF($A395="","",IF(OR($T395=TRUE(),$T395="TRUE"),1,0))</f>
        <v/>
      </c>
      <c r="AB395">
        <f>IF($Y395=1,IFERROR(VALUE(MID($A395,2,20)),1000000000)+ROW()/100000,"")</f>
        <v/>
      </c>
    </row>
    <row r="396">
      <c r="F396" s="7">
        <f>IF($A396="","",E396*M396/100)</f>
        <v/>
      </c>
      <c r="I396" s="7" t="n"/>
      <c r="J396" s="7" t="n"/>
      <c r="L396" s="7" t="n"/>
      <c r="M396" s="7" t="n"/>
      <c r="N396" s="7" t="n"/>
      <c r="O396" s="7" t="n"/>
      <c r="R396" s="11" t="n"/>
      <c r="U396">
        <f>IF($A396="","",IF($AA396=1,Settings!$C$6,Settings!$C$7)*100)</f>
        <v/>
      </c>
      <c r="V396" s="7">
        <f>IF($A396="","",M396*U396/100)</f>
        <v/>
      </c>
      <c r="W396" s="7">
        <f>IF($A396="","",M396-V396)</f>
        <v/>
      </c>
      <c r="X396" s="7">
        <f>IF($A396="","",W396-F396)</f>
        <v/>
      </c>
      <c r="Y396">
        <f>IF($A396="","",IF(COUNTIF($A$2:$A396,$A396)=1,1,0))</f>
        <v/>
      </c>
      <c r="Z396">
        <f>IF($Y396=1,SUMPRODUCT(--($AB$2:$AB$501&lt;$AB396))+1,"")</f>
        <v/>
      </c>
      <c r="AA396">
        <f>IF($A396="","",IF(OR($T396=TRUE(),$T396="TRUE"),1,0))</f>
        <v/>
      </c>
      <c r="AB396">
        <f>IF($Y396=1,IFERROR(VALUE(MID($A396,2,20)),1000000000)+ROW()/100000,"")</f>
        <v/>
      </c>
    </row>
    <row r="397">
      <c r="F397" s="7">
        <f>IF($A397="","",E397*M397/100)</f>
        <v/>
      </c>
      <c r="I397" s="7" t="n"/>
      <c r="J397" s="7" t="n"/>
      <c r="L397" s="7" t="n"/>
      <c r="M397" s="7" t="n"/>
      <c r="N397" s="7" t="n"/>
      <c r="O397" s="7" t="n"/>
      <c r="R397" s="11" t="n"/>
      <c r="U397">
        <f>IF($A397="","",IF($AA397=1,Settings!$C$6,Settings!$C$7)*100)</f>
        <v/>
      </c>
      <c r="V397" s="7">
        <f>IF($A397="","",M397*U397/100)</f>
        <v/>
      </c>
      <c r="W397" s="7">
        <f>IF($A397="","",M397-V397)</f>
        <v/>
      </c>
      <c r="X397" s="7">
        <f>IF($A397="","",W397-F397)</f>
        <v/>
      </c>
      <c r="Y397">
        <f>IF($A397="","",IF(COUNTIF($A$2:$A397,$A397)=1,1,0))</f>
        <v/>
      </c>
      <c r="Z397">
        <f>IF($Y397=1,SUMPRODUCT(--($AB$2:$AB$501&lt;$AB397))+1,"")</f>
        <v/>
      </c>
      <c r="AA397">
        <f>IF($A397="","",IF(OR($T397=TRUE(),$T397="TRUE"),1,0))</f>
        <v/>
      </c>
      <c r="AB397">
        <f>IF($Y397=1,IFERROR(VALUE(MID($A397,2,20)),1000000000)+ROW()/100000,"")</f>
        <v/>
      </c>
    </row>
    <row r="398">
      <c r="F398" s="7">
        <f>IF($A398="","",E398*M398/100)</f>
        <v/>
      </c>
      <c r="I398" s="7" t="n"/>
      <c r="J398" s="7" t="n"/>
      <c r="L398" s="7" t="n"/>
      <c r="M398" s="7" t="n"/>
      <c r="N398" s="7" t="n"/>
      <c r="O398" s="7" t="n"/>
      <c r="R398" s="11" t="n"/>
      <c r="U398">
        <f>IF($A398="","",IF($AA398=1,Settings!$C$6,Settings!$C$7)*100)</f>
        <v/>
      </c>
      <c r="V398" s="7">
        <f>IF($A398="","",M398*U398/100)</f>
        <v/>
      </c>
      <c r="W398" s="7">
        <f>IF($A398="","",M398-V398)</f>
        <v/>
      </c>
      <c r="X398" s="7">
        <f>IF($A398="","",W398-F398)</f>
        <v/>
      </c>
      <c r="Y398">
        <f>IF($A398="","",IF(COUNTIF($A$2:$A398,$A398)=1,1,0))</f>
        <v/>
      </c>
      <c r="Z398">
        <f>IF($Y398=1,SUMPRODUCT(--($AB$2:$AB$501&lt;$AB398))+1,"")</f>
        <v/>
      </c>
      <c r="AA398">
        <f>IF($A398="","",IF(OR($T398=TRUE(),$T398="TRUE"),1,0))</f>
        <v/>
      </c>
      <c r="AB398">
        <f>IF($Y398=1,IFERROR(VALUE(MID($A398,2,20)),1000000000)+ROW()/100000,"")</f>
        <v/>
      </c>
    </row>
    <row r="399">
      <c r="F399" s="7">
        <f>IF($A399="","",E399*M399/100)</f>
        <v/>
      </c>
      <c r="I399" s="7" t="n"/>
      <c r="J399" s="7" t="n"/>
      <c r="L399" s="7" t="n"/>
      <c r="M399" s="7" t="n"/>
      <c r="N399" s="7" t="n"/>
      <c r="O399" s="7" t="n"/>
      <c r="R399" s="11" t="n"/>
      <c r="U399">
        <f>IF($A399="","",IF($AA399=1,Settings!$C$6,Settings!$C$7)*100)</f>
        <v/>
      </c>
      <c r="V399" s="7">
        <f>IF($A399="","",M399*U399/100)</f>
        <v/>
      </c>
      <c r="W399" s="7">
        <f>IF($A399="","",M399-V399)</f>
        <v/>
      </c>
      <c r="X399" s="7">
        <f>IF($A399="","",W399-F399)</f>
        <v/>
      </c>
      <c r="Y399">
        <f>IF($A399="","",IF(COUNTIF($A$2:$A399,$A399)=1,1,0))</f>
        <v/>
      </c>
      <c r="Z399">
        <f>IF($Y399=1,SUMPRODUCT(--($AB$2:$AB$501&lt;$AB399))+1,"")</f>
        <v/>
      </c>
      <c r="AA399">
        <f>IF($A399="","",IF(OR($T399=TRUE(),$T399="TRUE"),1,0))</f>
        <v/>
      </c>
      <c r="AB399">
        <f>IF($Y399=1,IFERROR(VALUE(MID($A399,2,20)),1000000000)+ROW()/100000,"")</f>
        <v/>
      </c>
    </row>
    <row r="400">
      <c r="F400" s="7">
        <f>IF($A400="","",E400*M400/100)</f>
        <v/>
      </c>
      <c r="I400" s="7" t="n"/>
      <c r="J400" s="7" t="n"/>
      <c r="L400" s="7" t="n"/>
      <c r="M400" s="7" t="n"/>
      <c r="N400" s="7" t="n"/>
      <c r="O400" s="7" t="n"/>
      <c r="R400" s="11" t="n"/>
      <c r="U400">
        <f>IF($A400="","",IF($AA400=1,Settings!$C$6,Settings!$C$7)*100)</f>
        <v/>
      </c>
      <c r="V400" s="7">
        <f>IF($A400="","",M400*U400/100)</f>
        <v/>
      </c>
      <c r="W400" s="7">
        <f>IF($A400="","",M400-V400)</f>
        <v/>
      </c>
      <c r="X400" s="7">
        <f>IF($A400="","",W400-F400)</f>
        <v/>
      </c>
      <c r="Y400">
        <f>IF($A400="","",IF(COUNTIF($A$2:$A400,$A400)=1,1,0))</f>
        <v/>
      </c>
      <c r="Z400">
        <f>IF($Y400=1,SUMPRODUCT(--($AB$2:$AB$501&lt;$AB400))+1,"")</f>
        <v/>
      </c>
      <c r="AA400">
        <f>IF($A400="","",IF(OR($T400=TRUE(),$T400="TRUE"),1,0))</f>
        <v/>
      </c>
      <c r="AB400">
        <f>IF($Y400=1,IFERROR(VALUE(MID($A400,2,20)),1000000000)+ROW()/100000,"")</f>
        <v/>
      </c>
    </row>
    <row r="401">
      <c r="F401" s="7">
        <f>IF($A401="","",E401*M401/100)</f>
        <v/>
      </c>
      <c r="I401" s="7" t="n"/>
      <c r="J401" s="7" t="n"/>
      <c r="L401" s="7" t="n"/>
      <c r="M401" s="7" t="n"/>
      <c r="N401" s="7" t="n"/>
      <c r="O401" s="7" t="n"/>
      <c r="R401" s="11" t="n"/>
      <c r="U401">
        <f>IF($A401="","",IF($AA401=1,Settings!$C$6,Settings!$C$7)*100)</f>
        <v/>
      </c>
      <c r="V401" s="7">
        <f>IF($A401="","",M401*U401/100)</f>
        <v/>
      </c>
      <c r="W401" s="7">
        <f>IF($A401="","",M401-V401)</f>
        <v/>
      </c>
      <c r="X401" s="7">
        <f>IF($A401="","",W401-F401)</f>
        <v/>
      </c>
      <c r="Y401">
        <f>IF($A401="","",IF(COUNTIF($A$2:$A401,$A401)=1,1,0))</f>
        <v/>
      </c>
      <c r="Z401">
        <f>IF($Y401=1,SUMPRODUCT(--($AB$2:$AB$501&lt;$AB401))+1,"")</f>
        <v/>
      </c>
      <c r="AA401">
        <f>IF($A401="","",IF(OR($T401=TRUE(),$T401="TRUE"),1,0))</f>
        <v/>
      </c>
      <c r="AB401">
        <f>IF($Y401=1,IFERROR(VALUE(MID($A401,2,20)),1000000000)+ROW()/100000,"")</f>
        <v/>
      </c>
    </row>
    <row r="402">
      <c r="F402" s="7">
        <f>IF($A402="","",E402*M402/100)</f>
        <v/>
      </c>
      <c r="I402" s="7" t="n"/>
      <c r="J402" s="7" t="n"/>
      <c r="L402" s="7" t="n"/>
      <c r="M402" s="7" t="n"/>
      <c r="N402" s="7" t="n"/>
      <c r="O402" s="7" t="n"/>
      <c r="R402" s="11" t="n"/>
      <c r="U402">
        <f>IF($A402="","",IF($AA402=1,Settings!$C$6,Settings!$C$7)*100)</f>
        <v/>
      </c>
      <c r="V402" s="7">
        <f>IF($A402="","",M402*U402/100)</f>
        <v/>
      </c>
      <c r="W402" s="7">
        <f>IF($A402="","",M402-V402)</f>
        <v/>
      </c>
      <c r="X402" s="7">
        <f>IF($A402="","",W402-F402)</f>
        <v/>
      </c>
      <c r="Y402">
        <f>IF($A402="","",IF(COUNTIF($A$2:$A402,$A402)=1,1,0))</f>
        <v/>
      </c>
      <c r="Z402">
        <f>IF($Y402=1,SUMPRODUCT(--($AB$2:$AB$501&lt;$AB402))+1,"")</f>
        <v/>
      </c>
      <c r="AA402">
        <f>IF($A402="","",IF(OR($T402=TRUE(),$T402="TRUE"),1,0))</f>
        <v/>
      </c>
      <c r="AB402">
        <f>IF($Y402=1,IFERROR(VALUE(MID($A402,2,20)),1000000000)+ROW()/100000,"")</f>
        <v/>
      </c>
    </row>
    <row r="403">
      <c r="F403" s="7">
        <f>IF($A403="","",E403*M403/100)</f>
        <v/>
      </c>
      <c r="I403" s="7" t="n"/>
      <c r="J403" s="7" t="n"/>
      <c r="L403" s="7" t="n"/>
      <c r="M403" s="7" t="n"/>
      <c r="N403" s="7" t="n"/>
      <c r="O403" s="7" t="n"/>
      <c r="R403" s="11" t="n"/>
      <c r="U403">
        <f>IF($A403="","",IF($AA403=1,Settings!$C$6,Settings!$C$7)*100)</f>
        <v/>
      </c>
      <c r="V403" s="7">
        <f>IF($A403="","",M403*U403/100)</f>
        <v/>
      </c>
      <c r="W403" s="7">
        <f>IF($A403="","",M403-V403)</f>
        <v/>
      </c>
      <c r="X403" s="7">
        <f>IF($A403="","",W403-F403)</f>
        <v/>
      </c>
      <c r="Y403">
        <f>IF($A403="","",IF(COUNTIF($A$2:$A403,$A403)=1,1,0))</f>
        <v/>
      </c>
      <c r="Z403">
        <f>IF($Y403=1,SUMPRODUCT(--($AB$2:$AB$501&lt;$AB403))+1,"")</f>
        <v/>
      </c>
      <c r="AA403">
        <f>IF($A403="","",IF(OR($T403=TRUE(),$T403="TRUE"),1,0))</f>
        <v/>
      </c>
      <c r="AB403">
        <f>IF($Y403=1,IFERROR(VALUE(MID($A403,2,20)),1000000000)+ROW()/100000,"")</f>
        <v/>
      </c>
    </row>
    <row r="404">
      <c r="F404" s="7">
        <f>IF($A404="","",E404*M404/100)</f>
        <v/>
      </c>
      <c r="I404" s="7" t="n"/>
      <c r="J404" s="7" t="n"/>
      <c r="L404" s="7" t="n"/>
      <c r="M404" s="7" t="n"/>
      <c r="N404" s="7" t="n"/>
      <c r="O404" s="7" t="n"/>
      <c r="R404" s="11" t="n"/>
      <c r="U404">
        <f>IF($A404="","",IF($AA404=1,Settings!$C$6,Settings!$C$7)*100)</f>
        <v/>
      </c>
      <c r="V404" s="7">
        <f>IF($A404="","",M404*U404/100)</f>
        <v/>
      </c>
      <c r="W404" s="7">
        <f>IF($A404="","",M404-V404)</f>
        <v/>
      </c>
      <c r="X404" s="7">
        <f>IF($A404="","",W404-F404)</f>
        <v/>
      </c>
      <c r="Y404">
        <f>IF($A404="","",IF(COUNTIF($A$2:$A404,$A404)=1,1,0))</f>
        <v/>
      </c>
      <c r="Z404">
        <f>IF($Y404=1,SUMPRODUCT(--($AB$2:$AB$501&lt;$AB404))+1,"")</f>
        <v/>
      </c>
      <c r="AA404">
        <f>IF($A404="","",IF(OR($T404=TRUE(),$T404="TRUE"),1,0))</f>
        <v/>
      </c>
      <c r="AB404">
        <f>IF($Y404=1,IFERROR(VALUE(MID($A404,2,20)),1000000000)+ROW()/100000,"")</f>
        <v/>
      </c>
    </row>
    <row r="405">
      <c r="F405" s="7">
        <f>IF($A405="","",E405*M405/100)</f>
        <v/>
      </c>
      <c r="I405" s="7" t="n"/>
      <c r="J405" s="7" t="n"/>
      <c r="L405" s="7" t="n"/>
      <c r="M405" s="7" t="n"/>
      <c r="N405" s="7" t="n"/>
      <c r="O405" s="7" t="n"/>
      <c r="R405" s="11" t="n"/>
      <c r="U405">
        <f>IF($A405="","",IF($AA405=1,Settings!$C$6,Settings!$C$7)*100)</f>
        <v/>
      </c>
      <c r="V405" s="7">
        <f>IF($A405="","",M405*U405/100)</f>
        <v/>
      </c>
      <c r="W405" s="7">
        <f>IF($A405="","",M405-V405)</f>
        <v/>
      </c>
      <c r="X405" s="7">
        <f>IF($A405="","",W405-F405)</f>
        <v/>
      </c>
      <c r="Y405">
        <f>IF($A405="","",IF(COUNTIF($A$2:$A405,$A405)=1,1,0))</f>
        <v/>
      </c>
      <c r="Z405">
        <f>IF($Y405=1,SUMPRODUCT(--($AB$2:$AB$501&lt;$AB405))+1,"")</f>
        <v/>
      </c>
      <c r="AA405">
        <f>IF($A405="","",IF(OR($T405=TRUE(),$T405="TRUE"),1,0))</f>
        <v/>
      </c>
      <c r="AB405">
        <f>IF($Y405=1,IFERROR(VALUE(MID($A405,2,20)),1000000000)+ROW()/100000,"")</f>
        <v/>
      </c>
    </row>
    <row r="406">
      <c r="F406" s="7">
        <f>IF($A406="","",E406*M406/100)</f>
        <v/>
      </c>
      <c r="I406" s="7" t="n"/>
      <c r="J406" s="7" t="n"/>
      <c r="L406" s="7" t="n"/>
      <c r="M406" s="7" t="n"/>
      <c r="N406" s="7" t="n"/>
      <c r="O406" s="7" t="n"/>
      <c r="R406" s="11" t="n"/>
      <c r="U406">
        <f>IF($A406="","",IF($AA406=1,Settings!$C$6,Settings!$C$7)*100)</f>
        <v/>
      </c>
      <c r="V406" s="7">
        <f>IF($A406="","",M406*U406/100)</f>
        <v/>
      </c>
      <c r="W406" s="7">
        <f>IF($A406="","",M406-V406)</f>
        <v/>
      </c>
      <c r="X406" s="7">
        <f>IF($A406="","",W406-F406)</f>
        <v/>
      </c>
      <c r="Y406">
        <f>IF($A406="","",IF(COUNTIF($A$2:$A406,$A406)=1,1,0))</f>
        <v/>
      </c>
      <c r="Z406">
        <f>IF($Y406=1,SUMPRODUCT(--($AB$2:$AB$501&lt;$AB406))+1,"")</f>
        <v/>
      </c>
      <c r="AA406">
        <f>IF($A406="","",IF(OR($T406=TRUE(),$T406="TRUE"),1,0))</f>
        <v/>
      </c>
      <c r="AB406">
        <f>IF($Y406=1,IFERROR(VALUE(MID($A406,2,20)),1000000000)+ROW()/100000,"")</f>
        <v/>
      </c>
    </row>
    <row r="407">
      <c r="F407" s="7">
        <f>IF($A407="","",E407*M407/100)</f>
        <v/>
      </c>
      <c r="I407" s="7" t="n"/>
      <c r="J407" s="7" t="n"/>
      <c r="L407" s="7" t="n"/>
      <c r="M407" s="7" t="n"/>
      <c r="N407" s="7" t="n"/>
      <c r="O407" s="7" t="n"/>
      <c r="R407" s="11" t="n"/>
      <c r="U407">
        <f>IF($A407="","",IF($AA407=1,Settings!$C$6,Settings!$C$7)*100)</f>
        <v/>
      </c>
      <c r="V407" s="7">
        <f>IF($A407="","",M407*U407/100)</f>
        <v/>
      </c>
      <c r="W407" s="7">
        <f>IF($A407="","",M407-V407)</f>
        <v/>
      </c>
      <c r="X407" s="7">
        <f>IF($A407="","",W407-F407)</f>
        <v/>
      </c>
      <c r="Y407">
        <f>IF($A407="","",IF(COUNTIF($A$2:$A407,$A407)=1,1,0))</f>
        <v/>
      </c>
      <c r="Z407">
        <f>IF($Y407=1,SUMPRODUCT(--($AB$2:$AB$501&lt;$AB407))+1,"")</f>
        <v/>
      </c>
      <c r="AA407">
        <f>IF($A407="","",IF(OR($T407=TRUE(),$T407="TRUE"),1,0))</f>
        <v/>
      </c>
      <c r="AB407">
        <f>IF($Y407=1,IFERROR(VALUE(MID($A407,2,20)),1000000000)+ROW()/100000,"")</f>
        <v/>
      </c>
    </row>
    <row r="408">
      <c r="F408" s="7">
        <f>IF($A408="","",E408*M408/100)</f>
        <v/>
      </c>
      <c r="I408" s="7" t="n"/>
      <c r="J408" s="7" t="n"/>
      <c r="L408" s="7" t="n"/>
      <c r="M408" s="7" t="n"/>
      <c r="N408" s="7" t="n"/>
      <c r="O408" s="7" t="n"/>
      <c r="R408" s="11" t="n"/>
      <c r="U408">
        <f>IF($A408="","",IF($AA408=1,Settings!$C$6,Settings!$C$7)*100)</f>
        <v/>
      </c>
      <c r="V408" s="7">
        <f>IF($A408="","",M408*U408/100)</f>
        <v/>
      </c>
      <c r="W408" s="7">
        <f>IF($A408="","",M408-V408)</f>
        <v/>
      </c>
      <c r="X408" s="7">
        <f>IF($A408="","",W408-F408)</f>
        <v/>
      </c>
      <c r="Y408">
        <f>IF($A408="","",IF(COUNTIF($A$2:$A408,$A408)=1,1,0))</f>
        <v/>
      </c>
      <c r="Z408">
        <f>IF($Y408=1,SUMPRODUCT(--($AB$2:$AB$501&lt;$AB408))+1,"")</f>
        <v/>
      </c>
      <c r="AA408">
        <f>IF($A408="","",IF(OR($T408=TRUE(),$T408="TRUE"),1,0))</f>
        <v/>
      </c>
      <c r="AB408">
        <f>IF($Y408=1,IFERROR(VALUE(MID($A408,2,20)),1000000000)+ROW()/100000,"")</f>
        <v/>
      </c>
    </row>
    <row r="409">
      <c r="F409" s="7">
        <f>IF($A409="","",E409*M409/100)</f>
        <v/>
      </c>
      <c r="I409" s="7" t="n"/>
      <c r="J409" s="7" t="n"/>
      <c r="L409" s="7" t="n"/>
      <c r="M409" s="7" t="n"/>
      <c r="N409" s="7" t="n"/>
      <c r="O409" s="7" t="n"/>
      <c r="R409" s="11" t="n"/>
      <c r="U409">
        <f>IF($A409="","",IF($AA409=1,Settings!$C$6,Settings!$C$7)*100)</f>
        <v/>
      </c>
      <c r="V409" s="7">
        <f>IF($A409="","",M409*U409/100)</f>
        <v/>
      </c>
      <c r="W409" s="7">
        <f>IF($A409="","",M409-V409)</f>
        <v/>
      </c>
      <c r="X409" s="7">
        <f>IF($A409="","",W409-F409)</f>
        <v/>
      </c>
      <c r="Y409">
        <f>IF($A409="","",IF(COUNTIF($A$2:$A409,$A409)=1,1,0))</f>
        <v/>
      </c>
      <c r="Z409">
        <f>IF($Y409=1,SUMPRODUCT(--($AB$2:$AB$501&lt;$AB409))+1,"")</f>
        <v/>
      </c>
      <c r="AA409">
        <f>IF($A409="","",IF(OR($T409=TRUE(),$T409="TRUE"),1,0))</f>
        <v/>
      </c>
      <c r="AB409">
        <f>IF($Y409=1,IFERROR(VALUE(MID($A409,2,20)),1000000000)+ROW()/100000,"")</f>
        <v/>
      </c>
    </row>
    <row r="410">
      <c r="F410" s="7">
        <f>IF($A410="","",E410*M410/100)</f>
        <v/>
      </c>
      <c r="I410" s="7" t="n"/>
      <c r="J410" s="7" t="n"/>
      <c r="L410" s="7" t="n"/>
      <c r="M410" s="7" t="n"/>
      <c r="N410" s="7" t="n"/>
      <c r="O410" s="7" t="n"/>
      <c r="R410" s="11" t="n"/>
      <c r="U410">
        <f>IF($A410="","",IF($AA410=1,Settings!$C$6,Settings!$C$7)*100)</f>
        <v/>
      </c>
      <c r="V410" s="7">
        <f>IF($A410="","",M410*U410/100)</f>
        <v/>
      </c>
      <c r="W410" s="7">
        <f>IF($A410="","",M410-V410)</f>
        <v/>
      </c>
      <c r="X410" s="7">
        <f>IF($A410="","",W410-F410)</f>
        <v/>
      </c>
      <c r="Y410">
        <f>IF($A410="","",IF(COUNTIF($A$2:$A410,$A410)=1,1,0))</f>
        <v/>
      </c>
      <c r="Z410">
        <f>IF($Y410=1,SUMPRODUCT(--($AB$2:$AB$501&lt;$AB410))+1,"")</f>
        <v/>
      </c>
      <c r="AA410">
        <f>IF($A410="","",IF(OR($T410=TRUE(),$T410="TRUE"),1,0))</f>
        <v/>
      </c>
      <c r="AB410">
        <f>IF($Y410=1,IFERROR(VALUE(MID($A410,2,20)),1000000000)+ROW()/100000,"")</f>
        <v/>
      </c>
    </row>
    <row r="411">
      <c r="F411" s="7">
        <f>IF($A411="","",E411*M411/100)</f>
        <v/>
      </c>
      <c r="I411" s="7" t="n"/>
      <c r="J411" s="7" t="n"/>
      <c r="L411" s="7" t="n"/>
      <c r="M411" s="7" t="n"/>
      <c r="N411" s="7" t="n"/>
      <c r="O411" s="7" t="n"/>
      <c r="R411" s="11" t="n"/>
      <c r="U411">
        <f>IF($A411="","",IF($AA411=1,Settings!$C$6,Settings!$C$7)*100)</f>
        <v/>
      </c>
      <c r="V411" s="7">
        <f>IF($A411="","",M411*U411/100)</f>
        <v/>
      </c>
      <c r="W411" s="7">
        <f>IF($A411="","",M411-V411)</f>
        <v/>
      </c>
      <c r="X411" s="7">
        <f>IF($A411="","",W411-F411)</f>
        <v/>
      </c>
      <c r="Y411">
        <f>IF($A411="","",IF(COUNTIF($A$2:$A411,$A411)=1,1,0))</f>
        <v/>
      </c>
      <c r="Z411">
        <f>IF($Y411=1,SUMPRODUCT(--($AB$2:$AB$501&lt;$AB411))+1,"")</f>
        <v/>
      </c>
      <c r="AA411">
        <f>IF($A411="","",IF(OR($T411=TRUE(),$T411="TRUE"),1,0))</f>
        <v/>
      </c>
      <c r="AB411">
        <f>IF($Y411=1,IFERROR(VALUE(MID($A411,2,20)),1000000000)+ROW()/100000,"")</f>
        <v/>
      </c>
    </row>
    <row r="412">
      <c r="F412" s="7">
        <f>IF($A412="","",E412*M412/100)</f>
        <v/>
      </c>
      <c r="I412" s="7" t="n"/>
      <c r="J412" s="7" t="n"/>
      <c r="L412" s="7" t="n"/>
      <c r="M412" s="7" t="n"/>
      <c r="N412" s="7" t="n"/>
      <c r="O412" s="7" t="n"/>
      <c r="R412" s="11" t="n"/>
      <c r="U412">
        <f>IF($A412="","",IF($AA412=1,Settings!$C$6,Settings!$C$7)*100)</f>
        <v/>
      </c>
      <c r="V412" s="7">
        <f>IF($A412="","",M412*U412/100)</f>
        <v/>
      </c>
      <c r="W412" s="7">
        <f>IF($A412="","",M412-V412)</f>
        <v/>
      </c>
      <c r="X412" s="7">
        <f>IF($A412="","",W412-F412)</f>
        <v/>
      </c>
      <c r="Y412">
        <f>IF($A412="","",IF(COUNTIF($A$2:$A412,$A412)=1,1,0))</f>
        <v/>
      </c>
      <c r="Z412">
        <f>IF($Y412=1,SUMPRODUCT(--($AB$2:$AB$501&lt;$AB412))+1,"")</f>
        <v/>
      </c>
      <c r="AA412">
        <f>IF($A412="","",IF(OR($T412=TRUE(),$T412="TRUE"),1,0))</f>
        <v/>
      </c>
      <c r="AB412">
        <f>IF($Y412=1,IFERROR(VALUE(MID($A412,2,20)),1000000000)+ROW()/100000,"")</f>
        <v/>
      </c>
    </row>
    <row r="413">
      <c r="F413" s="7">
        <f>IF($A413="","",E413*M413/100)</f>
        <v/>
      </c>
      <c r="I413" s="7" t="n"/>
      <c r="J413" s="7" t="n"/>
      <c r="L413" s="7" t="n"/>
      <c r="M413" s="7" t="n"/>
      <c r="N413" s="7" t="n"/>
      <c r="O413" s="7" t="n"/>
      <c r="R413" s="11" t="n"/>
      <c r="U413">
        <f>IF($A413="","",IF($AA413=1,Settings!$C$6,Settings!$C$7)*100)</f>
        <v/>
      </c>
      <c r="V413" s="7">
        <f>IF($A413="","",M413*U413/100)</f>
        <v/>
      </c>
      <c r="W413" s="7">
        <f>IF($A413="","",M413-V413)</f>
        <v/>
      </c>
      <c r="X413" s="7">
        <f>IF($A413="","",W413-F413)</f>
        <v/>
      </c>
      <c r="Y413">
        <f>IF($A413="","",IF(COUNTIF($A$2:$A413,$A413)=1,1,0))</f>
        <v/>
      </c>
      <c r="Z413">
        <f>IF($Y413=1,SUMPRODUCT(--($AB$2:$AB$501&lt;$AB413))+1,"")</f>
        <v/>
      </c>
      <c r="AA413">
        <f>IF($A413="","",IF(OR($T413=TRUE(),$T413="TRUE"),1,0))</f>
        <v/>
      </c>
      <c r="AB413">
        <f>IF($Y413=1,IFERROR(VALUE(MID($A413,2,20)),1000000000)+ROW()/100000,"")</f>
        <v/>
      </c>
    </row>
    <row r="414">
      <c r="F414" s="7">
        <f>IF($A414="","",E414*M414/100)</f>
        <v/>
      </c>
      <c r="I414" s="7" t="n"/>
      <c r="J414" s="7" t="n"/>
      <c r="L414" s="7" t="n"/>
      <c r="M414" s="7" t="n"/>
      <c r="N414" s="7" t="n"/>
      <c r="O414" s="7" t="n"/>
      <c r="R414" s="11" t="n"/>
      <c r="U414">
        <f>IF($A414="","",IF($AA414=1,Settings!$C$6,Settings!$C$7)*100)</f>
        <v/>
      </c>
      <c r="V414" s="7">
        <f>IF($A414="","",M414*U414/100)</f>
        <v/>
      </c>
      <c r="W414" s="7">
        <f>IF($A414="","",M414-V414)</f>
        <v/>
      </c>
      <c r="X414" s="7">
        <f>IF($A414="","",W414-F414)</f>
        <v/>
      </c>
      <c r="Y414">
        <f>IF($A414="","",IF(COUNTIF($A$2:$A414,$A414)=1,1,0))</f>
        <v/>
      </c>
      <c r="Z414">
        <f>IF($Y414=1,SUMPRODUCT(--($AB$2:$AB$501&lt;$AB414))+1,"")</f>
        <v/>
      </c>
      <c r="AA414">
        <f>IF($A414="","",IF(OR($T414=TRUE(),$T414="TRUE"),1,0))</f>
        <v/>
      </c>
      <c r="AB414">
        <f>IF($Y414=1,IFERROR(VALUE(MID($A414,2,20)),1000000000)+ROW()/100000,"")</f>
        <v/>
      </c>
    </row>
    <row r="415">
      <c r="F415" s="7">
        <f>IF($A415="","",E415*M415/100)</f>
        <v/>
      </c>
      <c r="I415" s="7" t="n"/>
      <c r="J415" s="7" t="n"/>
      <c r="L415" s="7" t="n"/>
      <c r="M415" s="7" t="n"/>
      <c r="N415" s="7" t="n"/>
      <c r="O415" s="7" t="n"/>
      <c r="R415" s="11" t="n"/>
      <c r="U415">
        <f>IF($A415="","",IF($AA415=1,Settings!$C$6,Settings!$C$7)*100)</f>
        <v/>
      </c>
      <c r="V415" s="7">
        <f>IF($A415="","",M415*U415/100)</f>
        <v/>
      </c>
      <c r="W415" s="7">
        <f>IF($A415="","",M415-V415)</f>
        <v/>
      </c>
      <c r="X415" s="7">
        <f>IF($A415="","",W415-F415)</f>
        <v/>
      </c>
      <c r="Y415">
        <f>IF($A415="","",IF(COUNTIF($A$2:$A415,$A415)=1,1,0))</f>
        <v/>
      </c>
      <c r="Z415">
        <f>IF($Y415=1,SUMPRODUCT(--($AB$2:$AB$501&lt;$AB415))+1,"")</f>
        <v/>
      </c>
      <c r="AA415">
        <f>IF($A415="","",IF(OR($T415=TRUE(),$T415="TRUE"),1,0))</f>
        <v/>
      </c>
      <c r="AB415">
        <f>IF($Y415=1,IFERROR(VALUE(MID($A415,2,20)),1000000000)+ROW()/100000,"")</f>
        <v/>
      </c>
    </row>
    <row r="416">
      <c r="F416" s="7">
        <f>IF($A416="","",E416*M416/100)</f>
        <v/>
      </c>
      <c r="I416" s="7" t="n"/>
      <c r="J416" s="7" t="n"/>
      <c r="L416" s="7" t="n"/>
      <c r="M416" s="7" t="n"/>
      <c r="N416" s="7" t="n"/>
      <c r="O416" s="7" t="n"/>
      <c r="R416" s="11" t="n"/>
      <c r="U416">
        <f>IF($A416="","",IF($AA416=1,Settings!$C$6,Settings!$C$7)*100)</f>
        <v/>
      </c>
      <c r="V416" s="7">
        <f>IF($A416="","",M416*U416/100)</f>
        <v/>
      </c>
      <c r="W416" s="7">
        <f>IF($A416="","",M416-V416)</f>
        <v/>
      </c>
      <c r="X416" s="7">
        <f>IF($A416="","",W416-F416)</f>
        <v/>
      </c>
      <c r="Y416">
        <f>IF($A416="","",IF(COUNTIF($A$2:$A416,$A416)=1,1,0))</f>
        <v/>
      </c>
      <c r="Z416">
        <f>IF($Y416=1,SUMPRODUCT(--($AB$2:$AB$501&lt;$AB416))+1,"")</f>
        <v/>
      </c>
      <c r="AA416">
        <f>IF($A416="","",IF(OR($T416=TRUE(),$T416="TRUE"),1,0))</f>
        <v/>
      </c>
      <c r="AB416">
        <f>IF($Y416=1,IFERROR(VALUE(MID($A416,2,20)),1000000000)+ROW()/100000,"")</f>
        <v/>
      </c>
    </row>
    <row r="417">
      <c r="F417" s="7">
        <f>IF($A417="","",E417*M417/100)</f>
        <v/>
      </c>
      <c r="I417" s="7" t="n"/>
      <c r="J417" s="7" t="n"/>
      <c r="L417" s="7" t="n"/>
      <c r="M417" s="7" t="n"/>
      <c r="N417" s="7" t="n"/>
      <c r="O417" s="7" t="n"/>
      <c r="R417" s="11" t="n"/>
      <c r="U417">
        <f>IF($A417="","",IF($AA417=1,Settings!$C$6,Settings!$C$7)*100)</f>
        <v/>
      </c>
      <c r="V417" s="7">
        <f>IF($A417="","",M417*U417/100)</f>
        <v/>
      </c>
      <c r="W417" s="7">
        <f>IF($A417="","",M417-V417)</f>
        <v/>
      </c>
      <c r="X417" s="7">
        <f>IF($A417="","",W417-F417)</f>
        <v/>
      </c>
      <c r="Y417">
        <f>IF($A417="","",IF(COUNTIF($A$2:$A417,$A417)=1,1,0))</f>
        <v/>
      </c>
      <c r="Z417">
        <f>IF($Y417=1,SUMPRODUCT(--($AB$2:$AB$501&lt;$AB417))+1,"")</f>
        <v/>
      </c>
      <c r="AA417">
        <f>IF($A417="","",IF(OR($T417=TRUE(),$T417="TRUE"),1,0))</f>
        <v/>
      </c>
      <c r="AB417">
        <f>IF($Y417=1,IFERROR(VALUE(MID($A417,2,20)),1000000000)+ROW()/100000,"")</f>
        <v/>
      </c>
    </row>
    <row r="418">
      <c r="F418" s="7">
        <f>IF($A418="","",E418*M418/100)</f>
        <v/>
      </c>
      <c r="I418" s="7" t="n"/>
      <c r="J418" s="7" t="n"/>
      <c r="L418" s="7" t="n"/>
      <c r="M418" s="7" t="n"/>
      <c r="N418" s="7" t="n"/>
      <c r="O418" s="7" t="n"/>
      <c r="R418" s="11" t="n"/>
      <c r="U418">
        <f>IF($A418="","",IF($AA418=1,Settings!$C$6,Settings!$C$7)*100)</f>
        <v/>
      </c>
      <c r="V418" s="7">
        <f>IF($A418="","",M418*U418/100)</f>
        <v/>
      </c>
      <c r="W418" s="7">
        <f>IF($A418="","",M418-V418)</f>
        <v/>
      </c>
      <c r="X418" s="7">
        <f>IF($A418="","",W418-F418)</f>
        <v/>
      </c>
      <c r="Y418">
        <f>IF($A418="","",IF(COUNTIF($A$2:$A418,$A418)=1,1,0))</f>
        <v/>
      </c>
      <c r="Z418">
        <f>IF($Y418=1,SUMPRODUCT(--($AB$2:$AB$501&lt;$AB418))+1,"")</f>
        <v/>
      </c>
      <c r="AA418">
        <f>IF($A418="","",IF(OR($T418=TRUE(),$T418="TRUE"),1,0))</f>
        <v/>
      </c>
      <c r="AB418">
        <f>IF($Y418=1,IFERROR(VALUE(MID($A418,2,20)),1000000000)+ROW()/100000,"")</f>
        <v/>
      </c>
    </row>
    <row r="419">
      <c r="F419" s="7">
        <f>IF($A419="","",E419*M419/100)</f>
        <v/>
      </c>
      <c r="I419" s="7" t="n"/>
      <c r="J419" s="7" t="n"/>
      <c r="L419" s="7" t="n"/>
      <c r="M419" s="7" t="n"/>
      <c r="N419" s="7" t="n"/>
      <c r="O419" s="7" t="n"/>
      <c r="R419" s="11" t="n"/>
      <c r="U419">
        <f>IF($A419="","",IF($AA419=1,Settings!$C$6,Settings!$C$7)*100)</f>
        <v/>
      </c>
      <c r="V419" s="7">
        <f>IF($A419="","",M419*U419/100)</f>
        <v/>
      </c>
      <c r="W419" s="7">
        <f>IF($A419="","",M419-V419)</f>
        <v/>
      </c>
      <c r="X419" s="7">
        <f>IF($A419="","",W419-F419)</f>
        <v/>
      </c>
      <c r="Y419">
        <f>IF($A419="","",IF(COUNTIF($A$2:$A419,$A419)=1,1,0))</f>
        <v/>
      </c>
      <c r="Z419">
        <f>IF($Y419=1,SUMPRODUCT(--($AB$2:$AB$501&lt;$AB419))+1,"")</f>
        <v/>
      </c>
      <c r="AA419">
        <f>IF($A419="","",IF(OR($T419=TRUE(),$T419="TRUE"),1,0))</f>
        <v/>
      </c>
      <c r="AB419">
        <f>IF($Y419=1,IFERROR(VALUE(MID($A419,2,20)),1000000000)+ROW()/100000,"")</f>
        <v/>
      </c>
    </row>
    <row r="420">
      <c r="F420" s="7">
        <f>IF($A420="","",E420*M420/100)</f>
        <v/>
      </c>
      <c r="I420" s="7" t="n"/>
      <c r="J420" s="7" t="n"/>
      <c r="L420" s="7" t="n"/>
      <c r="M420" s="7" t="n"/>
      <c r="N420" s="7" t="n"/>
      <c r="O420" s="7" t="n"/>
      <c r="R420" s="11" t="n"/>
      <c r="U420">
        <f>IF($A420="","",IF($AA420=1,Settings!$C$6,Settings!$C$7)*100)</f>
        <v/>
      </c>
      <c r="V420" s="7">
        <f>IF($A420="","",M420*U420/100)</f>
        <v/>
      </c>
      <c r="W420" s="7">
        <f>IF($A420="","",M420-V420)</f>
        <v/>
      </c>
      <c r="X420" s="7">
        <f>IF($A420="","",W420-F420)</f>
        <v/>
      </c>
      <c r="Y420">
        <f>IF($A420="","",IF(COUNTIF($A$2:$A420,$A420)=1,1,0))</f>
        <v/>
      </c>
      <c r="Z420">
        <f>IF($Y420=1,SUMPRODUCT(--($AB$2:$AB$501&lt;$AB420))+1,"")</f>
        <v/>
      </c>
      <c r="AA420">
        <f>IF($A420="","",IF(OR($T420=TRUE(),$T420="TRUE"),1,0))</f>
        <v/>
      </c>
      <c r="AB420">
        <f>IF($Y420=1,IFERROR(VALUE(MID($A420,2,20)),1000000000)+ROW()/100000,"")</f>
        <v/>
      </c>
    </row>
    <row r="421">
      <c r="F421" s="7">
        <f>IF($A421="","",E421*M421/100)</f>
        <v/>
      </c>
      <c r="I421" s="7" t="n"/>
      <c r="J421" s="7" t="n"/>
      <c r="L421" s="7" t="n"/>
      <c r="M421" s="7" t="n"/>
      <c r="N421" s="7" t="n"/>
      <c r="O421" s="7" t="n"/>
      <c r="R421" s="11" t="n"/>
      <c r="U421">
        <f>IF($A421="","",IF($AA421=1,Settings!$C$6,Settings!$C$7)*100)</f>
        <v/>
      </c>
      <c r="V421" s="7">
        <f>IF($A421="","",M421*U421/100)</f>
        <v/>
      </c>
      <c r="W421" s="7">
        <f>IF($A421="","",M421-V421)</f>
        <v/>
      </c>
      <c r="X421" s="7">
        <f>IF($A421="","",W421-F421)</f>
        <v/>
      </c>
      <c r="Y421">
        <f>IF($A421="","",IF(COUNTIF($A$2:$A421,$A421)=1,1,0))</f>
        <v/>
      </c>
      <c r="Z421">
        <f>IF($Y421=1,SUMPRODUCT(--($AB$2:$AB$501&lt;$AB421))+1,"")</f>
        <v/>
      </c>
      <c r="AA421">
        <f>IF($A421="","",IF(OR($T421=TRUE(),$T421="TRUE"),1,0))</f>
        <v/>
      </c>
      <c r="AB421">
        <f>IF($Y421=1,IFERROR(VALUE(MID($A421,2,20)),1000000000)+ROW()/100000,"")</f>
        <v/>
      </c>
    </row>
    <row r="422">
      <c r="F422" s="7">
        <f>IF($A422="","",E422*M422/100)</f>
        <v/>
      </c>
      <c r="I422" s="7" t="n"/>
      <c r="J422" s="7" t="n"/>
      <c r="L422" s="7" t="n"/>
      <c r="M422" s="7" t="n"/>
      <c r="N422" s="7" t="n"/>
      <c r="O422" s="7" t="n"/>
      <c r="R422" s="11" t="n"/>
      <c r="U422">
        <f>IF($A422="","",IF($AA422=1,Settings!$C$6,Settings!$C$7)*100)</f>
        <v/>
      </c>
      <c r="V422" s="7">
        <f>IF($A422="","",M422*U422/100)</f>
        <v/>
      </c>
      <c r="W422" s="7">
        <f>IF($A422="","",M422-V422)</f>
        <v/>
      </c>
      <c r="X422" s="7">
        <f>IF($A422="","",W422-F422)</f>
        <v/>
      </c>
      <c r="Y422">
        <f>IF($A422="","",IF(COUNTIF($A$2:$A422,$A422)=1,1,0))</f>
        <v/>
      </c>
      <c r="Z422">
        <f>IF($Y422=1,SUMPRODUCT(--($AB$2:$AB$501&lt;$AB422))+1,"")</f>
        <v/>
      </c>
      <c r="AA422">
        <f>IF($A422="","",IF(OR($T422=TRUE(),$T422="TRUE"),1,0))</f>
        <v/>
      </c>
      <c r="AB422">
        <f>IF($Y422=1,IFERROR(VALUE(MID($A422,2,20)),1000000000)+ROW()/100000,"")</f>
        <v/>
      </c>
    </row>
    <row r="423">
      <c r="F423" s="7">
        <f>IF($A423="","",E423*M423/100)</f>
        <v/>
      </c>
      <c r="I423" s="7" t="n"/>
      <c r="J423" s="7" t="n"/>
      <c r="L423" s="7" t="n"/>
      <c r="M423" s="7" t="n"/>
      <c r="N423" s="7" t="n"/>
      <c r="O423" s="7" t="n"/>
      <c r="R423" s="11" t="n"/>
      <c r="U423">
        <f>IF($A423="","",IF($AA423=1,Settings!$C$6,Settings!$C$7)*100)</f>
        <v/>
      </c>
      <c r="V423" s="7">
        <f>IF($A423="","",M423*U423/100)</f>
        <v/>
      </c>
      <c r="W423" s="7">
        <f>IF($A423="","",M423-V423)</f>
        <v/>
      </c>
      <c r="X423" s="7">
        <f>IF($A423="","",W423-F423)</f>
        <v/>
      </c>
      <c r="Y423">
        <f>IF($A423="","",IF(COUNTIF($A$2:$A423,$A423)=1,1,0))</f>
        <v/>
      </c>
      <c r="Z423">
        <f>IF($Y423=1,SUMPRODUCT(--($AB$2:$AB$501&lt;$AB423))+1,"")</f>
        <v/>
      </c>
      <c r="AA423">
        <f>IF($A423="","",IF(OR($T423=TRUE(),$T423="TRUE"),1,0))</f>
        <v/>
      </c>
      <c r="AB423">
        <f>IF($Y423=1,IFERROR(VALUE(MID($A423,2,20)),1000000000)+ROW()/100000,"")</f>
        <v/>
      </c>
    </row>
    <row r="424">
      <c r="F424" s="7">
        <f>IF($A424="","",E424*M424/100)</f>
        <v/>
      </c>
      <c r="I424" s="7" t="n"/>
      <c r="J424" s="7" t="n"/>
      <c r="L424" s="7" t="n"/>
      <c r="M424" s="7" t="n"/>
      <c r="N424" s="7" t="n"/>
      <c r="O424" s="7" t="n"/>
      <c r="R424" s="11" t="n"/>
      <c r="U424">
        <f>IF($A424="","",IF($AA424=1,Settings!$C$6,Settings!$C$7)*100)</f>
        <v/>
      </c>
      <c r="V424" s="7">
        <f>IF($A424="","",M424*U424/100)</f>
        <v/>
      </c>
      <c r="W424" s="7">
        <f>IF($A424="","",M424-V424)</f>
        <v/>
      </c>
      <c r="X424" s="7">
        <f>IF($A424="","",W424-F424)</f>
        <v/>
      </c>
      <c r="Y424">
        <f>IF($A424="","",IF(COUNTIF($A$2:$A424,$A424)=1,1,0))</f>
        <v/>
      </c>
      <c r="Z424">
        <f>IF($Y424=1,SUMPRODUCT(--($AB$2:$AB$501&lt;$AB424))+1,"")</f>
        <v/>
      </c>
      <c r="AA424">
        <f>IF($A424="","",IF(OR($T424=TRUE(),$T424="TRUE"),1,0))</f>
        <v/>
      </c>
      <c r="AB424">
        <f>IF($Y424=1,IFERROR(VALUE(MID($A424,2,20)),1000000000)+ROW()/100000,"")</f>
        <v/>
      </c>
    </row>
    <row r="425">
      <c r="F425" s="7">
        <f>IF($A425="","",E425*M425/100)</f>
        <v/>
      </c>
      <c r="I425" s="7" t="n"/>
      <c r="J425" s="7" t="n"/>
      <c r="L425" s="7" t="n"/>
      <c r="M425" s="7" t="n"/>
      <c r="N425" s="7" t="n"/>
      <c r="O425" s="7" t="n"/>
      <c r="R425" s="11" t="n"/>
      <c r="U425">
        <f>IF($A425="","",IF($AA425=1,Settings!$C$6,Settings!$C$7)*100)</f>
        <v/>
      </c>
      <c r="V425" s="7">
        <f>IF($A425="","",M425*U425/100)</f>
        <v/>
      </c>
      <c r="W425" s="7">
        <f>IF($A425="","",M425-V425)</f>
        <v/>
      </c>
      <c r="X425" s="7">
        <f>IF($A425="","",W425-F425)</f>
        <v/>
      </c>
      <c r="Y425">
        <f>IF($A425="","",IF(COUNTIF($A$2:$A425,$A425)=1,1,0))</f>
        <v/>
      </c>
      <c r="Z425">
        <f>IF($Y425=1,SUMPRODUCT(--($AB$2:$AB$501&lt;$AB425))+1,"")</f>
        <v/>
      </c>
      <c r="AA425">
        <f>IF($A425="","",IF(OR($T425=TRUE(),$T425="TRUE"),1,0))</f>
        <v/>
      </c>
      <c r="AB425">
        <f>IF($Y425=1,IFERROR(VALUE(MID($A425,2,20)),1000000000)+ROW()/100000,"")</f>
        <v/>
      </c>
    </row>
    <row r="426">
      <c r="F426" s="7">
        <f>IF($A426="","",E426*M426/100)</f>
        <v/>
      </c>
      <c r="I426" s="7" t="n"/>
      <c r="J426" s="7" t="n"/>
      <c r="L426" s="7" t="n"/>
      <c r="M426" s="7" t="n"/>
      <c r="N426" s="7" t="n"/>
      <c r="O426" s="7" t="n"/>
      <c r="R426" s="11" t="n"/>
      <c r="U426">
        <f>IF($A426="","",IF($AA426=1,Settings!$C$6,Settings!$C$7)*100)</f>
        <v/>
      </c>
      <c r="V426" s="7">
        <f>IF($A426="","",M426*U426/100)</f>
        <v/>
      </c>
      <c r="W426" s="7">
        <f>IF($A426="","",M426-V426)</f>
        <v/>
      </c>
      <c r="X426" s="7">
        <f>IF($A426="","",W426-F426)</f>
        <v/>
      </c>
      <c r="Y426">
        <f>IF($A426="","",IF(COUNTIF($A$2:$A426,$A426)=1,1,0))</f>
        <v/>
      </c>
      <c r="Z426">
        <f>IF($Y426=1,SUMPRODUCT(--($AB$2:$AB$501&lt;$AB426))+1,"")</f>
        <v/>
      </c>
      <c r="AA426">
        <f>IF($A426="","",IF(OR($T426=TRUE(),$T426="TRUE"),1,0))</f>
        <v/>
      </c>
      <c r="AB426">
        <f>IF($Y426=1,IFERROR(VALUE(MID($A426,2,20)),1000000000)+ROW()/100000,"")</f>
        <v/>
      </c>
    </row>
    <row r="427">
      <c r="F427" s="7">
        <f>IF($A427="","",E427*M427/100)</f>
        <v/>
      </c>
      <c r="I427" s="7" t="n"/>
      <c r="J427" s="7" t="n"/>
      <c r="L427" s="7" t="n"/>
      <c r="M427" s="7" t="n"/>
      <c r="N427" s="7" t="n"/>
      <c r="O427" s="7" t="n"/>
      <c r="R427" s="11" t="n"/>
      <c r="U427">
        <f>IF($A427="","",IF($AA427=1,Settings!$C$6,Settings!$C$7)*100)</f>
        <v/>
      </c>
      <c r="V427" s="7">
        <f>IF($A427="","",M427*U427/100)</f>
        <v/>
      </c>
      <c r="W427" s="7">
        <f>IF($A427="","",M427-V427)</f>
        <v/>
      </c>
      <c r="X427" s="7">
        <f>IF($A427="","",W427-F427)</f>
        <v/>
      </c>
      <c r="Y427">
        <f>IF($A427="","",IF(COUNTIF($A$2:$A427,$A427)=1,1,0))</f>
        <v/>
      </c>
      <c r="Z427">
        <f>IF($Y427=1,SUMPRODUCT(--($AB$2:$AB$501&lt;$AB427))+1,"")</f>
        <v/>
      </c>
      <c r="AA427">
        <f>IF($A427="","",IF(OR($T427=TRUE(),$T427="TRUE"),1,0))</f>
        <v/>
      </c>
      <c r="AB427">
        <f>IF($Y427=1,IFERROR(VALUE(MID($A427,2,20)),1000000000)+ROW()/100000,"")</f>
        <v/>
      </c>
    </row>
    <row r="428">
      <c r="F428" s="7">
        <f>IF($A428="","",E428*M428/100)</f>
        <v/>
      </c>
      <c r="I428" s="7" t="n"/>
      <c r="J428" s="7" t="n"/>
      <c r="L428" s="7" t="n"/>
      <c r="M428" s="7" t="n"/>
      <c r="N428" s="7" t="n"/>
      <c r="O428" s="7" t="n"/>
      <c r="R428" s="11" t="n"/>
      <c r="U428">
        <f>IF($A428="","",IF($AA428=1,Settings!$C$6,Settings!$C$7)*100)</f>
        <v/>
      </c>
      <c r="V428" s="7">
        <f>IF($A428="","",M428*U428/100)</f>
        <v/>
      </c>
      <c r="W428" s="7">
        <f>IF($A428="","",M428-V428)</f>
        <v/>
      </c>
      <c r="X428" s="7">
        <f>IF($A428="","",W428-F428)</f>
        <v/>
      </c>
      <c r="Y428">
        <f>IF($A428="","",IF(COUNTIF($A$2:$A428,$A428)=1,1,0))</f>
        <v/>
      </c>
      <c r="Z428">
        <f>IF($Y428=1,SUMPRODUCT(--($AB$2:$AB$501&lt;$AB428))+1,"")</f>
        <v/>
      </c>
      <c r="AA428">
        <f>IF($A428="","",IF(OR($T428=TRUE(),$T428="TRUE"),1,0))</f>
        <v/>
      </c>
      <c r="AB428">
        <f>IF($Y428=1,IFERROR(VALUE(MID($A428,2,20)),1000000000)+ROW()/100000,"")</f>
        <v/>
      </c>
    </row>
    <row r="429">
      <c r="F429" s="7">
        <f>IF($A429="","",E429*M429/100)</f>
        <v/>
      </c>
      <c r="I429" s="7" t="n"/>
      <c r="J429" s="7" t="n"/>
      <c r="L429" s="7" t="n"/>
      <c r="M429" s="7" t="n"/>
      <c r="N429" s="7" t="n"/>
      <c r="O429" s="7" t="n"/>
      <c r="R429" s="11" t="n"/>
      <c r="U429">
        <f>IF($A429="","",IF($AA429=1,Settings!$C$6,Settings!$C$7)*100)</f>
        <v/>
      </c>
      <c r="V429" s="7">
        <f>IF($A429="","",M429*U429/100)</f>
        <v/>
      </c>
      <c r="W429" s="7">
        <f>IF($A429="","",M429-V429)</f>
        <v/>
      </c>
      <c r="X429" s="7">
        <f>IF($A429="","",W429-F429)</f>
        <v/>
      </c>
      <c r="Y429">
        <f>IF($A429="","",IF(COUNTIF($A$2:$A429,$A429)=1,1,0))</f>
        <v/>
      </c>
      <c r="Z429">
        <f>IF($Y429=1,SUMPRODUCT(--($AB$2:$AB$501&lt;$AB429))+1,"")</f>
        <v/>
      </c>
      <c r="AA429">
        <f>IF($A429="","",IF(OR($T429=TRUE(),$T429="TRUE"),1,0))</f>
        <v/>
      </c>
      <c r="AB429">
        <f>IF($Y429=1,IFERROR(VALUE(MID($A429,2,20)),1000000000)+ROW()/100000,"")</f>
        <v/>
      </c>
    </row>
    <row r="430">
      <c r="F430" s="7">
        <f>IF($A430="","",E430*M430/100)</f>
        <v/>
      </c>
      <c r="I430" s="7" t="n"/>
      <c r="J430" s="7" t="n"/>
      <c r="L430" s="7" t="n"/>
      <c r="M430" s="7" t="n"/>
      <c r="N430" s="7" t="n"/>
      <c r="O430" s="7" t="n"/>
      <c r="R430" s="11" t="n"/>
      <c r="U430">
        <f>IF($A430="","",IF($AA430=1,Settings!$C$6,Settings!$C$7)*100)</f>
        <v/>
      </c>
      <c r="V430" s="7">
        <f>IF($A430="","",M430*U430/100)</f>
        <v/>
      </c>
      <c r="W430" s="7">
        <f>IF($A430="","",M430-V430)</f>
        <v/>
      </c>
      <c r="X430" s="7">
        <f>IF($A430="","",W430-F430)</f>
        <v/>
      </c>
      <c r="Y430">
        <f>IF($A430="","",IF(COUNTIF($A$2:$A430,$A430)=1,1,0))</f>
        <v/>
      </c>
      <c r="Z430">
        <f>IF($Y430=1,SUMPRODUCT(--($AB$2:$AB$501&lt;$AB430))+1,"")</f>
        <v/>
      </c>
      <c r="AA430">
        <f>IF($A430="","",IF(OR($T430=TRUE(),$T430="TRUE"),1,0))</f>
        <v/>
      </c>
      <c r="AB430">
        <f>IF($Y430=1,IFERROR(VALUE(MID($A430,2,20)),1000000000)+ROW()/100000,"")</f>
        <v/>
      </c>
    </row>
    <row r="431">
      <c r="F431" s="7">
        <f>IF($A431="","",E431*M431/100)</f>
        <v/>
      </c>
      <c r="I431" s="7" t="n"/>
      <c r="J431" s="7" t="n"/>
      <c r="L431" s="7" t="n"/>
      <c r="M431" s="7" t="n"/>
      <c r="N431" s="7" t="n"/>
      <c r="O431" s="7" t="n"/>
      <c r="R431" s="11" t="n"/>
      <c r="U431">
        <f>IF($A431="","",IF($AA431=1,Settings!$C$6,Settings!$C$7)*100)</f>
        <v/>
      </c>
      <c r="V431" s="7">
        <f>IF($A431="","",M431*U431/100)</f>
        <v/>
      </c>
      <c r="W431" s="7">
        <f>IF($A431="","",M431-V431)</f>
        <v/>
      </c>
      <c r="X431" s="7">
        <f>IF($A431="","",W431-F431)</f>
        <v/>
      </c>
      <c r="Y431">
        <f>IF($A431="","",IF(COUNTIF($A$2:$A431,$A431)=1,1,0))</f>
        <v/>
      </c>
      <c r="Z431">
        <f>IF($Y431=1,SUMPRODUCT(--($AB$2:$AB$501&lt;$AB431))+1,"")</f>
        <v/>
      </c>
      <c r="AA431">
        <f>IF($A431="","",IF(OR($T431=TRUE(),$T431="TRUE"),1,0))</f>
        <v/>
      </c>
      <c r="AB431">
        <f>IF($Y431=1,IFERROR(VALUE(MID($A431,2,20)),1000000000)+ROW()/100000,"")</f>
        <v/>
      </c>
    </row>
    <row r="432">
      <c r="F432" s="7">
        <f>IF($A432="","",E432*M432/100)</f>
        <v/>
      </c>
      <c r="I432" s="7" t="n"/>
      <c r="J432" s="7" t="n"/>
      <c r="L432" s="7" t="n"/>
      <c r="M432" s="7" t="n"/>
      <c r="N432" s="7" t="n"/>
      <c r="O432" s="7" t="n"/>
      <c r="R432" s="11" t="n"/>
      <c r="U432">
        <f>IF($A432="","",IF($AA432=1,Settings!$C$6,Settings!$C$7)*100)</f>
        <v/>
      </c>
      <c r="V432" s="7">
        <f>IF($A432="","",M432*U432/100)</f>
        <v/>
      </c>
      <c r="W432" s="7">
        <f>IF($A432="","",M432-V432)</f>
        <v/>
      </c>
      <c r="X432" s="7">
        <f>IF($A432="","",W432-F432)</f>
        <v/>
      </c>
      <c r="Y432">
        <f>IF($A432="","",IF(COUNTIF($A$2:$A432,$A432)=1,1,0))</f>
        <v/>
      </c>
      <c r="Z432">
        <f>IF($Y432=1,SUMPRODUCT(--($AB$2:$AB$501&lt;$AB432))+1,"")</f>
        <v/>
      </c>
      <c r="AA432">
        <f>IF($A432="","",IF(OR($T432=TRUE(),$T432="TRUE"),1,0))</f>
        <v/>
      </c>
      <c r="AB432">
        <f>IF($Y432=1,IFERROR(VALUE(MID($A432,2,20)),1000000000)+ROW()/100000,"")</f>
        <v/>
      </c>
    </row>
    <row r="433">
      <c r="F433" s="7">
        <f>IF($A433="","",E433*M433/100)</f>
        <v/>
      </c>
      <c r="I433" s="7" t="n"/>
      <c r="J433" s="7" t="n"/>
      <c r="L433" s="7" t="n"/>
      <c r="M433" s="7" t="n"/>
      <c r="N433" s="7" t="n"/>
      <c r="O433" s="7" t="n"/>
      <c r="R433" s="11" t="n"/>
      <c r="U433">
        <f>IF($A433="","",IF($AA433=1,Settings!$C$6,Settings!$C$7)*100)</f>
        <v/>
      </c>
      <c r="V433" s="7">
        <f>IF($A433="","",M433*U433/100)</f>
        <v/>
      </c>
      <c r="W433" s="7">
        <f>IF($A433="","",M433-V433)</f>
        <v/>
      </c>
      <c r="X433" s="7">
        <f>IF($A433="","",W433-F433)</f>
        <v/>
      </c>
      <c r="Y433">
        <f>IF($A433="","",IF(COUNTIF($A$2:$A433,$A433)=1,1,0))</f>
        <v/>
      </c>
      <c r="Z433">
        <f>IF($Y433=1,SUMPRODUCT(--($AB$2:$AB$501&lt;$AB433))+1,"")</f>
        <v/>
      </c>
      <c r="AA433">
        <f>IF($A433="","",IF(OR($T433=TRUE(),$T433="TRUE"),1,0))</f>
        <v/>
      </c>
      <c r="AB433">
        <f>IF($Y433=1,IFERROR(VALUE(MID($A433,2,20)),1000000000)+ROW()/100000,"")</f>
        <v/>
      </c>
    </row>
    <row r="434">
      <c r="F434" s="7">
        <f>IF($A434="","",E434*M434/100)</f>
        <v/>
      </c>
      <c r="I434" s="7" t="n"/>
      <c r="J434" s="7" t="n"/>
      <c r="L434" s="7" t="n"/>
      <c r="M434" s="7" t="n"/>
      <c r="N434" s="7" t="n"/>
      <c r="O434" s="7" t="n"/>
      <c r="R434" s="11" t="n"/>
      <c r="U434">
        <f>IF($A434="","",IF($AA434=1,Settings!$C$6,Settings!$C$7)*100)</f>
        <v/>
      </c>
      <c r="V434" s="7">
        <f>IF($A434="","",M434*U434/100)</f>
        <v/>
      </c>
      <c r="W434" s="7">
        <f>IF($A434="","",M434-V434)</f>
        <v/>
      </c>
      <c r="X434" s="7">
        <f>IF($A434="","",W434-F434)</f>
        <v/>
      </c>
      <c r="Y434">
        <f>IF($A434="","",IF(COUNTIF($A$2:$A434,$A434)=1,1,0))</f>
        <v/>
      </c>
      <c r="Z434">
        <f>IF($Y434=1,SUMPRODUCT(--($AB$2:$AB$501&lt;$AB434))+1,"")</f>
        <v/>
      </c>
      <c r="AA434">
        <f>IF($A434="","",IF(OR($T434=TRUE(),$T434="TRUE"),1,0))</f>
        <v/>
      </c>
      <c r="AB434">
        <f>IF($Y434=1,IFERROR(VALUE(MID($A434,2,20)),1000000000)+ROW()/100000,"")</f>
        <v/>
      </c>
    </row>
    <row r="435">
      <c r="F435" s="7">
        <f>IF($A435="","",E435*M435/100)</f>
        <v/>
      </c>
      <c r="I435" s="7" t="n"/>
      <c r="J435" s="7" t="n"/>
      <c r="L435" s="7" t="n"/>
      <c r="M435" s="7" t="n"/>
      <c r="N435" s="7" t="n"/>
      <c r="O435" s="7" t="n"/>
      <c r="R435" s="11" t="n"/>
      <c r="U435">
        <f>IF($A435="","",IF($AA435=1,Settings!$C$6,Settings!$C$7)*100)</f>
        <v/>
      </c>
      <c r="V435" s="7">
        <f>IF($A435="","",M435*U435/100)</f>
        <v/>
      </c>
      <c r="W435" s="7">
        <f>IF($A435="","",M435-V435)</f>
        <v/>
      </c>
      <c r="X435" s="7">
        <f>IF($A435="","",W435-F435)</f>
        <v/>
      </c>
      <c r="Y435">
        <f>IF($A435="","",IF(COUNTIF($A$2:$A435,$A435)=1,1,0))</f>
        <v/>
      </c>
      <c r="Z435">
        <f>IF($Y435=1,SUMPRODUCT(--($AB$2:$AB$501&lt;$AB435))+1,"")</f>
        <v/>
      </c>
      <c r="AA435">
        <f>IF($A435="","",IF(OR($T435=TRUE(),$T435="TRUE"),1,0))</f>
        <v/>
      </c>
      <c r="AB435">
        <f>IF($Y435=1,IFERROR(VALUE(MID($A435,2,20)),1000000000)+ROW()/100000,"")</f>
        <v/>
      </c>
    </row>
    <row r="436">
      <c r="F436" s="7">
        <f>IF($A436="","",E436*M436/100)</f>
        <v/>
      </c>
      <c r="I436" s="7" t="n"/>
      <c r="J436" s="7" t="n"/>
      <c r="L436" s="7" t="n"/>
      <c r="M436" s="7" t="n"/>
      <c r="N436" s="7" t="n"/>
      <c r="O436" s="7" t="n"/>
      <c r="R436" s="11" t="n"/>
      <c r="U436">
        <f>IF($A436="","",IF($AA436=1,Settings!$C$6,Settings!$C$7)*100)</f>
        <v/>
      </c>
      <c r="V436" s="7">
        <f>IF($A436="","",M436*U436/100)</f>
        <v/>
      </c>
      <c r="W436" s="7">
        <f>IF($A436="","",M436-V436)</f>
        <v/>
      </c>
      <c r="X436" s="7">
        <f>IF($A436="","",W436-F436)</f>
        <v/>
      </c>
      <c r="Y436">
        <f>IF($A436="","",IF(COUNTIF($A$2:$A436,$A436)=1,1,0))</f>
        <v/>
      </c>
      <c r="Z436">
        <f>IF($Y436=1,SUMPRODUCT(--($AB$2:$AB$501&lt;$AB436))+1,"")</f>
        <v/>
      </c>
      <c r="AA436">
        <f>IF($A436="","",IF(OR($T436=TRUE(),$T436="TRUE"),1,0))</f>
        <v/>
      </c>
      <c r="AB436">
        <f>IF($Y436=1,IFERROR(VALUE(MID($A436,2,20)),1000000000)+ROW()/100000,"")</f>
        <v/>
      </c>
    </row>
    <row r="437">
      <c r="F437" s="7">
        <f>IF($A437="","",E437*M437/100)</f>
        <v/>
      </c>
      <c r="I437" s="7" t="n"/>
      <c r="J437" s="7" t="n"/>
      <c r="L437" s="7" t="n"/>
      <c r="M437" s="7" t="n"/>
      <c r="N437" s="7" t="n"/>
      <c r="O437" s="7" t="n"/>
      <c r="R437" s="11" t="n"/>
      <c r="U437">
        <f>IF($A437="","",IF($AA437=1,Settings!$C$6,Settings!$C$7)*100)</f>
        <v/>
      </c>
      <c r="V437" s="7">
        <f>IF($A437="","",M437*U437/100)</f>
        <v/>
      </c>
      <c r="W437" s="7">
        <f>IF($A437="","",M437-V437)</f>
        <v/>
      </c>
      <c r="X437" s="7">
        <f>IF($A437="","",W437-F437)</f>
        <v/>
      </c>
      <c r="Y437">
        <f>IF($A437="","",IF(COUNTIF($A$2:$A437,$A437)=1,1,0))</f>
        <v/>
      </c>
      <c r="Z437">
        <f>IF($Y437=1,SUMPRODUCT(--($AB$2:$AB$501&lt;$AB437))+1,"")</f>
        <v/>
      </c>
      <c r="AA437">
        <f>IF($A437="","",IF(OR($T437=TRUE(),$T437="TRUE"),1,0))</f>
        <v/>
      </c>
      <c r="AB437">
        <f>IF($Y437=1,IFERROR(VALUE(MID($A437,2,20)),1000000000)+ROW()/100000,"")</f>
        <v/>
      </c>
    </row>
    <row r="438">
      <c r="F438" s="7">
        <f>IF($A438="","",E438*M438/100)</f>
        <v/>
      </c>
      <c r="I438" s="7" t="n"/>
      <c r="J438" s="7" t="n"/>
      <c r="L438" s="7" t="n"/>
      <c r="M438" s="7" t="n"/>
      <c r="N438" s="7" t="n"/>
      <c r="O438" s="7" t="n"/>
      <c r="R438" s="11" t="n"/>
      <c r="U438">
        <f>IF($A438="","",IF($AA438=1,Settings!$C$6,Settings!$C$7)*100)</f>
        <v/>
      </c>
      <c r="V438" s="7">
        <f>IF($A438="","",M438*U438/100)</f>
        <v/>
      </c>
      <c r="W438" s="7">
        <f>IF($A438="","",M438-V438)</f>
        <v/>
      </c>
      <c r="X438" s="7">
        <f>IF($A438="","",W438-F438)</f>
        <v/>
      </c>
      <c r="Y438">
        <f>IF($A438="","",IF(COUNTIF($A$2:$A438,$A438)=1,1,0))</f>
        <v/>
      </c>
      <c r="Z438">
        <f>IF($Y438=1,SUMPRODUCT(--($AB$2:$AB$501&lt;$AB438))+1,"")</f>
        <v/>
      </c>
      <c r="AA438">
        <f>IF($A438="","",IF(OR($T438=TRUE(),$T438="TRUE"),1,0))</f>
        <v/>
      </c>
      <c r="AB438">
        <f>IF($Y438=1,IFERROR(VALUE(MID($A438,2,20)),1000000000)+ROW()/100000,"")</f>
        <v/>
      </c>
    </row>
    <row r="439">
      <c r="F439" s="7">
        <f>IF($A439="","",E439*M439/100)</f>
        <v/>
      </c>
      <c r="I439" s="7" t="n"/>
      <c r="J439" s="7" t="n"/>
      <c r="L439" s="7" t="n"/>
      <c r="M439" s="7" t="n"/>
      <c r="N439" s="7" t="n"/>
      <c r="O439" s="7" t="n"/>
      <c r="R439" s="11" t="n"/>
      <c r="U439">
        <f>IF($A439="","",IF($AA439=1,Settings!$C$6,Settings!$C$7)*100)</f>
        <v/>
      </c>
      <c r="V439" s="7">
        <f>IF($A439="","",M439*U439/100)</f>
        <v/>
      </c>
      <c r="W439" s="7">
        <f>IF($A439="","",M439-V439)</f>
        <v/>
      </c>
      <c r="X439" s="7">
        <f>IF($A439="","",W439-F439)</f>
        <v/>
      </c>
      <c r="Y439">
        <f>IF($A439="","",IF(COUNTIF($A$2:$A439,$A439)=1,1,0))</f>
        <v/>
      </c>
      <c r="Z439">
        <f>IF($Y439=1,SUMPRODUCT(--($AB$2:$AB$501&lt;$AB439))+1,"")</f>
        <v/>
      </c>
      <c r="AA439">
        <f>IF($A439="","",IF(OR($T439=TRUE(),$T439="TRUE"),1,0))</f>
        <v/>
      </c>
      <c r="AB439">
        <f>IF($Y439=1,IFERROR(VALUE(MID($A439,2,20)),1000000000)+ROW()/100000,"")</f>
        <v/>
      </c>
    </row>
    <row r="440">
      <c r="F440" s="7">
        <f>IF($A440="","",E440*M440/100)</f>
        <v/>
      </c>
      <c r="I440" s="7" t="n"/>
      <c r="J440" s="7" t="n"/>
      <c r="L440" s="7" t="n"/>
      <c r="M440" s="7" t="n"/>
      <c r="N440" s="7" t="n"/>
      <c r="O440" s="7" t="n"/>
      <c r="R440" s="11" t="n"/>
      <c r="U440">
        <f>IF($A440="","",IF($AA440=1,Settings!$C$6,Settings!$C$7)*100)</f>
        <v/>
      </c>
      <c r="V440" s="7">
        <f>IF($A440="","",M440*U440/100)</f>
        <v/>
      </c>
      <c r="W440" s="7">
        <f>IF($A440="","",M440-V440)</f>
        <v/>
      </c>
      <c r="X440" s="7">
        <f>IF($A440="","",W440-F440)</f>
        <v/>
      </c>
      <c r="Y440">
        <f>IF($A440="","",IF(COUNTIF($A$2:$A440,$A440)=1,1,0))</f>
        <v/>
      </c>
      <c r="Z440">
        <f>IF($Y440=1,SUMPRODUCT(--($AB$2:$AB$501&lt;$AB440))+1,"")</f>
        <v/>
      </c>
      <c r="AA440">
        <f>IF($A440="","",IF(OR($T440=TRUE(),$T440="TRUE"),1,0))</f>
        <v/>
      </c>
      <c r="AB440">
        <f>IF($Y440=1,IFERROR(VALUE(MID($A440,2,20)),1000000000)+ROW()/100000,"")</f>
        <v/>
      </c>
    </row>
    <row r="441">
      <c r="F441" s="7">
        <f>IF($A441="","",E441*M441/100)</f>
        <v/>
      </c>
      <c r="I441" s="7" t="n"/>
      <c r="J441" s="7" t="n"/>
      <c r="L441" s="7" t="n"/>
      <c r="M441" s="7" t="n"/>
      <c r="N441" s="7" t="n"/>
      <c r="O441" s="7" t="n"/>
      <c r="R441" s="11" t="n"/>
      <c r="U441">
        <f>IF($A441="","",IF($AA441=1,Settings!$C$6,Settings!$C$7)*100)</f>
        <v/>
      </c>
      <c r="V441" s="7">
        <f>IF($A441="","",M441*U441/100)</f>
        <v/>
      </c>
      <c r="W441" s="7">
        <f>IF($A441="","",M441-V441)</f>
        <v/>
      </c>
      <c r="X441" s="7">
        <f>IF($A441="","",W441-F441)</f>
        <v/>
      </c>
      <c r="Y441">
        <f>IF($A441="","",IF(COUNTIF($A$2:$A441,$A441)=1,1,0))</f>
        <v/>
      </c>
      <c r="Z441">
        <f>IF($Y441=1,SUMPRODUCT(--($AB$2:$AB$501&lt;$AB441))+1,"")</f>
        <v/>
      </c>
      <c r="AA441">
        <f>IF($A441="","",IF(OR($T441=TRUE(),$T441="TRUE"),1,0))</f>
        <v/>
      </c>
      <c r="AB441">
        <f>IF($Y441=1,IFERROR(VALUE(MID($A441,2,20)),1000000000)+ROW()/100000,"")</f>
        <v/>
      </c>
    </row>
    <row r="442">
      <c r="F442" s="7">
        <f>IF($A442="","",E442*M442/100)</f>
        <v/>
      </c>
      <c r="I442" s="7" t="n"/>
      <c r="J442" s="7" t="n"/>
      <c r="L442" s="7" t="n"/>
      <c r="M442" s="7" t="n"/>
      <c r="N442" s="7" t="n"/>
      <c r="O442" s="7" t="n"/>
      <c r="R442" s="11" t="n"/>
      <c r="U442">
        <f>IF($A442="","",IF($AA442=1,Settings!$C$6,Settings!$C$7)*100)</f>
        <v/>
      </c>
      <c r="V442" s="7">
        <f>IF($A442="","",M442*U442/100)</f>
        <v/>
      </c>
      <c r="W442" s="7">
        <f>IF($A442="","",M442-V442)</f>
        <v/>
      </c>
      <c r="X442" s="7">
        <f>IF($A442="","",W442-F442)</f>
        <v/>
      </c>
      <c r="Y442">
        <f>IF($A442="","",IF(COUNTIF($A$2:$A442,$A442)=1,1,0))</f>
        <v/>
      </c>
      <c r="Z442">
        <f>IF($Y442=1,SUMPRODUCT(--($AB$2:$AB$501&lt;$AB442))+1,"")</f>
        <v/>
      </c>
      <c r="AA442">
        <f>IF($A442="","",IF(OR($T442=TRUE(),$T442="TRUE"),1,0))</f>
        <v/>
      </c>
      <c r="AB442">
        <f>IF($Y442=1,IFERROR(VALUE(MID($A442,2,20)),1000000000)+ROW()/100000,"")</f>
        <v/>
      </c>
    </row>
    <row r="443">
      <c r="F443" s="7">
        <f>IF($A443="","",E443*M443/100)</f>
        <v/>
      </c>
      <c r="I443" s="7" t="n"/>
      <c r="J443" s="7" t="n"/>
      <c r="L443" s="7" t="n"/>
      <c r="M443" s="7" t="n"/>
      <c r="N443" s="7" t="n"/>
      <c r="O443" s="7" t="n"/>
      <c r="R443" s="11" t="n"/>
      <c r="U443">
        <f>IF($A443="","",IF($AA443=1,Settings!$C$6,Settings!$C$7)*100)</f>
        <v/>
      </c>
      <c r="V443" s="7">
        <f>IF($A443="","",M443*U443/100)</f>
        <v/>
      </c>
      <c r="W443" s="7">
        <f>IF($A443="","",M443-V443)</f>
        <v/>
      </c>
      <c r="X443" s="7">
        <f>IF($A443="","",W443-F443)</f>
        <v/>
      </c>
      <c r="Y443">
        <f>IF($A443="","",IF(COUNTIF($A$2:$A443,$A443)=1,1,0))</f>
        <v/>
      </c>
      <c r="Z443">
        <f>IF($Y443=1,SUMPRODUCT(--($AB$2:$AB$501&lt;$AB443))+1,"")</f>
        <v/>
      </c>
      <c r="AA443">
        <f>IF($A443="","",IF(OR($T443=TRUE(),$T443="TRUE"),1,0))</f>
        <v/>
      </c>
      <c r="AB443">
        <f>IF($Y443=1,IFERROR(VALUE(MID($A443,2,20)),1000000000)+ROW()/100000,"")</f>
        <v/>
      </c>
    </row>
    <row r="444">
      <c r="F444" s="7">
        <f>IF($A444="","",E444*M444/100)</f>
        <v/>
      </c>
      <c r="I444" s="7" t="n"/>
      <c r="J444" s="7" t="n"/>
      <c r="L444" s="7" t="n"/>
      <c r="M444" s="7" t="n"/>
      <c r="N444" s="7" t="n"/>
      <c r="O444" s="7" t="n"/>
      <c r="R444" s="11" t="n"/>
      <c r="U444">
        <f>IF($A444="","",IF($AA444=1,Settings!$C$6,Settings!$C$7)*100)</f>
        <v/>
      </c>
      <c r="V444" s="7">
        <f>IF($A444="","",M444*U444/100)</f>
        <v/>
      </c>
      <c r="W444" s="7">
        <f>IF($A444="","",M444-V444)</f>
        <v/>
      </c>
      <c r="X444" s="7">
        <f>IF($A444="","",W444-F444)</f>
        <v/>
      </c>
      <c r="Y444">
        <f>IF($A444="","",IF(COUNTIF($A$2:$A444,$A444)=1,1,0))</f>
        <v/>
      </c>
      <c r="Z444">
        <f>IF($Y444=1,SUMPRODUCT(--($AB$2:$AB$501&lt;$AB444))+1,"")</f>
        <v/>
      </c>
      <c r="AA444">
        <f>IF($A444="","",IF(OR($T444=TRUE(),$T444="TRUE"),1,0))</f>
        <v/>
      </c>
      <c r="AB444">
        <f>IF($Y444=1,IFERROR(VALUE(MID($A444,2,20)),1000000000)+ROW()/100000,"")</f>
        <v/>
      </c>
    </row>
    <row r="445">
      <c r="F445" s="7">
        <f>IF($A445="","",E445*M445/100)</f>
        <v/>
      </c>
      <c r="I445" s="7" t="n"/>
      <c r="J445" s="7" t="n"/>
      <c r="L445" s="7" t="n"/>
      <c r="M445" s="7" t="n"/>
      <c r="N445" s="7" t="n"/>
      <c r="O445" s="7" t="n"/>
      <c r="R445" s="11" t="n"/>
      <c r="U445">
        <f>IF($A445="","",IF($AA445=1,Settings!$C$6,Settings!$C$7)*100)</f>
        <v/>
      </c>
      <c r="V445" s="7">
        <f>IF($A445="","",M445*U445/100)</f>
        <v/>
      </c>
      <c r="W445" s="7">
        <f>IF($A445="","",M445-V445)</f>
        <v/>
      </c>
      <c r="X445" s="7">
        <f>IF($A445="","",W445-F445)</f>
        <v/>
      </c>
      <c r="Y445">
        <f>IF($A445="","",IF(COUNTIF($A$2:$A445,$A445)=1,1,0))</f>
        <v/>
      </c>
      <c r="Z445">
        <f>IF($Y445=1,SUMPRODUCT(--($AB$2:$AB$501&lt;$AB445))+1,"")</f>
        <v/>
      </c>
      <c r="AA445">
        <f>IF($A445="","",IF(OR($T445=TRUE(),$T445="TRUE"),1,0))</f>
        <v/>
      </c>
      <c r="AB445">
        <f>IF($Y445=1,IFERROR(VALUE(MID($A445,2,20)),1000000000)+ROW()/100000,"")</f>
        <v/>
      </c>
    </row>
    <row r="446">
      <c r="F446" s="7">
        <f>IF($A446="","",E446*M446/100)</f>
        <v/>
      </c>
      <c r="I446" s="7" t="n"/>
      <c r="J446" s="7" t="n"/>
      <c r="L446" s="7" t="n"/>
      <c r="M446" s="7" t="n"/>
      <c r="N446" s="7" t="n"/>
      <c r="O446" s="7" t="n"/>
      <c r="R446" s="11" t="n"/>
      <c r="U446">
        <f>IF($A446="","",IF($AA446=1,Settings!$C$6,Settings!$C$7)*100)</f>
        <v/>
      </c>
      <c r="V446" s="7">
        <f>IF($A446="","",M446*U446/100)</f>
        <v/>
      </c>
      <c r="W446" s="7">
        <f>IF($A446="","",M446-V446)</f>
        <v/>
      </c>
      <c r="X446" s="7">
        <f>IF($A446="","",W446-F446)</f>
        <v/>
      </c>
      <c r="Y446">
        <f>IF($A446="","",IF(COUNTIF($A$2:$A446,$A446)=1,1,0))</f>
        <v/>
      </c>
      <c r="Z446">
        <f>IF($Y446=1,SUMPRODUCT(--($AB$2:$AB$501&lt;$AB446))+1,"")</f>
        <v/>
      </c>
      <c r="AA446">
        <f>IF($A446="","",IF(OR($T446=TRUE(),$T446="TRUE"),1,0))</f>
        <v/>
      </c>
      <c r="AB446">
        <f>IF($Y446=1,IFERROR(VALUE(MID($A446,2,20)),1000000000)+ROW()/100000,"")</f>
        <v/>
      </c>
    </row>
    <row r="447">
      <c r="F447" s="7">
        <f>IF($A447="","",E447*M447/100)</f>
        <v/>
      </c>
      <c r="I447" s="7" t="n"/>
      <c r="J447" s="7" t="n"/>
      <c r="L447" s="7" t="n"/>
      <c r="M447" s="7" t="n"/>
      <c r="N447" s="7" t="n"/>
      <c r="O447" s="7" t="n"/>
      <c r="R447" s="11" t="n"/>
      <c r="U447">
        <f>IF($A447="","",IF($AA447=1,Settings!$C$6,Settings!$C$7)*100)</f>
        <v/>
      </c>
      <c r="V447" s="7">
        <f>IF($A447="","",M447*U447/100)</f>
        <v/>
      </c>
      <c r="W447" s="7">
        <f>IF($A447="","",M447-V447)</f>
        <v/>
      </c>
      <c r="X447" s="7">
        <f>IF($A447="","",W447-F447)</f>
        <v/>
      </c>
      <c r="Y447">
        <f>IF($A447="","",IF(COUNTIF($A$2:$A447,$A447)=1,1,0))</f>
        <v/>
      </c>
      <c r="Z447">
        <f>IF($Y447=1,SUMPRODUCT(--($AB$2:$AB$501&lt;$AB447))+1,"")</f>
        <v/>
      </c>
      <c r="AA447">
        <f>IF($A447="","",IF(OR($T447=TRUE(),$T447="TRUE"),1,0))</f>
        <v/>
      </c>
      <c r="AB447">
        <f>IF($Y447=1,IFERROR(VALUE(MID($A447,2,20)),1000000000)+ROW()/100000,"")</f>
        <v/>
      </c>
    </row>
    <row r="448">
      <c r="F448" s="7">
        <f>IF($A448="","",E448*M448/100)</f>
        <v/>
      </c>
      <c r="I448" s="7" t="n"/>
      <c r="J448" s="7" t="n"/>
      <c r="L448" s="7" t="n"/>
      <c r="M448" s="7" t="n"/>
      <c r="N448" s="7" t="n"/>
      <c r="O448" s="7" t="n"/>
      <c r="R448" s="11" t="n"/>
      <c r="U448">
        <f>IF($A448="","",IF($AA448=1,Settings!$C$6,Settings!$C$7)*100)</f>
        <v/>
      </c>
      <c r="V448" s="7">
        <f>IF($A448="","",M448*U448/100)</f>
        <v/>
      </c>
      <c r="W448" s="7">
        <f>IF($A448="","",M448-V448)</f>
        <v/>
      </c>
      <c r="X448" s="7">
        <f>IF($A448="","",W448-F448)</f>
        <v/>
      </c>
      <c r="Y448">
        <f>IF($A448="","",IF(COUNTIF($A$2:$A448,$A448)=1,1,0))</f>
        <v/>
      </c>
      <c r="Z448">
        <f>IF($Y448=1,SUMPRODUCT(--($AB$2:$AB$501&lt;$AB448))+1,"")</f>
        <v/>
      </c>
      <c r="AA448">
        <f>IF($A448="","",IF(OR($T448=TRUE(),$T448="TRUE"),1,0))</f>
        <v/>
      </c>
      <c r="AB448">
        <f>IF($Y448=1,IFERROR(VALUE(MID($A448,2,20)),1000000000)+ROW()/100000,"")</f>
        <v/>
      </c>
    </row>
    <row r="449">
      <c r="F449" s="7">
        <f>IF($A449="","",E449*M449/100)</f>
        <v/>
      </c>
      <c r="I449" s="7" t="n"/>
      <c r="J449" s="7" t="n"/>
      <c r="L449" s="7" t="n"/>
      <c r="M449" s="7" t="n"/>
      <c r="N449" s="7" t="n"/>
      <c r="O449" s="7" t="n"/>
      <c r="R449" s="11" t="n"/>
      <c r="U449">
        <f>IF($A449="","",IF($AA449=1,Settings!$C$6,Settings!$C$7)*100)</f>
        <v/>
      </c>
      <c r="V449" s="7">
        <f>IF($A449="","",M449*U449/100)</f>
        <v/>
      </c>
      <c r="W449" s="7">
        <f>IF($A449="","",M449-V449)</f>
        <v/>
      </c>
      <c r="X449" s="7">
        <f>IF($A449="","",W449-F449)</f>
        <v/>
      </c>
      <c r="Y449">
        <f>IF($A449="","",IF(COUNTIF($A$2:$A449,$A449)=1,1,0))</f>
        <v/>
      </c>
      <c r="Z449">
        <f>IF($Y449=1,SUMPRODUCT(--($AB$2:$AB$501&lt;$AB449))+1,"")</f>
        <v/>
      </c>
      <c r="AA449">
        <f>IF($A449="","",IF(OR($T449=TRUE(),$T449="TRUE"),1,0))</f>
        <v/>
      </c>
      <c r="AB449">
        <f>IF($Y449=1,IFERROR(VALUE(MID($A449,2,20)),1000000000)+ROW()/100000,"")</f>
        <v/>
      </c>
    </row>
    <row r="450">
      <c r="F450" s="7">
        <f>IF($A450="","",E450*M450/100)</f>
        <v/>
      </c>
      <c r="I450" s="7" t="n"/>
      <c r="J450" s="7" t="n"/>
      <c r="L450" s="7" t="n"/>
      <c r="M450" s="7" t="n"/>
      <c r="N450" s="7" t="n"/>
      <c r="O450" s="7" t="n"/>
      <c r="R450" s="11" t="n"/>
      <c r="U450">
        <f>IF($A450="","",IF($AA450=1,Settings!$C$6,Settings!$C$7)*100)</f>
        <v/>
      </c>
      <c r="V450" s="7">
        <f>IF($A450="","",M450*U450/100)</f>
        <v/>
      </c>
      <c r="W450" s="7">
        <f>IF($A450="","",M450-V450)</f>
        <v/>
      </c>
      <c r="X450" s="7">
        <f>IF($A450="","",W450-F450)</f>
        <v/>
      </c>
      <c r="Y450">
        <f>IF($A450="","",IF(COUNTIF($A$2:$A450,$A450)=1,1,0))</f>
        <v/>
      </c>
      <c r="Z450">
        <f>IF($Y450=1,SUMPRODUCT(--($AB$2:$AB$501&lt;$AB450))+1,"")</f>
        <v/>
      </c>
      <c r="AA450">
        <f>IF($A450="","",IF(OR($T450=TRUE(),$T450="TRUE"),1,0))</f>
        <v/>
      </c>
      <c r="AB450">
        <f>IF($Y450=1,IFERROR(VALUE(MID($A450,2,20)),1000000000)+ROW()/100000,"")</f>
        <v/>
      </c>
    </row>
    <row r="451">
      <c r="F451" s="7">
        <f>IF($A451="","",E451*M451/100)</f>
        <v/>
      </c>
      <c r="I451" s="7" t="n"/>
      <c r="J451" s="7" t="n"/>
      <c r="L451" s="7" t="n"/>
      <c r="M451" s="7" t="n"/>
      <c r="N451" s="7" t="n"/>
      <c r="O451" s="7" t="n"/>
      <c r="R451" s="11" t="n"/>
      <c r="U451">
        <f>IF($A451="","",IF($AA451=1,Settings!$C$6,Settings!$C$7)*100)</f>
        <v/>
      </c>
      <c r="V451" s="7">
        <f>IF($A451="","",M451*U451/100)</f>
        <v/>
      </c>
      <c r="W451" s="7">
        <f>IF($A451="","",M451-V451)</f>
        <v/>
      </c>
      <c r="X451" s="7">
        <f>IF($A451="","",W451-F451)</f>
        <v/>
      </c>
      <c r="Y451">
        <f>IF($A451="","",IF(COUNTIF($A$2:$A451,$A451)=1,1,0))</f>
        <v/>
      </c>
      <c r="Z451">
        <f>IF($Y451=1,SUMPRODUCT(--($AB$2:$AB$501&lt;$AB451))+1,"")</f>
        <v/>
      </c>
      <c r="AA451">
        <f>IF($A451="","",IF(OR($T451=TRUE(),$T451="TRUE"),1,0))</f>
        <v/>
      </c>
      <c r="AB451">
        <f>IF($Y451=1,IFERROR(VALUE(MID($A451,2,20)),1000000000)+ROW()/100000,"")</f>
        <v/>
      </c>
    </row>
    <row r="452">
      <c r="F452" s="7">
        <f>IF($A452="","",E452*M452/100)</f>
        <v/>
      </c>
      <c r="I452" s="7" t="n"/>
      <c r="J452" s="7" t="n"/>
      <c r="L452" s="7" t="n"/>
      <c r="M452" s="7" t="n"/>
      <c r="N452" s="7" t="n"/>
      <c r="O452" s="7" t="n"/>
      <c r="R452" s="11" t="n"/>
      <c r="U452">
        <f>IF($A452="","",IF($AA452=1,Settings!$C$6,Settings!$C$7)*100)</f>
        <v/>
      </c>
      <c r="V452" s="7">
        <f>IF($A452="","",M452*U452/100)</f>
        <v/>
      </c>
      <c r="W452" s="7">
        <f>IF($A452="","",M452-V452)</f>
        <v/>
      </c>
      <c r="X452" s="7">
        <f>IF($A452="","",W452-F452)</f>
        <v/>
      </c>
      <c r="Y452">
        <f>IF($A452="","",IF(COUNTIF($A$2:$A452,$A452)=1,1,0))</f>
        <v/>
      </c>
      <c r="Z452">
        <f>IF($Y452=1,SUMPRODUCT(--($AB$2:$AB$501&lt;$AB452))+1,"")</f>
        <v/>
      </c>
      <c r="AA452">
        <f>IF($A452="","",IF(OR($T452=TRUE(),$T452="TRUE"),1,0))</f>
        <v/>
      </c>
      <c r="AB452">
        <f>IF($Y452=1,IFERROR(VALUE(MID($A452,2,20)),1000000000)+ROW()/100000,"")</f>
        <v/>
      </c>
    </row>
    <row r="453">
      <c r="F453" s="7">
        <f>IF($A453="","",E453*M453/100)</f>
        <v/>
      </c>
      <c r="I453" s="7" t="n"/>
      <c r="J453" s="7" t="n"/>
      <c r="L453" s="7" t="n"/>
      <c r="M453" s="7" t="n"/>
      <c r="N453" s="7" t="n"/>
      <c r="O453" s="7" t="n"/>
      <c r="R453" s="11" t="n"/>
      <c r="U453">
        <f>IF($A453="","",IF($AA453=1,Settings!$C$6,Settings!$C$7)*100)</f>
        <v/>
      </c>
      <c r="V453" s="7">
        <f>IF($A453="","",M453*U453/100)</f>
        <v/>
      </c>
      <c r="W453" s="7">
        <f>IF($A453="","",M453-V453)</f>
        <v/>
      </c>
      <c r="X453" s="7">
        <f>IF($A453="","",W453-F453)</f>
        <v/>
      </c>
      <c r="Y453">
        <f>IF($A453="","",IF(COUNTIF($A$2:$A453,$A453)=1,1,0))</f>
        <v/>
      </c>
      <c r="Z453">
        <f>IF($Y453=1,SUMPRODUCT(--($AB$2:$AB$501&lt;$AB453))+1,"")</f>
        <v/>
      </c>
      <c r="AA453">
        <f>IF($A453="","",IF(OR($T453=TRUE(),$T453="TRUE"),1,0))</f>
        <v/>
      </c>
      <c r="AB453">
        <f>IF($Y453=1,IFERROR(VALUE(MID($A453,2,20)),1000000000)+ROW()/100000,"")</f>
        <v/>
      </c>
    </row>
    <row r="454">
      <c r="F454" s="7">
        <f>IF($A454="","",E454*M454/100)</f>
        <v/>
      </c>
      <c r="I454" s="7" t="n"/>
      <c r="J454" s="7" t="n"/>
      <c r="L454" s="7" t="n"/>
      <c r="M454" s="7" t="n"/>
      <c r="N454" s="7" t="n"/>
      <c r="O454" s="7" t="n"/>
      <c r="R454" s="11" t="n"/>
      <c r="U454">
        <f>IF($A454="","",IF($AA454=1,Settings!$C$6,Settings!$C$7)*100)</f>
        <v/>
      </c>
      <c r="V454" s="7">
        <f>IF($A454="","",M454*U454/100)</f>
        <v/>
      </c>
      <c r="W454" s="7">
        <f>IF($A454="","",M454-V454)</f>
        <v/>
      </c>
      <c r="X454" s="7">
        <f>IF($A454="","",W454-F454)</f>
        <v/>
      </c>
      <c r="Y454">
        <f>IF($A454="","",IF(COUNTIF($A$2:$A454,$A454)=1,1,0))</f>
        <v/>
      </c>
      <c r="Z454">
        <f>IF($Y454=1,SUMPRODUCT(--($AB$2:$AB$501&lt;$AB454))+1,"")</f>
        <v/>
      </c>
      <c r="AA454">
        <f>IF($A454="","",IF(OR($T454=TRUE(),$T454="TRUE"),1,0))</f>
        <v/>
      </c>
      <c r="AB454">
        <f>IF($Y454=1,IFERROR(VALUE(MID($A454,2,20)),1000000000)+ROW()/100000,"")</f>
        <v/>
      </c>
    </row>
    <row r="455">
      <c r="F455" s="7">
        <f>IF($A455="","",E455*M455/100)</f>
        <v/>
      </c>
      <c r="I455" s="7" t="n"/>
      <c r="J455" s="7" t="n"/>
      <c r="L455" s="7" t="n"/>
      <c r="M455" s="7" t="n"/>
      <c r="N455" s="7" t="n"/>
      <c r="O455" s="7" t="n"/>
      <c r="R455" s="11" t="n"/>
      <c r="U455">
        <f>IF($A455="","",IF($AA455=1,Settings!$C$6,Settings!$C$7)*100)</f>
        <v/>
      </c>
      <c r="V455" s="7">
        <f>IF($A455="","",M455*U455/100)</f>
        <v/>
      </c>
      <c r="W455" s="7">
        <f>IF($A455="","",M455-V455)</f>
        <v/>
      </c>
      <c r="X455" s="7">
        <f>IF($A455="","",W455-F455)</f>
        <v/>
      </c>
      <c r="Y455">
        <f>IF($A455="","",IF(COUNTIF($A$2:$A455,$A455)=1,1,0))</f>
        <v/>
      </c>
      <c r="Z455">
        <f>IF($Y455=1,SUMPRODUCT(--($AB$2:$AB$501&lt;$AB455))+1,"")</f>
        <v/>
      </c>
      <c r="AA455">
        <f>IF($A455="","",IF(OR($T455=TRUE(),$T455="TRUE"),1,0))</f>
        <v/>
      </c>
      <c r="AB455">
        <f>IF($Y455=1,IFERROR(VALUE(MID($A455,2,20)),1000000000)+ROW()/100000,"")</f>
        <v/>
      </c>
    </row>
    <row r="456">
      <c r="F456" s="7">
        <f>IF($A456="","",E456*M456/100)</f>
        <v/>
      </c>
      <c r="I456" s="7" t="n"/>
      <c r="J456" s="7" t="n"/>
      <c r="L456" s="7" t="n"/>
      <c r="M456" s="7" t="n"/>
      <c r="N456" s="7" t="n"/>
      <c r="O456" s="7" t="n"/>
      <c r="R456" s="11" t="n"/>
      <c r="U456">
        <f>IF($A456="","",IF($AA456=1,Settings!$C$6,Settings!$C$7)*100)</f>
        <v/>
      </c>
      <c r="V456" s="7">
        <f>IF($A456="","",M456*U456/100)</f>
        <v/>
      </c>
      <c r="W456" s="7">
        <f>IF($A456="","",M456-V456)</f>
        <v/>
      </c>
      <c r="X456" s="7">
        <f>IF($A456="","",W456-F456)</f>
        <v/>
      </c>
      <c r="Y456">
        <f>IF($A456="","",IF(COUNTIF($A$2:$A456,$A456)=1,1,0))</f>
        <v/>
      </c>
      <c r="Z456">
        <f>IF($Y456=1,SUMPRODUCT(--($AB$2:$AB$501&lt;$AB456))+1,"")</f>
        <v/>
      </c>
      <c r="AA456">
        <f>IF($A456="","",IF(OR($T456=TRUE(),$T456="TRUE"),1,0))</f>
        <v/>
      </c>
      <c r="AB456">
        <f>IF($Y456=1,IFERROR(VALUE(MID($A456,2,20)),1000000000)+ROW()/100000,"")</f>
        <v/>
      </c>
    </row>
    <row r="457">
      <c r="F457" s="7">
        <f>IF($A457="","",E457*M457/100)</f>
        <v/>
      </c>
      <c r="I457" s="7" t="n"/>
      <c r="J457" s="7" t="n"/>
      <c r="L457" s="7" t="n"/>
      <c r="M457" s="7" t="n"/>
      <c r="N457" s="7" t="n"/>
      <c r="O457" s="7" t="n"/>
      <c r="R457" s="11" t="n"/>
      <c r="U457">
        <f>IF($A457="","",IF($AA457=1,Settings!$C$6,Settings!$C$7)*100)</f>
        <v/>
      </c>
      <c r="V457" s="7">
        <f>IF($A457="","",M457*U457/100)</f>
        <v/>
      </c>
      <c r="W457" s="7">
        <f>IF($A457="","",M457-V457)</f>
        <v/>
      </c>
      <c r="X457" s="7">
        <f>IF($A457="","",W457-F457)</f>
        <v/>
      </c>
      <c r="Y457">
        <f>IF($A457="","",IF(COUNTIF($A$2:$A457,$A457)=1,1,0))</f>
        <v/>
      </c>
      <c r="Z457">
        <f>IF($Y457=1,SUMPRODUCT(--($AB$2:$AB$501&lt;$AB457))+1,"")</f>
        <v/>
      </c>
      <c r="AA457">
        <f>IF($A457="","",IF(OR($T457=TRUE(),$T457="TRUE"),1,0))</f>
        <v/>
      </c>
      <c r="AB457">
        <f>IF($Y457=1,IFERROR(VALUE(MID($A457,2,20)),1000000000)+ROW()/100000,"")</f>
        <v/>
      </c>
    </row>
    <row r="458">
      <c r="F458" s="7">
        <f>IF($A458="","",E458*M458/100)</f>
        <v/>
      </c>
      <c r="I458" s="7" t="n"/>
      <c r="J458" s="7" t="n"/>
      <c r="L458" s="7" t="n"/>
      <c r="M458" s="7" t="n"/>
      <c r="N458" s="7" t="n"/>
      <c r="O458" s="7" t="n"/>
      <c r="R458" s="11" t="n"/>
      <c r="U458">
        <f>IF($A458="","",IF($AA458=1,Settings!$C$6,Settings!$C$7)*100)</f>
        <v/>
      </c>
      <c r="V458" s="7">
        <f>IF($A458="","",M458*U458/100)</f>
        <v/>
      </c>
      <c r="W458" s="7">
        <f>IF($A458="","",M458-V458)</f>
        <v/>
      </c>
      <c r="X458" s="7">
        <f>IF($A458="","",W458-F458)</f>
        <v/>
      </c>
      <c r="Y458">
        <f>IF($A458="","",IF(COUNTIF($A$2:$A458,$A458)=1,1,0))</f>
        <v/>
      </c>
      <c r="Z458">
        <f>IF($Y458=1,SUMPRODUCT(--($AB$2:$AB$501&lt;$AB458))+1,"")</f>
        <v/>
      </c>
      <c r="AA458">
        <f>IF($A458="","",IF(OR($T458=TRUE(),$T458="TRUE"),1,0))</f>
        <v/>
      </c>
      <c r="AB458">
        <f>IF($Y458=1,IFERROR(VALUE(MID($A458,2,20)),1000000000)+ROW()/100000,"")</f>
        <v/>
      </c>
    </row>
    <row r="459">
      <c r="F459" s="7">
        <f>IF($A459="","",E459*M459/100)</f>
        <v/>
      </c>
      <c r="I459" s="7" t="n"/>
      <c r="J459" s="7" t="n"/>
      <c r="L459" s="7" t="n"/>
      <c r="M459" s="7" t="n"/>
      <c r="N459" s="7" t="n"/>
      <c r="O459" s="7" t="n"/>
      <c r="R459" s="11" t="n"/>
      <c r="U459">
        <f>IF($A459="","",IF($AA459=1,Settings!$C$6,Settings!$C$7)*100)</f>
        <v/>
      </c>
      <c r="V459" s="7">
        <f>IF($A459="","",M459*U459/100)</f>
        <v/>
      </c>
      <c r="W459" s="7">
        <f>IF($A459="","",M459-V459)</f>
        <v/>
      </c>
      <c r="X459" s="7">
        <f>IF($A459="","",W459-F459)</f>
        <v/>
      </c>
      <c r="Y459">
        <f>IF($A459="","",IF(COUNTIF($A$2:$A459,$A459)=1,1,0))</f>
        <v/>
      </c>
      <c r="Z459">
        <f>IF($Y459=1,SUMPRODUCT(--($AB$2:$AB$501&lt;$AB459))+1,"")</f>
        <v/>
      </c>
      <c r="AA459">
        <f>IF($A459="","",IF(OR($T459=TRUE(),$T459="TRUE"),1,0))</f>
        <v/>
      </c>
      <c r="AB459">
        <f>IF($Y459=1,IFERROR(VALUE(MID($A459,2,20)),1000000000)+ROW()/100000,"")</f>
        <v/>
      </c>
    </row>
    <row r="460">
      <c r="F460" s="7">
        <f>IF($A460="","",E460*M460/100)</f>
        <v/>
      </c>
      <c r="I460" s="7" t="n"/>
      <c r="J460" s="7" t="n"/>
      <c r="L460" s="7" t="n"/>
      <c r="M460" s="7" t="n"/>
      <c r="N460" s="7" t="n"/>
      <c r="O460" s="7" t="n"/>
      <c r="R460" s="11" t="n"/>
      <c r="U460">
        <f>IF($A460="","",IF($AA460=1,Settings!$C$6,Settings!$C$7)*100)</f>
        <v/>
      </c>
      <c r="V460" s="7">
        <f>IF($A460="","",M460*U460/100)</f>
        <v/>
      </c>
      <c r="W460" s="7">
        <f>IF($A460="","",M460-V460)</f>
        <v/>
      </c>
      <c r="X460" s="7">
        <f>IF($A460="","",W460-F460)</f>
        <v/>
      </c>
      <c r="Y460">
        <f>IF($A460="","",IF(COUNTIF($A$2:$A460,$A460)=1,1,0))</f>
        <v/>
      </c>
      <c r="Z460">
        <f>IF($Y460=1,SUMPRODUCT(--($AB$2:$AB$501&lt;$AB460))+1,"")</f>
        <v/>
      </c>
      <c r="AA460">
        <f>IF($A460="","",IF(OR($T460=TRUE(),$T460="TRUE"),1,0))</f>
        <v/>
      </c>
      <c r="AB460">
        <f>IF($Y460=1,IFERROR(VALUE(MID($A460,2,20)),1000000000)+ROW()/100000,"")</f>
        <v/>
      </c>
    </row>
    <row r="461">
      <c r="F461" s="7">
        <f>IF($A461="","",E461*M461/100)</f>
        <v/>
      </c>
      <c r="I461" s="7" t="n"/>
      <c r="J461" s="7" t="n"/>
      <c r="L461" s="7" t="n"/>
      <c r="M461" s="7" t="n"/>
      <c r="N461" s="7" t="n"/>
      <c r="O461" s="7" t="n"/>
      <c r="R461" s="11" t="n"/>
      <c r="U461">
        <f>IF($A461="","",IF($AA461=1,Settings!$C$6,Settings!$C$7)*100)</f>
        <v/>
      </c>
      <c r="V461" s="7">
        <f>IF($A461="","",M461*U461/100)</f>
        <v/>
      </c>
      <c r="W461" s="7">
        <f>IF($A461="","",M461-V461)</f>
        <v/>
      </c>
      <c r="X461" s="7">
        <f>IF($A461="","",W461-F461)</f>
        <v/>
      </c>
      <c r="Y461">
        <f>IF($A461="","",IF(COUNTIF($A$2:$A461,$A461)=1,1,0))</f>
        <v/>
      </c>
      <c r="Z461">
        <f>IF($Y461=1,SUMPRODUCT(--($AB$2:$AB$501&lt;$AB461))+1,"")</f>
        <v/>
      </c>
      <c r="AA461">
        <f>IF($A461="","",IF(OR($T461=TRUE(),$T461="TRUE"),1,0))</f>
        <v/>
      </c>
      <c r="AB461">
        <f>IF($Y461=1,IFERROR(VALUE(MID($A461,2,20)),1000000000)+ROW()/100000,"")</f>
        <v/>
      </c>
    </row>
    <row r="462">
      <c r="F462" s="7">
        <f>IF($A462="","",E462*M462/100)</f>
        <v/>
      </c>
      <c r="I462" s="7" t="n"/>
      <c r="J462" s="7" t="n"/>
      <c r="L462" s="7" t="n"/>
      <c r="M462" s="7" t="n"/>
      <c r="N462" s="7" t="n"/>
      <c r="O462" s="7" t="n"/>
      <c r="R462" s="11" t="n"/>
      <c r="U462">
        <f>IF($A462="","",IF($AA462=1,Settings!$C$6,Settings!$C$7)*100)</f>
        <v/>
      </c>
      <c r="V462" s="7">
        <f>IF($A462="","",M462*U462/100)</f>
        <v/>
      </c>
      <c r="W462" s="7">
        <f>IF($A462="","",M462-V462)</f>
        <v/>
      </c>
      <c r="X462" s="7">
        <f>IF($A462="","",W462-F462)</f>
        <v/>
      </c>
      <c r="Y462">
        <f>IF($A462="","",IF(COUNTIF($A$2:$A462,$A462)=1,1,0))</f>
        <v/>
      </c>
      <c r="Z462">
        <f>IF($Y462=1,SUMPRODUCT(--($AB$2:$AB$501&lt;$AB462))+1,"")</f>
        <v/>
      </c>
      <c r="AA462">
        <f>IF($A462="","",IF(OR($T462=TRUE(),$T462="TRUE"),1,0))</f>
        <v/>
      </c>
      <c r="AB462">
        <f>IF($Y462=1,IFERROR(VALUE(MID($A462,2,20)),1000000000)+ROW()/100000,"")</f>
        <v/>
      </c>
    </row>
    <row r="463">
      <c r="F463" s="7">
        <f>IF($A463="","",E463*M463/100)</f>
        <v/>
      </c>
      <c r="I463" s="7" t="n"/>
      <c r="J463" s="7" t="n"/>
      <c r="L463" s="7" t="n"/>
      <c r="M463" s="7" t="n"/>
      <c r="N463" s="7" t="n"/>
      <c r="O463" s="7" t="n"/>
      <c r="R463" s="11" t="n"/>
      <c r="U463">
        <f>IF($A463="","",IF($AA463=1,Settings!$C$6,Settings!$C$7)*100)</f>
        <v/>
      </c>
      <c r="V463" s="7">
        <f>IF($A463="","",M463*U463/100)</f>
        <v/>
      </c>
      <c r="W463" s="7">
        <f>IF($A463="","",M463-V463)</f>
        <v/>
      </c>
      <c r="X463" s="7">
        <f>IF($A463="","",W463-F463)</f>
        <v/>
      </c>
      <c r="Y463">
        <f>IF($A463="","",IF(COUNTIF($A$2:$A463,$A463)=1,1,0))</f>
        <v/>
      </c>
      <c r="Z463">
        <f>IF($Y463=1,SUMPRODUCT(--($AB$2:$AB$501&lt;$AB463))+1,"")</f>
        <v/>
      </c>
      <c r="AA463">
        <f>IF($A463="","",IF(OR($T463=TRUE(),$T463="TRUE"),1,0))</f>
        <v/>
      </c>
      <c r="AB463">
        <f>IF($Y463=1,IFERROR(VALUE(MID($A463,2,20)),1000000000)+ROW()/100000,"")</f>
        <v/>
      </c>
    </row>
    <row r="464">
      <c r="F464" s="7">
        <f>IF($A464="","",E464*M464/100)</f>
        <v/>
      </c>
      <c r="I464" s="7" t="n"/>
      <c r="J464" s="7" t="n"/>
      <c r="L464" s="7" t="n"/>
      <c r="M464" s="7" t="n"/>
      <c r="N464" s="7" t="n"/>
      <c r="O464" s="7" t="n"/>
      <c r="R464" s="11" t="n"/>
      <c r="U464">
        <f>IF($A464="","",IF($AA464=1,Settings!$C$6,Settings!$C$7)*100)</f>
        <v/>
      </c>
      <c r="V464" s="7">
        <f>IF($A464="","",M464*U464/100)</f>
        <v/>
      </c>
      <c r="W464" s="7">
        <f>IF($A464="","",M464-V464)</f>
        <v/>
      </c>
      <c r="X464" s="7">
        <f>IF($A464="","",W464-F464)</f>
        <v/>
      </c>
      <c r="Y464">
        <f>IF($A464="","",IF(COUNTIF($A$2:$A464,$A464)=1,1,0))</f>
        <v/>
      </c>
      <c r="Z464">
        <f>IF($Y464=1,SUMPRODUCT(--($AB$2:$AB$501&lt;$AB464))+1,"")</f>
        <v/>
      </c>
      <c r="AA464">
        <f>IF($A464="","",IF(OR($T464=TRUE(),$T464="TRUE"),1,0))</f>
        <v/>
      </c>
      <c r="AB464">
        <f>IF($Y464=1,IFERROR(VALUE(MID($A464,2,20)),1000000000)+ROW()/100000,"")</f>
        <v/>
      </c>
    </row>
    <row r="465">
      <c r="F465" s="7">
        <f>IF($A465="","",E465*M465/100)</f>
        <v/>
      </c>
      <c r="I465" s="7" t="n"/>
      <c r="J465" s="7" t="n"/>
      <c r="L465" s="7" t="n"/>
      <c r="M465" s="7" t="n"/>
      <c r="N465" s="7" t="n"/>
      <c r="O465" s="7" t="n"/>
      <c r="R465" s="11" t="n"/>
      <c r="U465">
        <f>IF($A465="","",IF($AA465=1,Settings!$C$6,Settings!$C$7)*100)</f>
        <v/>
      </c>
      <c r="V465" s="7">
        <f>IF($A465="","",M465*U465/100)</f>
        <v/>
      </c>
      <c r="W465" s="7">
        <f>IF($A465="","",M465-V465)</f>
        <v/>
      </c>
      <c r="X465" s="7">
        <f>IF($A465="","",W465-F465)</f>
        <v/>
      </c>
      <c r="Y465">
        <f>IF($A465="","",IF(COUNTIF($A$2:$A465,$A465)=1,1,0))</f>
        <v/>
      </c>
      <c r="Z465">
        <f>IF($Y465=1,SUMPRODUCT(--($AB$2:$AB$501&lt;$AB465))+1,"")</f>
        <v/>
      </c>
      <c r="AA465">
        <f>IF($A465="","",IF(OR($T465=TRUE(),$T465="TRUE"),1,0))</f>
        <v/>
      </c>
      <c r="AB465">
        <f>IF($Y465=1,IFERROR(VALUE(MID($A465,2,20)),1000000000)+ROW()/100000,"")</f>
        <v/>
      </c>
    </row>
    <row r="466">
      <c r="F466" s="7">
        <f>IF($A466="","",E466*M466/100)</f>
        <v/>
      </c>
      <c r="I466" s="7" t="n"/>
      <c r="J466" s="7" t="n"/>
      <c r="L466" s="7" t="n"/>
      <c r="M466" s="7" t="n"/>
      <c r="N466" s="7" t="n"/>
      <c r="O466" s="7" t="n"/>
      <c r="R466" s="11" t="n"/>
      <c r="U466">
        <f>IF($A466="","",IF($AA466=1,Settings!$C$6,Settings!$C$7)*100)</f>
        <v/>
      </c>
      <c r="V466" s="7">
        <f>IF($A466="","",M466*U466/100)</f>
        <v/>
      </c>
      <c r="W466" s="7">
        <f>IF($A466="","",M466-V466)</f>
        <v/>
      </c>
      <c r="X466" s="7">
        <f>IF($A466="","",W466-F466)</f>
        <v/>
      </c>
      <c r="Y466">
        <f>IF($A466="","",IF(COUNTIF($A$2:$A466,$A466)=1,1,0))</f>
        <v/>
      </c>
      <c r="Z466">
        <f>IF($Y466=1,SUMPRODUCT(--($AB$2:$AB$501&lt;$AB466))+1,"")</f>
        <v/>
      </c>
      <c r="AA466">
        <f>IF($A466="","",IF(OR($T466=TRUE(),$T466="TRUE"),1,0))</f>
        <v/>
      </c>
      <c r="AB466">
        <f>IF($Y466=1,IFERROR(VALUE(MID($A466,2,20)),1000000000)+ROW()/100000,"")</f>
        <v/>
      </c>
    </row>
    <row r="467">
      <c r="F467" s="7">
        <f>IF($A467="","",E467*M467/100)</f>
        <v/>
      </c>
      <c r="I467" s="7" t="n"/>
      <c r="J467" s="7" t="n"/>
      <c r="L467" s="7" t="n"/>
      <c r="M467" s="7" t="n"/>
      <c r="N467" s="7" t="n"/>
      <c r="O467" s="7" t="n"/>
      <c r="R467" s="11" t="n"/>
      <c r="U467">
        <f>IF($A467="","",IF($AA467=1,Settings!$C$6,Settings!$C$7)*100)</f>
        <v/>
      </c>
      <c r="V467" s="7">
        <f>IF($A467="","",M467*U467/100)</f>
        <v/>
      </c>
      <c r="W467" s="7">
        <f>IF($A467="","",M467-V467)</f>
        <v/>
      </c>
      <c r="X467" s="7">
        <f>IF($A467="","",W467-F467)</f>
        <v/>
      </c>
      <c r="Y467">
        <f>IF($A467="","",IF(COUNTIF($A$2:$A467,$A467)=1,1,0))</f>
        <v/>
      </c>
      <c r="Z467">
        <f>IF($Y467=1,SUMPRODUCT(--($AB$2:$AB$501&lt;$AB467))+1,"")</f>
        <v/>
      </c>
      <c r="AA467">
        <f>IF($A467="","",IF(OR($T467=TRUE(),$T467="TRUE"),1,0))</f>
        <v/>
      </c>
      <c r="AB467">
        <f>IF($Y467=1,IFERROR(VALUE(MID($A467,2,20)),1000000000)+ROW()/100000,"")</f>
        <v/>
      </c>
    </row>
    <row r="468">
      <c r="F468" s="7">
        <f>IF($A468="","",E468*M468/100)</f>
        <v/>
      </c>
      <c r="I468" s="7" t="n"/>
      <c r="J468" s="7" t="n"/>
      <c r="L468" s="7" t="n"/>
      <c r="M468" s="7" t="n"/>
      <c r="N468" s="7" t="n"/>
      <c r="O468" s="7" t="n"/>
      <c r="R468" s="11" t="n"/>
      <c r="U468">
        <f>IF($A468="","",IF($AA468=1,Settings!$C$6,Settings!$C$7)*100)</f>
        <v/>
      </c>
      <c r="V468" s="7">
        <f>IF($A468="","",M468*U468/100)</f>
        <v/>
      </c>
      <c r="W468" s="7">
        <f>IF($A468="","",M468-V468)</f>
        <v/>
      </c>
      <c r="X468" s="7">
        <f>IF($A468="","",W468-F468)</f>
        <v/>
      </c>
      <c r="Y468">
        <f>IF($A468="","",IF(COUNTIF($A$2:$A468,$A468)=1,1,0))</f>
        <v/>
      </c>
      <c r="Z468">
        <f>IF($Y468=1,SUMPRODUCT(--($AB$2:$AB$501&lt;$AB468))+1,"")</f>
        <v/>
      </c>
      <c r="AA468">
        <f>IF($A468="","",IF(OR($T468=TRUE(),$T468="TRUE"),1,0))</f>
        <v/>
      </c>
      <c r="AB468">
        <f>IF($Y468=1,IFERROR(VALUE(MID($A468,2,20)),1000000000)+ROW()/100000,"")</f>
        <v/>
      </c>
    </row>
    <row r="469">
      <c r="F469" s="7">
        <f>IF($A469="","",E469*M469/100)</f>
        <v/>
      </c>
      <c r="I469" s="7" t="n"/>
      <c r="J469" s="7" t="n"/>
      <c r="L469" s="7" t="n"/>
      <c r="M469" s="7" t="n"/>
      <c r="N469" s="7" t="n"/>
      <c r="O469" s="7" t="n"/>
      <c r="R469" s="11" t="n"/>
      <c r="U469">
        <f>IF($A469="","",IF($AA469=1,Settings!$C$6,Settings!$C$7)*100)</f>
        <v/>
      </c>
      <c r="V469" s="7">
        <f>IF($A469="","",M469*U469/100)</f>
        <v/>
      </c>
      <c r="W469" s="7">
        <f>IF($A469="","",M469-V469)</f>
        <v/>
      </c>
      <c r="X469" s="7">
        <f>IF($A469="","",W469-F469)</f>
        <v/>
      </c>
      <c r="Y469">
        <f>IF($A469="","",IF(COUNTIF($A$2:$A469,$A469)=1,1,0))</f>
        <v/>
      </c>
      <c r="Z469">
        <f>IF($Y469=1,SUMPRODUCT(--($AB$2:$AB$501&lt;$AB469))+1,"")</f>
        <v/>
      </c>
      <c r="AA469">
        <f>IF($A469="","",IF(OR($T469=TRUE(),$T469="TRUE"),1,0))</f>
        <v/>
      </c>
      <c r="AB469">
        <f>IF($Y469=1,IFERROR(VALUE(MID($A469,2,20)),1000000000)+ROW()/100000,"")</f>
        <v/>
      </c>
    </row>
    <row r="470">
      <c r="F470" s="7">
        <f>IF($A470="","",E470*M470/100)</f>
        <v/>
      </c>
      <c r="I470" s="7" t="n"/>
      <c r="J470" s="7" t="n"/>
      <c r="L470" s="7" t="n"/>
      <c r="M470" s="7" t="n"/>
      <c r="N470" s="7" t="n"/>
      <c r="O470" s="7" t="n"/>
      <c r="R470" s="11" t="n"/>
      <c r="U470">
        <f>IF($A470="","",IF($AA470=1,Settings!$C$6,Settings!$C$7)*100)</f>
        <v/>
      </c>
      <c r="V470" s="7">
        <f>IF($A470="","",M470*U470/100)</f>
        <v/>
      </c>
      <c r="W470" s="7">
        <f>IF($A470="","",M470-V470)</f>
        <v/>
      </c>
      <c r="X470" s="7">
        <f>IF($A470="","",W470-F470)</f>
        <v/>
      </c>
      <c r="Y470">
        <f>IF($A470="","",IF(COUNTIF($A$2:$A470,$A470)=1,1,0))</f>
        <v/>
      </c>
      <c r="Z470">
        <f>IF($Y470=1,SUMPRODUCT(--($AB$2:$AB$501&lt;$AB470))+1,"")</f>
        <v/>
      </c>
      <c r="AA470">
        <f>IF($A470="","",IF(OR($T470=TRUE(),$T470="TRUE"),1,0))</f>
        <v/>
      </c>
      <c r="AB470">
        <f>IF($Y470=1,IFERROR(VALUE(MID($A470,2,20)),1000000000)+ROW()/100000,"")</f>
        <v/>
      </c>
    </row>
    <row r="471">
      <c r="F471" s="7">
        <f>IF($A471="","",E471*M471/100)</f>
        <v/>
      </c>
      <c r="I471" s="7" t="n"/>
      <c r="J471" s="7" t="n"/>
      <c r="L471" s="7" t="n"/>
      <c r="M471" s="7" t="n"/>
      <c r="N471" s="7" t="n"/>
      <c r="O471" s="7" t="n"/>
      <c r="R471" s="11" t="n"/>
      <c r="U471">
        <f>IF($A471="","",IF($AA471=1,Settings!$C$6,Settings!$C$7)*100)</f>
        <v/>
      </c>
      <c r="V471" s="7">
        <f>IF($A471="","",M471*U471/100)</f>
        <v/>
      </c>
      <c r="W471" s="7">
        <f>IF($A471="","",M471-V471)</f>
        <v/>
      </c>
      <c r="X471" s="7">
        <f>IF($A471="","",W471-F471)</f>
        <v/>
      </c>
      <c r="Y471">
        <f>IF($A471="","",IF(COUNTIF($A$2:$A471,$A471)=1,1,0))</f>
        <v/>
      </c>
      <c r="Z471">
        <f>IF($Y471=1,SUMPRODUCT(--($AB$2:$AB$501&lt;$AB471))+1,"")</f>
        <v/>
      </c>
      <c r="AA471">
        <f>IF($A471="","",IF(OR($T471=TRUE(),$T471="TRUE"),1,0))</f>
        <v/>
      </c>
      <c r="AB471">
        <f>IF($Y471=1,IFERROR(VALUE(MID($A471,2,20)),1000000000)+ROW()/100000,"")</f>
        <v/>
      </c>
    </row>
    <row r="472">
      <c r="F472" s="7">
        <f>IF($A472="","",E472*M472/100)</f>
        <v/>
      </c>
      <c r="I472" s="7" t="n"/>
      <c r="J472" s="7" t="n"/>
      <c r="L472" s="7" t="n"/>
      <c r="M472" s="7" t="n"/>
      <c r="N472" s="7" t="n"/>
      <c r="O472" s="7" t="n"/>
      <c r="R472" s="11" t="n"/>
      <c r="U472">
        <f>IF($A472="","",IF($AA472=1,Settings!$C$6,Settings!$C$7)*100)</f>
        <v/>
      </c>
      <c r="V472" s="7">
        <f>IF($A472="","",M472*U472/100)</f>
        <v/>
      </c>
      <c r="W472" s="7">
        <f>IF($A472="","",M472-V472)</f>
        <v/>
      </c>
      <c r="X472" s="7">
        <f>IF($A472="","",W472-F472)</f>
        <v/>
      </c>
      <c r="Y472">
        <f>IF($A472="","",IF(COUNTIF($A$2:$A472,$A472)=1,1,0))</f>
        <v/>
      </c>
      <c r="Z472">
        <f>IF($Y472=1,SUMPRODUCT(--($AB$2:$AB$501&lt;$AB472))+1,"")</f>
        <v/>
      </c>
      <c r="AA472">
        <f>IF($A472="","",IF(OR($T472=TRUE(),$T472="TRUE"),1,0))</f>
        <v/>
      </c>
      <c r="AB472">
        <f>IF($Y472=1,IFERROR(VALUE(MID($A472,2,20)),1000000000)+ROW()/100000,"")</f>
        <v/>
      </c>
    </row>
    <row r="473">
      <c r="F473" s="7">
        <f>IF($A473="","",E473*M473/100)</f>
        <v/>
      </c>
      <c r="I473" s="7" t="n"/>
      <c r="J473" s="7" t="n"/>
      <c r="L473" s="7" t="n"/>
      <c r="M473" s="7" t="n"/>
      <c r="N473" s="7" t="n"/>
      <c r="O473" s="7" t="n"/>
      <c r="R473" s="11" t="n"/>
      <c r="U473">
        <f>IF($A473="","",IF($AA473=1,Settings!$C$6,Settings!$C$7)*100)</f>
        <v/>
      </c>
      <c r="V473" s="7">
        <f>IF($A473="","",M473*U473/100)</f>
        <v/>
      </c>
      <c r="W473" s="7">
        <f>IF($A473="","",M473-V473)</f>
        <v/>
      </c>
      <c r="X473" s="7">
        <f>IF($A473="","",W473-F473)</f>
        <v/>
      </c>
      <c r="Y473">
        <f>IF($A473="","",IF(COUNTIF($A$2:$A473,$A473)=1,1,0))</f>
        <v/>
      </c>
      <c r="Z473">
        <f>IF($Y473=1,SUMPRODUCT(--($AB$2:$AB$501&lt;$AB473))+1,"")</f>
        <v/>
      </c>
      <c r="AA473">
        <f>IF($A473="","",IF(OR($T473=TRUE(),$T473="TRUE"),1,0))</f>
        <v/>
      </c>
      <c r="AB473">
        <f>IF($Y473=1,IFERROR(VALUE(MID($A473,2,20)),1000000000)+ROW()/100000,"")</f>
        <v/>
      </c>
    </row>
    <row r="474">
      <c r="F474" s="7">
        <f>IF($A474="","",E474*M474/100)</f>
        <v/>
      </c>
      <c r="I474" s="7" t="n"/>
      <c r="J474" s="7" t="n"/>
      <c r="L474" s="7" t="n"/>
      <c r="M474" s="7" t="n"/>
      <c r="N474" s="7" t="n"/>
      <c r="O474" s="7" t="n"/>
      <c r="R474" s="11" t="n"/>
      <c r="U474">
        <f>IF($A474="","",IF($AA474=1,Settings!$C$6,Settings!$C$7)*100)</f>
        <v/>
      </c>
      <c r="V474" s="7">
        <f>IF($A474="","",M474*U474/100)</f>
        <v/>
      </c>
      <c r="W474" s="7">
        <f>IF($A474="","",M474-V474)</f>
        <v/>
      </c>
      <c r="X474" s="7">
        <f>IF($A474="","",W474-F474)</f>
        <v/>
      </c>
      <c r="Y474">
        <f>IF($A474="","",IF(COUNTIF($A$2:$A474,$A474)=1,1,0))</f>
        <v/>
      </c>
      <c r="Z474">
        <f>IF($Y474=1,SUMPRODUCT(--($AB$2:$AB$501&lt;$AB474))+1,"")</f>
        <v/>
      </c>
      <c r="AA474">
        <f>IF($A474="","",IF(OR($T474=TRUE(),$T474="TRUE"),1,0))</f>
        <v/>
      </c>
      <c r="AB474">
        <f>IF($Y474=1,IFERROR(VALUE(MID($A474,2,20)),1000000000)+ROW()/100000,"")</f>
        <v/>
      </c>
    </row>
    <row r="475">
      <c r="F475" s="7">
        <f>IF($A475="","",E475*M475/100)</f>
        <v/>
      </c>
      <c r="I475" s="7" t="n"/>
      <c r="J475" s="7" t="n"/>
      <c r="L475" s="7" t="n"/>
      <c r="M475" s="7" t="n"/>
      <c r="N475" s="7" t="n"/>
      <c r="O475" s="7" t="n"/>
      <c r="R475" s="11" t="n"/>
      <c r="U475">
        <f>IF($A475="","",IF($AA475=1,Settings!$C$6,Settings!$C$7)*100)</f>
        <v/>
      </c>
      <c r="V475" s="7">
        <f>IF($A475="","",M475*U475/100)</f>
        <v/>
      </c>
      <c r="W475" s="7">
        <f>IF($A475="","",M475-V475)</f>
        <v/>
      </c>
      <c r="X475" s="7">
        <f>IF($A475="","",W475-F475)</f>
        <v/>
      </c>
      <c r="Y475">
        <f>IF($A475="","",IF(COUNTIF($A$2:$A475,$A475)=1,1,0))</f>
        <v/>
      </c>
      <c r="Z475">
        <f>IF($Y475=1,SUMPRODUCT(--($AB$2:$AB$501&lt;$AB475))+1,"")</f>
        <v/>
      </c>
      <c r="AA475">
        <f>IF($A475="","",IF(OR($T475=TRUE(),$T475="TRUE"),1,0))</f>
        <v/>
      </c>
      <c r="AB475">
        <f>IF($Y475=1,IFERROR(VALUE(MID($A475,2,20)),1000000000)+ROW()/100000,"")</f>
        <v/>
      </c>
    </row>
    <row r="476">
      <c r="F476" s="7">
        <f>IF($A476="","",E476*M476/100)</f>
        <v/>
      </c>
      <c r="I476" s="7" t="n"/>
      <c r="J476" s="7" t="n"/>
      <c r="L476" s="7" t="n"/>
      <c r="M476" s="7" t="n"/>
      <c r="N476" s="7" t="n"/>
      <c r="O476" s="7" t="n"/>
      <c r="R476" s="11" t="n"/>
      <c r="U476">
        <f>IF($A476="","",IF($AA476=1,Settings!$C$6,Settings!$C$7)*100)</f>
        <v/>
      </c>
      <c r="V476" s="7">
        <f>IF($A476="","",M476*U476/100)</f>
        <v/>
      </c>
      <c r="W476" s="7">
        <f>IF($A476="","",M476-V476)</f>
        <v/>
      </c>
      <c r="X476" s="7">
        <f>IF($A476="","",W476-F476)</f>
        <v/>
      </c>
      <c r="Y476">
        <f>IF($A476="","",IF(COUNTIF($A$2:$A476,$A476)=1,1,0))</f>
        <v/>
      </c>
      <c r="Z476">
        <f>IF($Y476=1,SUMPRODUCT(--($AB$2:$AB$501&lt;$AB476))+1,"")</f>
        <v/>
      </c>
      <c r="AA476">
        <f>IF($A476="","",IF(OR($T476=TRUE(),$T476="TRUE"),1,0))</f>
        <v/>
      </c>
      <c r="AB476">
        <f>IF($Y476=1,IFERROR(VALUE(MID($A476,2,20)),1000000000)+ROW()/100000,"")</f>
        <v/>
      </c>
    </row>
    <row r="477">
      <c r="F477" s="7">
        <f>IF($A477="","",E477*M477/100)</f>
        <v/>
      </c>
      <c r="I477" s="7" t="n"/>
      <c r="J477" s="7" t="n"/>
      <c r="L477" s="7" t="n"/>
      <c r="M477" s="7" t="n"/>
      <c r="N477" s="7" t="n"/>
      <c r="O477" s="7" t="n"/>
      <c r="R477" s="11" t="n"/>
      <c r="U477">
        <f>IF($A477="","",IF($AA477=1,Settings!$C$6,Settings!$C$7)*100)</f>
        <v/>
      </c>
      <c r="V477" s="7">
        <f>IF($A477="","",M477*U477/100)</f>
        <v/>
      </c>
      <c r="W477" s="7">
        <f>IF($A477="","",M477-V477)</f>
        <v/>
      </c>
      <c r="X477" s="7">
        <f>IF($A477="","",W477-F477)</f>
        <v/>
      </c>
      <c r="Y477">
        <f>IF($A477="","",IF(COUNTIF($A$2:$A477,$A477)=1,1,0))</f>
        <v/>
      </c>
      <c r="Z477">
        <f>IF($Y477=1,SUMPRODUCT(--($AB$2:$AB$501&lt;$AB477))+1,"")</f>
        <v/>
      </c>
      <c r="AA477">
        <f>IF($A477="","",IF(OR($T477=TRUE(),$T477="TRUE"),1,0))</f>
        <v/>
      </c>
      <c r="AB477">
        <f>IF($Y477=1,IFERROR(VALUE(MID($A477,2,20)),1000000000)+ROW()/100000,"")</f>
        <v/>
      </c>
    </row>
    <row r="478">
      <c r="F478" s="7">
        <f>IF($A478="","",E478*M478/100)</f>
        <v/>
      </c>
      <c r="I478" s="7" t="n"/>
      <c r="J478" s="7" t="n"/>
      <c r="L478" s="7" t="n"/>
      <c r="M478" s="7" t="n"/>
      <c r="N478" s="7" t="n"/>
      <c r="O478" s="7" t="n"/>
      <c r="R478" s="11" t="n"/>
      <c r="U478">
        <f>IF($A478="","",IF($AA478=1,Settings!$C$6,Settings!$C$7)*100)</f>
        <v/>
      </c>
      <c r="V478" s="7">
        <f>IF($A478="","",M478*U478/100)</f>
        <v/>
      </c>
      <c r="W478" s="7">
        <f>IF($A478="","",M478-V478)</f>
        <v/>
      </c>
      <c r="X478" s="7">
        <f>IF($A478="","",W478-F478)</f>
        <v/>
      </c>
      <c r="Y478">
        <f>IF($A478="","",IF(COUNTIF($A$2:$A478,$A478)=1,1,0))</f>
        <v/>
      </c>
      <c r="Z478">
        <f>IF($Y478=1,SUMPRODUCT(--($AB$2:$AB$501&lt;$AB478))+1,"")</f>
        <v/>
      </c>
      <c r="AA478">
        <f>IF($A478="","",IF(OR($T478=TRUE(),$T478="TRUE"),1,0))</f>
        <v/>
      </c>
      <c r="AB478">
        <f>IF($Y478=1,IFERROR(VALUE(MID($A478,2,20)),1000000000)+ROW()/100000,"")</f>
        <v/>
      </c>
    </row>
    <row r="479">
      <c r="F479" s="7">
        <f>IF($A479="","",E479*M479/100)</f>
        <v/>
      </c>
      <c r="I479" s="7" t="n"/>
      <c r="J479" s="7" t="n"/>
      <c r="L479" s="7" t="n"/>
      <c r="M479" s="7" t="n"/>
      <c r="N479" s="7" t="n"/>
      <c r="O479" s="7" t="n"/>
      <c r="R479" s="11" t="n"/>
      <c r="U479">
        <f>IF($A479="","",IF($AA479=1,Settings!$C$6,Settings!$C$7)*100)</f>
        <v/>
      </c>
      <c r="V479" s="7">
        <f>IF($A479="","",M479*U479/100)</f>
        <v/>
      </c>
      <c r="W479" s="7">
        <f>IF($A479="","",M479-V479)</f>
        <v/>
      </c>
      <c r="X479" s="7">
        <f>IF($A479="","",W479-F479)</f>
        <v/>
      </c>
      <c r="Y479">
        <f>IF($A479="","",IF(COUNTIF($A$2:$A479,$A479)=1,1,0))</f>
        <v/>
      </c>
      <c r="Z479">
        <f>IF($Y479=1,SUMPRODUCT(--($AB$2:$AB$501&lt;$AB479))+1,"")</f>
        <v/>
      </c>
      <c r="AA479">
        <f>IF($A479="","",IF(OR($T479=TRUE(),$T479="TRUE"),1,0))</f>
        <v/>
      </c>
      <c r="AB479">
        <f>IF($Y479=1,IFERROR(VALUE(MID($A479,2,20)),1000000000)+ROW()/100000,"")</f>
        <v/>
      </c>
    </row>
    <row r="480">
      <c r="F480" s="7">
        <f>IF($A480="","",E480*M480/100)</f>
        <v/>
      </c>
      <c r="I480" s="7" t="n"/>
      <c r="J480" s="7" t="n"/>
      <c r="L480" s="7" t="n"/>
      <c r="M480" s="7" t="n"/>
      <c r="N480" s="7" t="n"/>
      <c r="O480" s="7" t="n"/>
      <c r="R480" s="11" t="n"/>
      <c r="U480">
        <f>IF($A480="","",IF($AA480=1,Settings!$C$6,Settings!$C$7)*100)</f>
        <v/>
      </c>
      <c r="V480" s="7">
        <f>IF($A480="","",M480*U480/100)</f>
        <v/>
      </c>
      <c r="W480" s="7">
        <f>IF($A480="","",M480-V480)</f>
        <v/>
      </c>
      <c r="X480" s="7">
        <f>IF($A480="","",W480-F480)</f>
        <v/>
      </c>
      <c r="Y480">
        <f>IF($A480="","",IF(COUNTIF($A$2:$A480,$A480)=1,1,0))</f>
        <v/>
      </c>
      <c r="Z480">
        <f>IF($Y480=1,SUMPRODUCT(--($AB$2:$AB$501&lt;$AB480))+1,"")</f>
        <v/>
      </c>
      <c r="AA480">
        <f>IF($A480="","",IF(OR($T480=TRUE(),$T480="TRUE"),1,0))</f>
        <v/>
      </c>
      <c r="AB480">
        <f>IF($Y480=1,IFERROR(VALUE(MID($A480,2,20)),1000000000)+ROW()/100000,"")</f>
        <v/>
      </c>
    </row>
    <row r="481">
      <c r="F481" s="7">
        <f>IF($A481="","",E481*M481/100)</f>
        <v/>
      </c>
      <c r="I481" s="7" t="n"/>
      <c r="J481" s="7" t="n"/>
      <c r="L481" s="7" t="n"/>
      <c r="M481" s="7" t="n"/>
      <c r="N481" s="7" t="n"/>
      <c r="O481" s="7" t="n"/>
      <c r="R481" s="11" t="n"/>
      <c r="U481">
        <f>IF($A481="","",IF($AA481=1,Settings!$C$6,Settings!$C$7)*100)</f>
        <v/>
      </c>
      <c r="V481" s="7">
        <f>IF($A481="","",M481*U481/100)</f>
        <v/>
      </c>
      <c r="W481" s="7">
        <f>IF($A481="","",M481-V481)</f>
        <v/>
      </c>
      <c r="X481" s="7">
        <f>IF($A481="","",W481-F481)</f>
        <v/>
      </c>
      <c r="Y481">
        <f>IF($A481="","",IF(COUNTIF($A$2:$A481,$A481)=1,1,0))</f>
        <v/>
      </c>
      <c r="Z481">
        <f>IF($Y481=1,SUMPRODUCT(--($AB$2:$AB$501&lt;$AB481))+1,"")</f>
        <v/>
      </c>
      <c r="AA481">
        <f>IF($A481="","",IF(OR($T481=TRUE(),$T481="TRUE"),1,0))</f>
        <v/>
      </c>
      <c r="AB481">
        <f>IF($Y481=1,IFERROR(VALUE(MID($A481,2,20)),1000000000)+ROW()/100000,"")</f>
        <v/>
      </c>
    </row>
    <row r="482">
      <c r="F482" s="7">
        <f>IF($A482="","",E482*M482/100)</f>
        <v/>
      </c>
      <c r="I482" s="7" t="n"/>
      <c r="J482" s="7" t="n"/>
      <c r="L482" s="7" t="n"/>
      <c r="M482" s="7" t="n"/>
      <c r="N482" s="7" t="n"/>
      <c r="O482" s="7" t="n"/>
      <c r="R482" s="11" t="n"/>
      <c r="U482">
        <f>IF($A482="","",IF($AA482=1,Settings!$C$6,Settings!$C$7)*100)</f>
        <v/>
      </c>
      <c r="V482" s="7">
        <f>IF($A482="","",M482*U482/100)</f>
        <v/>
      </c>
      <c r="W482" s="7">
        <f>IF($A482="","",M482-V482)</f>
        <v/>
      </c>
      <c r="X482" s="7">
        <f>IF($A482="","",W482-F482)</f>
        <v/>
      </c>
      <c r="Y482">
        <f>IF($A482="","",IF(COUNTIF($A$2:$A482,$A482)=1,1,0))</f>
        <v/>
      </c>
      <c r="Z482">
        <f>IF($Y482=1,SUMPRODUCT(--($AB$2:$AB$501&lt;$AB482))+1,"")</f>
        <v/>
      </c>
      <c r="AA482">
        <f>IF($A482="","",IF(OR($T482=TRUE(),$T482="TRUE"),1,0))</f>
        <v/>
      </c>
      <c r="AB482">
        <f>IF($Y482=1,IFERROR(VALUE(MID($A482,2,20)),1000000000)+ROW()/100000,"")</f>
        <v/>
      </c>
    </row>
    <row r="483">
      <c r="F483" s="7">
        <f>IF($A483="","",E483*M483/100)</f>
        <v/>
      </c>
      <c r="I483" s="7" t="n"/>
      <c r="J483" s="7" t="n"/>
      <c r="L483" s="7" t="n"/>
      <c r="M483" s="7" t="n"/>
      <c r="N483" s="7" t="n"/>
      <c r="O483" s="7" t="n"/>
      <c r="R483" s="11" t="n"/>
      <c r="U483">
        <f>IF($A483="","",IF($AA483=1,Settings!$C$6,Settings!$C$7)*100)</f>
        <v/>
      </c>
      <c r="V483" s="7">
        <f>IF($A483="","",M483*U483/100)</f>
        <v/>
      </c>
      <c r="W483" s="7">
        <f>IF($A483="","",M483-V483)</f>
        <v/>
      </c>
      <c r="X483" s="7">
        <f>IF($A483="","",W483-F483)</f>
        <v/>
      </c>
      <c r="Y483">
        <f>IF($A483="","",IF(COUNTIF($A$2:$A483,$A483)=1,1,0))</f>
        <v/>
      </c>
      <c r="Z483">
        <f>IF($Y483=1,SUMPRODUCT(--($AB$2:$AB$501&lt;$AB483))+1,"")</f>
        <v/>
      </c>
      <c r="AA483">
        <f>IF($A483="","",IF(OR($T483=TRUE(),$T483="TRUE"),1,0))</f>
        <v/>
      </c>
      <c r="AB483">
        <f>IF($Y483=1,IFERROR(VALUE(MID($A483,2,20)),1000000000)+ROW()/100000,"")</f>
        <v/>
      </c>
    </row>
    <row r="484">
      <c r="F484" s="7">
        <f>IF($A484="","",E484*M484/100)</f>
        <v/>
      </c>
      <c r="I484" s="7" t="n"/>
      <c r="J484" s="7" t="n"/>
      <c r="L484" s="7" t="n"/>
      <c r="M484" s="7" t="n"/>
      <c r="N484" s="7" t="n"/>
      <c r="O484" s="7" t="n"/>
      <c r="R484" s="11" t="n"/>
      <c r="U484">
        <f>IF($A484="","",IF($AA484=1,Settings!$C$6,Settings!$C$7)*100)</f>
        <v/>
      </c>
      <c r="V484" s="7">
        <f>IF($A484="","",M484*U484/100)</f>
        <v/>
      </c>
      <c r="W484" s="7">
        <f>IF($A484="","",M484-V484)</f>
        <v/>
      </c>
      <c r="X484" s="7">
        <f>IF($A484="","",W484-F484)</f>
        <v/>
      </c>
      <c r="Y484">
        <f>IF($A484="","",IF(COUNTIF($A$2:$A484,$A484)=1,1,0))</f>
        <v/>
      </c>
      <c r="Z484">
        <f>IF($Y484=1,SUMPRODUCT(--($AB$2:$AB$501&lt;$AB484))+1,"")</f>
        <v/>
      </c>
      <c r="AA484">
        <f>IF($A484="","",IF(OR($T484=TRUE(),$T484="TRUE"),1,0))</f>
        <v/>
      </c>
      <c r="AB484">
        <f>IF($Y484=1,IFERROR(VALUE(MID($A484,2,20)),1000000000)+ROW()/100000,"")</f>
        <v/>
      </c>
    </row>
    <row r="485">
      <c r="F485" s="7">
        <f>IF($A485="","",E485*M485/100)</f>
        <v/>
      </c>
      <c r="I485" s="7" t="n"/>
      <c r="J485" s="7" t="n"/>
      <c r="L485" s="7" t="n"/>
      <c r="M485" s="7" t="n"/>
      <c r="N485" s="7" t="n"/>
      <c r="O485" s="7" t="n"/>
      <c r="R485" s="11" t="n"/>
      <c r="U485">
        <f>IF($A485="","",IF($AA485=1,Settings!$C$6,Settings!$C$7)*100)</f>
        <v/>
      </c>
      <c r="V485" s="7">
        <f>IF($A485="","",M485*U485/100)</f>
        <v/>
      </c>
      <c r="W485" s="7">
        <f>IF($A485="","",M485-V485)</f>
        <v/>
      </c>
      <c r="X485" s="7">
        <f>IF($A485="","",W485-F485)</f>
        <v/>
      </c>
      <c r="Y485">
        <f>IF($A485="","",IF(COUNTIF($A$2:$A485,$A485)=1,1,0))</f>
        <v/>
      </c>
      <c r="Z485">
        <f>IF($Y485=1,SUMPRODUCT(--($AB$2:$AB$501&lt;$AB485))+1,"")</f>
        <v/>
      </c>
      <c r="AA485">
        <f>IF($A485="","",IF(OR($T485=TRUE(),$T485="TRUE"),1,0))</f>
        <v/>
      </c>
      <c r="AB485">
        <f>IF($Y485=1,IFERROR(VALUE(MID($A485,2,20)),1000000000)+ROW()/100000,"")</f>
        <v/>
      </c>
    </row>
    <row r="486">
      <c r="F486" s="7">
        <f>IF($A486="","",E486*M486/100)</f>
        <v/>
      </c>
      <c r="I486" s="7" t="n"/>
      <c r="J486" s="7" t="n"/>
      <c r="L486" s="7" t="n"/>
      <c r="M486" s="7" t="n"/>
      <c r="N486" s="7" t="n"/>
      <c r="O486" s="7" t="n"/>
      <c r="R486" s="11" t="n"/>
      <c r="U486">
        <f>IF($A486="","",IF($AA486=1,Settings!$C$6,Settings!$C$7)*100)</f>
        <v/>
      </c>
      <c r="V486" s="7">
        <f>IF($A486="","",M486*U486/100)</f>
        <v/>
      </c>
      <c r="W486" s="7">
        <f>IF($A486="","",M486-V486)</f>
        <v/>
      </c>
      <c r="X486" s="7">
        <f>IF($A486="","",W486-F486)</f>
        <v/>
      </c>
      <c r="Y486">
        <f>IF($A486="","",IF(COUNTIF($A$2:$A486,$A486)=1,1,0))</f>
        <v/>
      </c>
      <c r="Z486">
        <f>IF($Y486=1,SUMPRODUCT(--($AB$2:$AB$501&lt;$AB486))+1,"")</f>
        <v/>
      </c>
      <c r="AA486">
        <f>IF($A486="","",IF(OR($T486=TRUE(),$T486="TRUE"),1,0))</f>
        <v/>
      </c>
      <c r="AB486">
        <f>IF($Y486=1,IFERROR(VALUE(MID($A486,2,20)),1000000000)+ROW()/100000,"")</f>
        <v/>
      </c>
    </row>
    <row r="487">
      <c r="F487" s="7">
        <f>IF($A487="","",E487*M487/100)</f>
        <v/>
      </c>
      <c r="I487" s="7" t="n"/>
      <c r="J487" s="7" t="n"/>
      <c r="L487" s="7" t="n"/>
      <c r="M487" s="7" t="n"/>
      <c r="N487" s="7" t="n"/>
      <c r="O487" s="7" t="n"/>
      <c r="R487" s="11" t="n"/>
      <c r="U487">
        <f>IF($A487="","",IF($AA487=1,Settings!$C$6,Settings!$C$7)*100)</f>
        <v/>
      </c>
      <c r="V487" s="7">
        <f>IF($A487="","",M487*U487/100)</f>
        <v/>
      </c>
      <c r="W487" s="7">
        <f>IF($A487="","",M487-V487)</f>
        <v/>
      </c>
      <c r="X487" s="7">
        <f>IF($A487="","",W487-F487)</f>
        <v/>
      </c>
      <c r="Y487">
        <f>IF($A487="","",IF(COUNTIF($A$2:$A487,$A487)=1,1,0))</f>
        <v/>
      </c>
      <c r="Z487">
        <f>IF($Y487=1,SUMPRODUCT(--($AB$2:$AB$501&lt;$AB487))+1,"")</f>
        <v/>
      </c>
      <c r="AA487">
        <f>IF($A487="","",IF(OR($T487=TRUE(),$T487="TRUE"),1,0))</f>
        <v/>
      </c>
      <c r="AB487">
        <f>IF($Y487=1,IFERROR(VALUE(MID($A487,2,20)),1000000000)+ROW()/100000,"")</f>
        <v/>
      </c>
    </row>
    <row r="488">
      <c r="F488" s="7">
        <f>IF($A488="","",E488*M488/100)</f>
        <v/>
      </c>
      <c r="I488" s="7" t="n"/>
      <c r="J488" s="7" t="n"/>
      <c r="L488" s="7" t="n"/>
      <c r="M488" s="7" t="n"/>
      <c r="N488" s="7" t="n"/>
      <c r="O488" s="7" t="n"/>
      <c r="R488" s="11" t="n"/>
      <c r="U488">
        <f>IF($A488="","",IF($AA488=1,Settings!$C$6,Settings!$C$7)*100)</f>
        <v/>
      </c>
      <c r="V488" s="7">
        <f>IF($A488="","",M488*U488/100)</f>
        <v/>
      </c>
      <c r="W488" s="7">
        <f>IF($A488="","",M488-V488)</f>
        <v/>
      </c>
      <c r="X488" s="7">
        <f>IF($A488="","",W488-F488)</f>
        <v/>
      </c>
      <c r="Y488">
        <f>IF($A488="","",IF(COUNTIF($A$2:$A488,$A488)=1,1,0))</f>
        <v/>
      </c>
      <c r="Z488">
        <f>IF($Y488=1,SUMPRODUCT(--($AB$2:$AB$501&lt;$AB488))+1,"")</f>
        <v/>
      </c>
      <c r="AA488">
        <f>IF($A488="","",IF(OR($T488=TRUE(),$T488="TRUE"),1,0))</f>
        <v/>
      </c>
      <c r="AB488">
        <f>IF($Y488=1,IFERROR(VALUE(MID($A488,2,20)),1000000000)+ROW()/100000,"")</f>
        <v/>
      </c>
    </row>
    <row r="489">
      <c r="F489" s="7">
        <f>IF($A489="","",E489*M489/100)</f>
        <v/>
      </c>
      <c r="I489" s="7" t="n"/>
      <c r="J489" s="7" t="n"/>
      <c r="L489" s="7" t="n"/>
      <c r="M489" s="7" t="n"/>
      <c r="N489" s="7" t="n"/>
      <c r="O489" s="7" t="n"/>
      <c r="R489" s="11" t="n"/>
      <c r="U489">
        <f>IF($A489="","",IF($AA489=1,Settings!$C$6,Settings!$C$7)*100)</f>
        <v/>
      </c>
      <c r="V489" s="7">
        <f>IF($A489="","",M489*U489/100)</f>
        <v/>
      </c>
      <c r="W489" s="7">
        <f>IF($A489="","",M489-V489)</f>
        <v/>
      </c>
      <c r="X489" s="7">
        <f>IF($A489="","",W489-F489)</f>
        <v/>
      </c>
      <c r="Y489">
        <f>IF($A489="","",IF(COUNTIF($A$2:$A489,$A489)=1,1,0))</f>
        <v/>
      </c>
      <c r="Z489">
        <f>IF($Y489=1,SUMPRODUCT(--($AB$2:$AB$501&lt;$AB489))+1,"")</f>
        <v/>
      </c>
      <c r="AA489">
        <f>IF($A489="","",IF(OR($T489=TRUE(),$T489="TRUE"),1,0))</f>
        <v/>
      </c>
      <c r="AB489">
        <f>IF($Y489=1,IFERROR(VALUE(MID($A489,2,20)),1000000000)+ROW()/100000,"")</f>
        <v/>
      </c>
    </row>
    <row r="490">
      <c r="F490" s="7">
        <f>IF($A490="","",E490*M490/100)</f>
        <v/>
      </c>
      <c r="I490" s="7" t="n"/>
      <c r="J490" s="7" t="n"/>
      <c r="L490" s="7" t="n"/>
      <c r="M490" s="7" t="n"/>
      <c r="N490" s="7" t="n"/>
      <c r="O490" s="7" t="n"/>
      <c r="R490" s="11" t="n"/>
      <c r="U490">
        <f>IF($A490="","",IF($AA490=1,Settings!$C$6,Settings!$C$7)*100)</f>
        <v/>
      </c>
      <c r="V490" s="7">
        <f>IF($A490="","",M490*U490/100)</f>
        <v/>
      </c>
      <c r="W490" s="7">
        <f>IF($A490="","",M490-V490)</f>
        <v/>
      </c>
      <c r="X490" s="7">
        <f>IF($A490="","",W490-F490)</f>
        <v/>
      </c>
      <c r="Y490">
        <f>IF($A490="","",IF(COUNTIF($A$2:$A490,$A490)=1,1,0))</f>
        <v/>
      </c>
      <c r="Z490">
        <f>IF($Y490=1,SUMPRODUCT(--($AB$2:$AB$501&lt;$AB490))+1,"")</f>
        <v/>
      </c>
      <c r="AA490">
        <f>IF($A490="","",IF(OR($T490=TRUE(),$T490="TRUE"),1,0))</f>
        <v/>
      </c>
      <c r="AB490">
        <f>IF($Y490=1,IFERROR(VALUE(MID($A490,2,20)),1000000000)+ROW()/100000,"")</f>
        <v/>
      </c>
    </row>
    <row r="491">
      <c r="F491" s="7">
        <f>IF($A491="","",E491*M491/100)</f>
        <v/>
      </c>
      <c r="I491" s="7" t="n"/>
      <c r="J491" s="7" t="n"/>
      <c r="L491" s="7" t="n"/>
      <c r="M491" s="7" t="n"/>
      <c r="N491" s="7" t="n"/>
      <c r="O491" s="7" t="n"/>
      <c r="R491" s="11" t="n"/>
      <c r="U491">
        <f>IF($A491="","",IF($AA491=1,Settings!$C$6,Settings!$C$7)*100)</f>
        <v/>
      </c>
      <c r="V491" s="7">
        <f>IF($A491="","",M491*U491/100)</f>
        <v/>
      </c>
      <c r="W491" s="7">
        <f>IF($A491="","",M491-V491)</f>
        <v/>
      </c>
      <c r="X491" s="7">
        <f>IF($A491="","",W491-F491)</f>
        <v/>
      </c>
      <c r="Y491">
        <f>IF($A491="","",IF(COUNTIF($A$2:$A491,$A491)=1,1,0))</f>
        <v/>
      </c>
      <c r="Z491">
        <f>IF($Y491=1,SUMPRODUCT(--($AB$2:$AB$501&lt;$AB491))+1,"")</f>
        <v/>
      </c>
      <c r="AA491">
        <f>IF($A491="","",IF(OR($T491=TRUE(),$T491="TRUE"),1,0))</f>
        <v/>
      </c>
      <c r="AB491">
        <f>IF($Y491=1,IFERROR(VALUE(MID($A491,2,20)),1000000000)+ROW()/100000,"")</f>
        <v/>
      </c>
    </row>
    <row r="492">
      <c r="F492" s="7">
        <f>IF($A492="","",E492*M492/100)</f>
        <v/>
      </c>
      <c r="I492" s="7" t="n"/>
      <c r="J492" s="7" t="n"/>
      <c r="L492" s="7" t="n"/>
      <c r="M492" s="7" t="n"/>
      <c r="N492" s="7" t="n"/>
      <c r="O492" s="7" t="n"/>
      <c r="R492" s="11" t="n"/>
      <c r="U492">
        <f>IF($A492="","",IF($AA492=1,Settings!$C$6,Settings!$C$7)*100)</f>
        <v/>
      </c>
      <c r="V492" s="7">
        <f>IF($A492="","",M492*U492/100)</f>
        <v/>
      </c>
      <c r="W492" s="7">
        <f>IF($A492="","",M492-V492)</f>
        <v/>
      </c>
      <c r="X492" s="7">
        <f>IF($A492="","",W492-F492)</f>
        <v/>
      </c>
      <c r="Y492">
        <f>IF($A492="","",IF(COUNTIF($A$2:$A492,$A492)=1,1,0))</f>
        <v/>
      </c>
      <c r="Z492">
        <f>IF($Y492=1,SUMPRODUCT(--($AB$2:$AB$501&lt;$AB492))+1,"")</f>
        <v/>
      </c>
      <c r="AA492">
        <f>IF($A492="","",IF(OR($T492=TRUE(),$T492="TRUE"),1,0))</f>
        <v/>
      </c>
      <c r="AB492">
        <f>IF($Y492=1,IFERROR(VALUE(MID($A492,2,20)),1000000000)+ROW()/100000,"")</f>
        <v/>
      </c>
    </row>
    <row r="493">
      <c r="F493" s="7">
        <f>IF($A493="","",E493*M493/100)</f>
        <v/>
      </c>
      <c r="I493" s="7" t="n"/>
      <c r="J493" s="7" t="n"/>
      <c r="L493" s="7" t="n"/>
      <c r="M493" s="7" t="n"/>
      <c r="N493" s="7" t="n"/>
      <c r="O493" s="7" t="n"/>
      <c r="R493" s="11" t="n"/>
      <c r="U493">
        <f>IF($A493="","",IF($AA493=1,Settings!$C$6,Settings!$C$7)*100)</f>
        <v/>
      </c>
      <c r="V493" s="7">
        <f>IF($A493="","",M493*U493/100)</f>
        <v/>
      </c>
      <c r="W493" s="7">
        <f>IF($A493="","",M493-V493)</f>
        <v/>
      </c>
      <c r="X493" s="7">
        <f>IF($A493="","",W493-F493)</f>
        <v/>
      </c>
      <c r="Y493">
        <f>IF($A493="","",IF(COUNTIF($A$2:$A493,$A493)=1,1,0))</f>
        <v/>
      </c>
      <c r="Z493">
        <f>IF($Y493=1,SUMPRODUCT(--($AB$2:$AB$501&lt;$AB493))+1,"")</f>
        <v/>
      </c>
      <c r="AA493">
        <f>IF($A493="","",IF(OR($T493=TRUE(),$T493="TRUE"),1,0))</f>
        <v/>
      </c>
      <c r="AB493">
        <f>IF($Y493=1,IFERROR(VALUE(MID($A493,2,20)),1000000000)+ROW()/100000,"")</f>
        <v/>
      </c>
    </row>
    <row r="494">
      <c r="F494" s="7">
        <f>IF($A494="","",E494*M494/100)</f>
        <v/>
      </c>
      <c r="I494" s="7" t="n"/>
      <c r="J494" s="7" t="n"/>
      <c r="L494" s="7" t="n"/>
      <c r="M494" s="7" t="n"/>
      <c r="N494" s="7" t="n"/>
      <c r="O494" s="7" t="n"/>
      <c r="R494" s="11" t="n"/>
      <c r="U494">
        <f>IF($A494="","",IF($AA494=1,Settings!$C$6,Settings!$C$7)*100)</f>
        <v/>
      </c>
      <c r="V494" s="7">
        <f>IF($A494="","",M494*U494/100)</f>
        <v/>
      </c>
      <c r="W494" s="7">
        <f>IF($A494="","",M494-V494)</f>
        <v/>
      </c>
      <c r="X494" s="7">
        <f>IF($A494="","",W494-F494)</f>
        <v/>
      </c>
      <c r="Y494">
        <f>IF($A494="","",IF(COUNTIF($A$2:$A494,$A494)=1,1,0))</f>
        <v/>
      </c>
      <c r="Z494">
        <f>IF($Y494=1,SUMPRODUCT(--($AB$2:$AB$501&lt;$AB494))+1,"")</f>
        <v/>
      </c>
      <c r="AA494">
        <f>IF($A494="","",IF(OR($T494=TRUE(),$T494="TRUE"),1,0))</f>
        <v/>
      </c>
      <c r="AB494">
        <f>IF($Y494=1,IFERROR(VALUE(MID($A494,2,20)),1000000000)+ROW()/100000,"")</f>
        <v/>
      </c>
    </row>
    <row r="495">
      <c r="F495" s="7">
        <f>IF($A495="","",E495*M495/100)</f>
        <v/>
      </c>
      <c r="I495" s="7" t="n"/>
      <c r="J495" s="7" t="n"/>
      <c r="L495" s="7" t="n"/>
      <c r="M495" s="7" t="n"/>
      <c r="N495" s="7" t="n"/>
      <c r="O495" s="7" t="n"/>
      <c r="R495" s="11" t="n"/>
      <c r="U495">
        <f>IF($A495="","",IF($AA495=1,Settings!$C$6,Settings!$C$7)*100)</f>
        <v/>
      </c>
      <c r="V495" s="7">
        <f>IF($A495="","",M495*U495/100)</f>
        <v/>
      </c>
      <c r="W495" s="7">
        <f>IF($A495="","",M495-V495)</f>
        <v/>
      </c>
      <c r="X495" s="7">
        <f>IF($A495="","",W495-F495)</f>
        <v/>
      </c>
      <c r="Y495">
        <f>IF($A495="","",IF(COUNTIF($A$2:$A495,$A495)=1,1,0))</f>
        <v/>
      </c>
      <c r="Z495">
        <f>IF($Y495=1,SUMPRODUCT(--($AB$2:$AB$501&lt;$AB495))+1,"")</f>
        <v/>
      </c>
      <c r="AA495">
        <f>IF($A495="","",IF(OR($T495=TRUE(),$T495="TRUE"),1,0))</f>
        <v/>
      </c>
      <c r="AB495">
        <f>IF($Y495=1,IFERROR(VALUE(MID($A495,2,20)),1000000000)+ROW()/100000,"")</f>
        <v/>
      </c>
    </row>
    <row r="496">
      <c r="F496" s="7">
        <f>IF($A496="","",E496*M496/100)</f>
        <v/>
      </c>
      <c r="I496" s="7" t="n"/>
      <c r="J496" s="7" t="n"/>
      <c r="L496" s="7" t="n"/>
      <c r="M496" s="7" t="n"/>
      <c r="N496" s="7" t="n"/>
      <c r="O496" s="7" t="n"/>
      <c r="R496" s="11" t="n"/>
      <c r="U496">
        <f>IF($A496="","",IF($AA496=1,Settings!$C$6,Settings!$C$7)*100)</f>
        <v/>
      </c>
      <c r="V496" s="7">
        <f>IF($A496="","",M496*U496/100)</f>
        <v/>
      </c>
      <c r="W496" s="7">
        <f>IF($A496="","",M496-V496)</f>
        <v/>
      </c>
      <c r="X496" s="7">
        <f>IF($A496="","",W496-F496)</f>
        <v/>
      </c>
      <c r="Y496">
        <f>IF($A496="","",IF(COUNTIF($A$2:$A496,$A496)=1,1,0))</f>
        <v/>
      </c>
      <c r="Z496">
        <f>IF($Y496=1,SUMPRODUCT(--($AB$2:$AB$501&lt;$AB496))+1,"")</f>
        <v/>
      </c>
      <c r="AA496">
        <f>IF($A496="","",IF(OR($T496=TRUE(),$T496="TRUE"),1,0))</f>
        <v/>
      </c>
      <c r="AB496">
        <f>IF($Y496=1,IFERROR(VALUE(MID($A496,2,20)),1000000000)+ROW()/100000,"")</f>
        <v/>
      </c>
    </row>
    <row r="497">
      <c r="F497" s="7">
        <f>IF($A497="","",E497*M497/100)</f>
        <v/>
      </c>
      <c r="I497" s="7" t="n"/>
      <c r="J497" s="7" t="n"/>
      <c r="L497" s="7" t="n"/>
      <c r="M497" s="7" t="n"/>
      <c r="N497" s="7" t="n"/>
      <c r="O497" s="7" t="n"/>
      <c r="R497" s="11" t="n"/>
      <c r="U497">
        <f>IF($A497="","",IF($AA497=1,Settings!$C$6,Settings!$C$7)*100)</f>
        <v/>
      </c>
      <c r="V497" s="7">
        <f>IF($A497="","",M497*U497/100)</f>
        <v/>
      </c>
      <c r="W497" s="7">
        <f>IF($A497="","",M497-V497)</f>
        <v/>
      </c>
      <c r="X497" s="7">
        <f>IF($A497="","",W497-F497)</f>
        <v/>
      </c>
      <c r="Y497">
        <f>IF($A497="","",IF(COUNTIF($A$2:$A497,$A497)=1,1,0))</f>
        <v/>
      </c>
      <c r="Z497">
        <f>IF($Y497=1,SUMPRODUCT(--($AB$2:$AB$501&lt;$AB497))+1,"")</f>
        <v/>
      </c>
      <c r="AA497">
        <f>IF($A497="","",IF(OR($T497=TRUE(),$T497="TRUE"),1,0))</f>
        <v/>
      </c>
      <c r="AB497">
        <f>IF($Y497=1,IFERROR(VALUE(MID($A497,2,20)),1000000000)+ROW()/100000,"")</f>
        <v/>
      </c>
    </row>
    <row r="498">
      <c r="F498" s="7">
        <f>IF($A498="","",E498*M498/100)</f>
        <v/>
      </c>
      <c r="I498" s="7" t="n"/>
      <c r="J498" s="7" t="n"/>
      <c r="L498" s="7" t="n"/>
      <c r="M498" s="7" t="n"/>
      <c r="N498" s="7" t="n"/>
      <c r="O498" s="7" t="n"/>
      <c r="R498" s="11" t="n"/>
      <c r="U498">
        <f>IF($A498="","",IF($AA498=1,Settings!$C$6,Settings!$C$7)*100)</f>
        <v/>
      </c>
      <c r="V498" s="7">
        <f>IF($A498="","",M498*U498/100)</f>
        <v/>
      </c>
      <c r="W498" s="7">
        <f>IF($A498="","",M498-V498)</f>
        <v/>
      </c>
      <c r="X498" s="7">
        <f>IF($A498="","",W498-F498)</f>
        <v/>
      </c>
      <c r="Y498">
        <f>IF($A498="","",IF(COUNTIF($A$2:$A498,$A498)=1,1,0))</f>
        <v/>
      </c>
      <c r="Z498">
        <f>IF($Y498=1,SUMPRODUCT(--($AB$2:$AB$501&lt;$AB498))+1,"")</f>
        <v/>
      </c>
      <c r="AA498">
        <f>IF($A498="","",IF(OR($T498=TRUE(),$T498="TRUE"),1,0))</f>
        <v/>
      </c>
      <c r="AB498">
        <f>IF($Y498=1,IFERROR(VALUE(MID($A498,2,20)),1000000000)+ROW()/100000,"")</f>
        <v/>
      </c>
    </row>
    <row r="499">
      <c r="F499" s="7">
        <f>IF($A499="","",E499*M499/100)</f>
        <v/>
      </c>
      <c r="I499" s="7" t="n"/>
      <c r="J499" s="7" t="n"/>
      <c r="L499" s="7" t="n"/>
      <c r="M499" s="7" t="n"/>
      <c r="N499" s="7" t="n"/>
      <c r="O499" s="7" t="n"/>
      <c r="R499" s="11" t="n"/>
      <c r="U499">
        <f>IF($A499="","",IF($AA499=1,Settings!$C$6,Settings!$C$7)*100)</f>
        <v/>
      </c>
      <c r="V499" s="7">
        <f>IF($A499="","",M499*U499/100)</f>
        <v/>
      </c>
      <c r="W499" s="7">
        <f>IF($A499="","",M499-V499)</f>
        <v/>
      </c>
      <c r="X499" s="7">
        <f>IF($A499="","",W499-F499)</f>
        <v/>
      </c>
      <c r="Y499">
        <f>IF($A499="","",IF(COUNTIF($A$2:$A499,$A499)=1,1,0))</f>
        <v/>
      </c>
      <c r="Z499">
        <f>IF($Y499=1,SUMPRODUCT(--($AB$2:$AB$501&lt;$AB499))+1,"")</f>
        <v/>
      </c>
      <c r="AA499">
        <f>IF($A499="","",IF(OR($T499=TRUE(),$T499="TRUE"),1,0))</f>
        <v/>
      </c>
      <c r="AB499">
        <f>IF($Y499=1,IFERROR(VALUE(MID($A499,2,20)),1000000000)+ROW()/100000,"")</f>
        <v/>
      </c>
    </row>
    <row r="500">
      <c r="F500" s="7">
        <f>IF($A500="","",E500*M500/100)</f>
        <v/>
      </c>
      <c r="I500" s="7" t="n"/>
      <c r="J500" s="7" t="n"/>
      <c r="L500" s="7" t="n"/>
      <c r="M500" s="7" t="n"/>
      <c r="N500" s="7" t="n"/>
      <c r="O500" s="7" t="n"/>
      <c r="R500" s="11" t="n"/>
      <c r="U500">
        <f>IF($A500="","",IF($AA500=1,Settings!$C$6,Settings!$C$7)*100)</f>
        <v/>
      </c>
      <c r="V500" s="7">
        <f>IF($A500="","",M500*U500/100)</f>
        <v/>
      </c>
      <c r="W500" s="7">
        <f>IF($A500="","",M500-V500)</f>
        <v/>
      </c>
      <c r="X500" s="7">
        <f>IF($A500="","",W500-F500)</f>
        <v/>
      </c>
      <c r="Y500">
        <f>IF($A500="","",IF(COUNTIF($A$2:$A500,$A500)=1,1,0))</f>
        <v/>
      </c>
      <c r="Z500">
        <f>IF($Y500=1,SUMPRODUCT(--($AB$2:$AB$501&lt;$AB500))+1,"")</f>
        <v/>
      </c>
      <c r="AA500">
        <f>IF($A500="","",IF(OR($T500=TRUE(),$T500="TRUE"),1,0))</f>
        <v/>
      </c>
      <c r="AB500">
        <f>IF($Y500=1,IFERROR(VALUE(MID($A500,2,20)),1000000000)+ROW()/100000,"")</f>
        <v/>
      </c>
    </row>
    <row r="501">
      <c r="F501" s="7">
        <f>IF($A501="","",E501*M501/100)</f>
        <v/>
      </c>
      <c r="I501" s="7" t="n"/>
      <c r="J501" s="7" t="n"/>
      <c r="L501" s="7" t="n"/>
      <c r="M501" s="7" t="n"/>
      <c r="N501" s="7" t="n"/>
      <c r="O501" s="7" t="n"/>
      <c r="R501" s="11" t="n"/>
      <c r="U501">
        <f>IF($A501="","",IF($AA501=1,Settings!$C$6,Settings!$C$7)*100)</f>
        <v/>
      </c>
      <c r="V501" s="7">
        <f>IF($A501="","",M501*U501/100)</f>
        <v/>
      </c>
      <c r="W501" s="7">
        <f>IF($A501="","",M501-V501)</f>
        <v/>
      </c>
      <c r="X501" s="7">
        <f>IF($A501="","",W501-F501)</f>
        <v/>
      </c>
      <c r="Y501">
        <f>IF($A501="","",IF(COUNTIF($A$2:$A501,$A501)=1,1,0))</f>
        <v/>
      </c>
      <c r="Z501">
        <f>IF($Y501=1,SUMPRODUCT(--($AB$2:$AB$501&lt;$AB501))+1,"")</f>
        <v/>
      </c>
      <c r="AA501">
        <f>IF($A501="","",IF(OR($T501=TRUE(),$T501="TRUE"),1,0))</f>
        <v/>
      </c>
      <c r="AB501">
        <f>IF($Y501=1,IFERROR(VALUE(MID($A501,2,20)),1000000000)+ROW()/100000,"")</f>
        <v/>
      </c>
    </row>
  </sheetData>
  <autoFilter ref="A1:AB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6" customWidth="1" min="4" max="4"/>
    <col width="13" customWidth="1" min="5" max="5"/>
    <col width="12" customWidth="1" min="6" max="6"/>
    <col width="12" customWidth="1" min="7" max="7"/>
    <col width="17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8" t="inlineStr">
        <is>
          <t>Invoice</t>
        </is>
      </c>
      <c r="B1" s="9" t="inlineStr">
        <is>
          <t>Pos Reference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9" t="inlineStr">
        <is>
          <t>Co val</t>
        </is>
      </c>
      <c r="H1" s="9" t="inlineStr">
        <is>
          <t>Create Date</t>
        </is>
      </c>
      <c r="I1" s="9" t="inlineStr">
        <is>
          <t>Session</t>
        </is>
      </c>
      <c r="J1" s="9" t="inlineStr">
        <is>
          <t>Payment Type</t>
        </is>
      </c>
      <c r="K1" s="9" t="inlineStr">
        <is>
          <t>Imp %</t>
        </is>
      </c>
      <c r="L1" s="9" t="inlineStr">
        <is>
          <t>Imp</t>
        </is>
      </c>
      <c r="M1" s="9" t="inlineStr">
        <is>
          <t>Imp Val</t>
        </is>
      </c>
      <c r="N1" s="9" t="inlineStr">
        <is>
          <t>local %</t>
        </is>
      </c>
      <c r="O1" s="9" t="inlineStr">
        <is>
          <t>local</t>
        </is>
      </c>
      <c r="P1" s="9" t="inlineStr">
        <is>
          <t>local val</t>
        </is>
      </c>
      <c r="Q1" s="9" t="inlineStr">
        <is>
          <t>total val</t>
        </is>
      </c>
      <c r="R1" s="9" t="inlineStr">
        <is>
          <t>subtotal</t>
        </is>
      </c>
      <c r="S1" s="9" t="inlineStr">
        <is>
          <t>Grand Total</t>
        </is>
      </c>
      <c r="T1" s="9" t="inlineStr">
        <is>
          <t>net</t>
        </is>
      </c>
      <c r="U1" s="10" t="inlineStr">
        <is>
          <t>Src Row (helper)</t>
        </is>
      </c>
    </row>
    <row r="2">
      <c r="A2" s="12" t="n"/>
      <c r="B2">
        <f>IF($U2="","",INDEX('Per Line'!$A$2:$A$501,$U2)&amp;"")</f>
        <v/>
      </c>
      <c r="C2">
        <f>IF($U2="","",INDEX('Per Line'!$B$2:$B$501,$U2)&amp;"")</f>
        <v/>
      </c>
      <c r="D2">
        <f>IF($U2="","",INDEX('Per Line'!$C$2:$C$501,$U2)&amp;"")</f>
        <v/>
      </c>
      <c r="E2">
        <f>IF($U2="","",INDEX('Per Line'!$D$2:$D$501,$U2)&amp;"")</f>
        <v/>
      </c>
      <c r="F2">
        <f>IF($U2="","",INDEX('Per Line'!$E$2:$E$501,$U2))</f>
        <v/>
      </c>
      <c r="G2" s="7">
        <f>IF($U2="","",F2*S2/100)</f>
        <v/>
      </c>
      <c r="H2" s="11">
        <f>IF($U2="","",INDEX('Per Line'!$R$2:$R$501,$U2))</f>
        <v/>
      </c>
      <c r="I2">
        <f>IF($U2="","",INDEX('Per Line'!$Q$2:$Q$501,$U2)&amp;"")</f>
        <v/>
      </c>
      <c r="J2">
        <f>IF($U2="","",INDEX('Per Line'!$P$2:$P$501,$U2)&amp;"")</f>
        <v/>
      </c>
      <c r="K2">
        <f>IF($U2="","",Settings!$C$7)</f>
        <v/>
      </c>
      <c r="L2" s="7">
        <f>IF($U2="","",SUMIFS('Per Line'!$M$2:$M$501,'Per Line'!$A$2:$A$501,$B2,'Per Line'!$AA$2:$AA$501,0))</f>
        <v/>
      </c>
      <c r="M2" s="7">
        <f>IF($U2="","",L2*K2)</f>
        <v/>
      </c>
      <c r="N2">
        <f>IF($U2="","",Settings!$C$6)</f>
        <v/>
      </c>
      <c r="O2" s="7">
        <f>IF($U2="","",SUMIFS('Per Line'!$M$2:$M$501,'Per Line'!$A$2:$A$501,$B2,'Per Line'!$AA$2:$AA$501,1))</f>
        <v/>
      </c>
      <c r="P2" s="7">
        <f>IF($U2="","",O2*N2)</f>
        <v/>
      </c>
      <c r="Q2" s="7">
        <f>IF($U2="","",P2+M2)</f>
        <v/>
      </c>
      <c r="R2" s="7">
        <f>IF($U2="","",S2-Q2)</f>
        <v/>
      </c>
      <c r="S2" s="7">
        <f>IF($U2="","",L2+O2)</f>
        <v/>
      </c>
      <c r="T2" s="7">
        <f>IF($U2="","",S2-Q2-G2)</f>
        <v/>
      </c>
      <c r="U2" s="13">
        <f>IF(ROWS($U$2:$U2)&lt;=MAX('Per Line'!$Z$2:$Z$501),MATCH(ROWS($U$2:$U2),'Per Line'!$Z$2:$Z$501,0),"")</f>
        <v/>
      </c>
    </row>
    <row r="3">
      <c r="A3" s="12" t="n"/>
      <c r="B3">
        <f>IF($U3="","",INDEX('Per Line'!$A$2:$A$501,$U3)&amp;"")</f>
        <v/>
      </c>
      <c r="C3">
        <f>IF($U3="","",INDEX('Per Line'!$B$2:$B$501,$U3)&amp;"")</f>
        <v/>
      </c>
      <c r="D3">
        <f>IF($U3="","",INDEX('Per Line'!$C$2:$C$501,$U3)&amp;"")</f>
        <v/>
      </c>
      <c r="E3">
        <f>IF($U3="","",INDEX('Per Line'!$D$2:$D$501,$U3)&amp;"")</f>
        <v/>
      </c>
      <c r="F3">
        <f>IF($U3="","",INDEX('Per Line'!$E$2:$E$501,$U3))</f>
        <v/>
      </c>
      <c r="G3" s="7">
        <f>IF($U3="","",F3*S3/100)</f>
        <v/>
      </c>
      <c r="H3" s="11">
        <f>IF($U3="","",INDEX('Per Line'!$R$2:$R$501,$U3))</f>
        <v/>
      </c>
      <c r="I3">
        <f>IF($U3="","",INDEX('Per Line'!$Q$2:$Q$501,$U3)&amp;"")</f>
        <v/>
      </c>
      <c r="J3">
        <f>IF($U3="","",INDEX('Per Line'!$P$2:$P$501,$U3)&amp;"")</f>
        <v/>
      </c>
      <c r="K3">
        <f>IF($U3="","",Settings!$C$7)</f>
        <v/>
      </c>
      <c r="L3" s="7">
        <f>IF($U3="","",SUMIFS('Per Line'!$M$2:$M$501,'Per Line'!$A$2:$A$501,$B3,'Per Line'!$AA$2:$AA$501,0))</f>
        <v/>
      </c>
      <c r="M3" s="7">
        <f>IF($U3="","",L3*K3)</f>
        <v/>
      </c>
      <c r="N3">
        <f>IF($U3="","",Settings!$C$6)</f>
        <v/>
      </c>
      <c r="O3" s="7">
        <f>IF($U3="","",SUMIFS('Per Line'!$M$2:$M$501,'Per Line'!$A$2:$A$501,$B3,'Per Line'!$AA$2:$AA$501,1))</f>
        <v/>
      </c>
      <c r="P3" s="7">
        <f>IF($U3="","",O3*N3)</f>
        <v/>
      </c>
      <c r="Q3" s="7">
        <f>IF($U3="","",P3+M3)</f>
        <v/>
      </c>
      <c r="R3" s="7">
        <f>IF($U3="","",S3-Q3)</f>
        <v/>
      </c>
      <c r="S3" s="7">
        <f>IF($U3="","",L3+O3)</f>
        <v/>
      </c>
      <c r="T3" s="7">
        <f>IF($U3="","",S3-Q3-G3)</f>
        <v/>
      </c>
      <c r="U3" s="13">
        <f>IF(ROWS($U$2:$U3)&lt;=MAX('Per Line'!$Z$2:$Z$501),MATCH(ROWS($U$2:$U3),'Per Line'!$Z$2:$Z$501,0),"")</f>
        <v/>
      </c>
    </row>
    <row r="4">
      <c r="A4" s="12" t="n"/>
      <c r="B4">
        <f>IF($U4="","",INDEX('Per Line'!$A$2:$A$501,$U4)&amp;"")</f>
        <v/>
      </c>
      <c r="C4">
        <f>IF($U4="","",INDEX('Per Line'!$B$2:$B$501,$U4)&amp;"")</f>
        <v/>
      </c>
      <c r="D4">
        <f>IF($U4="","",INDEX('Per Line'!$C$2:$C$501,$U4)&amp;"")</f>
        <v/>
      </c>
      <c r="E4">
        <f>IF($U4="","",INDEX('Per Line'!$D$2:$D$501,$U4)&amp;"")</f>
        <v/>
      </c>
      <c r="F4">
        <f>IF($U4="","",INDEX('Per Line'!$E$2:$E$501,$U4))</f>
        <v/>
      </c>
      <c r="G4" s="7">
        <f>IF($U4="","",F4*S4/100)</f>
        <v/>
      </c>
      <c r="H4" s="11">
        <f>IF($U4="","",INDEX('Per Line'!$R$2:$R$501,$U4))</f>
        <v/>
      </c>
      <c r="I4">
        <f>IF($U4="","",INDEX('Per Line'!$Q$2:$Q$501,$U4)&amp;"")</f>
        <v/>
      </c>
      <c r="J4">
        <f>IF($U4="","",INDEX('Per Line'!$P$2:$P$501,$U4)&amp;"")</f>
        <v/>
      </c>
      <c r="K4">
        <f>IF($U4="","",Settings!$C$7)</f>
        <v/>
      </c>
      <c r="L4" s="7">
        <f>IF($U4="","",SUMIFS('Per Line'!$M$2:$M$501,'Per Line'!$A$2:$A$501,$B4,'Per Line'!$AA$2:$AA$501,0))</f>
        <v/>
      </c>
      <c r="M4" s="7">
        <f>IF($U4="","",L4*K4)</f>
        <v/>
      </c>
      <c r="N4">
        <f>IF($U4="","",Settings!$C$6)</f>
        <v/>
      </c>
      <c r="O4" s="7">
        <f>IF($U4="","",SUMIFS('Per Line'!$M$2:$M$501,'Per Line'!$A$2:$A$501,$B4,'Per Line'!$AA$2:$AA$501,1))</f>
        <v/>
      </c>
      <c r="P4" s="7">
        <f>IF($U4="","",O4*N4)</f>
        <v/>
      </c>
      <c r="Q4" s="7">
        <f>IF($U4="","",P4+M4)</f>
        <v/>
      </c>
      <c r="R4" s="7">
        <f>IF($U4="","",S4-Q4)</f>
        <v/>
      </c>
      <c r="S4" s="7">
        <f>IF($U4="","",L4+O4)</f>
        <v/>
      </c>
      <c r="T4" s="7">
        <f>IF($U4="","",S4-Q4-G4)</f>
        <v/>
      </c>
      <c r="U4" s="13">
        <f>IF(ROWS($U$2:$U4)&lt;=MAX('Per Line'!$Z$2:$Z$501),MATCH(ROWS($U$2:$U4),'Per Line'!$Z$2:$Z$501,0),"")</f>
        <v/>
      </c>
    </row>
    <row r="5">
      <c r="A5" s="12" t="n"/>
      <c r="B5">
        <f>IF($U5="","",INDEX('Per Line'!$A$2:$A$501,$U5)&amp;"")</f>
        <v/>
      </c>
      <c r="C5">
        <f>IF($U5="","",INDEX('Per Line'!$B$2:$B$501,$U5)&amp;"")</f>
        <v/>
      </c>
      <c r="D5">
        <f>IF($U5="","",INDEX('Per Line'!$C$2:$C$501,$U5)&amp;"")</f>
        <v/>
      </c>
      <c r="E5">
        <f>IF($U5="","",INDEX('Per Line'!$D$2:$D$501,$U5)&amp;"")</f>
        <v/>
      </c>
      <c r="F5">
        <f>IF($U5="","",INDEX('Per Line'!$E$2:$E$501,$U5))</f>
        <v/>
      </c>
      <c r="G5" s="7">
        <f>IF($U5="","",F5*S5/100)</f>
        <v/>
      </c>
      <c r="H5" s="11">
        <f>IF($U5="","",INDEX('Per Line'!$R$2:$R$501,$U5))</f>
        <v/>
      </c>
      <c r="I5">
        <f>IF($U5="","",INDEX('Per Line'!$Q$2:$Q$501,$U5)&amp;"")</f>
        <v/>
      </c>
      <c r="J5">
        <f>IF($U5="","",INDEX('Per Line'!$P$2:$P$501,$U5)&amp;"")</f>
        <v/>
      </c>
      <c r="K5">
        <f>IF($U5="","",Settings!$C$7)</f>
        <v/>
      </c>
      <c r="L5" s="7">
        <f>IF($U5="","",SUMIFS('Per Line'!$M$2:$M$501,'Per Line'!$A$2:$A$501,$B5,'Per Line'!$AA$2:$AA$501,0))</f>
        <v/>
      </c>
      <c r="M5" s="7">
        <f>IF($U5="","",L5*K5)</f>
        <v/>
      </c>
      <c r="N5">
        <f>IF($U5="","",Settings!$C$6)</f>
        <v/>
      </c>
      <c r="O5" s="7">
        <f>IF($U5="","",SUMIFS('Per Line'!$M$2:$M$501,'Per Line'!$A$2:$A$501,$B5,'Per Line'!$AA$2:$AA$501,1))</f>
        <v/>
      </c>
      <c r="P5" s="7">
        <f>IF($U5="","",O5*N5)</f>
        <v/>
      </c>
      <c r="Q5" s="7">
        <f>IF($U5="","",P5+M5)</f>
        <v/>
      </c>
      <c r="R5" s="7">
        <f>IF($U5="","",S5-Q5)</f>
        <v/>
      </c>
      <c r="S5" s="7">
        <f>IF($U5="","",L5+O5)</f>
        <v/>
      </c>
      <c r="T5" s="7">
        <f>IF($U5="","",S5-Q5-G5)</f>
        <v/>
      </c>
      <c r="U5" s="13">
        <f>IF(ROWS($U$2:$U5)&lt;=MAX('Per Line'!$Z$2:$Z$501),MATCH(ROWS($U$2:$U5),'Per Line'!$Z$2:$Z$501,0),"")</f>
        <v/>
      </c>
    </row>
    <row r="6">
      <c r="A6" s="12" t="n"/>
      <c r="B6">
        <f>IF($U6="","",INDEX('Per Line'!$A$2:$A$501,$U6)&amp;"")</f>
        <v/>
      </c>
      <c r="C6">
        <f>IF($U6="","",INDEX('Per Line'!$B$2:$B$501,$U6)&amp;"")</f>
        <v/>
      </c>
      <c r="D6">
        <f>IF($U6="","",INDEX('Per Line'!$C$2:$C$501,$U6)&amp;"")</f>
        <v/>
      </c>
      <c r="E6">
        <f>IF($U6="","",INDEX('Per Line'!$D$2:$D$501,$U6)&amp;"")</f>
        <v/>
      </c>
      <c r="F6">
        <f>IF($U6="","",INDEX('Per Line'!$E$2:$E$501,$U6))</f>
        <v/>
      </c>
      <c r="G6" s="7">
        <f>IF($U6="","",F6*S6/100)</f>
        <v/>
      </c>
      <c r="H6" s="11">
        <f>IF($U6="","",INDEX('Per Line'!$R$2:$R$501,$U6))</f>
        <v/>
      </c>
      <c r="I6">
        <f>IF($U6="","",INDEX('Per Line'!$Q$2:$Q$501,$U6)&amp;"")</f>
        <v/>
      </c>
      <c r="J6">
        <f>IF($U6="","",INDEX('Per Line'!$P$2:$P$501,$U6)&amp;"")</f>
        <v/>
      </c>
      <c r="K6">
        <f>IF($U6="","",Settings!$C$7)</f>
        <v/>
      </c>
      <c r="L6" s="7">
        <f>IF($U6="","",SUMIFS('Per Line'!$M$2:$M$501,'Per Line'!$A$2:$A$501,$B6,'Per Line'!$AA$2:$AA$501,0))</f>
        <v/>
      </c>
      <c r="M6" s="7">
        <f>IF($U6="","",L6*K6)</f>
        <v/>
      </c>
      <c r="N6">
        <f>IF($U6="","",Settings!$C$6)</f>
        <v/>
      </c>
      <c r="O6" s="7">
        <f>IF($U6="","",SUMIFS('Per Line'!$M$2:$M$501,'Per Line'!$A$2:$A$501,$B6,'Per Line'!$AA$2:$AA$501,1))</f>
        <v/>
      </c>
      <c r="P6" s="7">
        <f>IF($U6="","",O6*N6)</f>
        <v/>
      </c>
      <c r="Q6" s="7">
        <f>IF($U6="","",P6+M6)</f>
        <v/>
      </c>
      <c r="R6" s="7">
        <f>IF($U6="","",S6-Q6)</f>
        <v/>
      </c>
      <c r="S6" s="7">
        <f>IF($U6="","",L6+O6)</f>
        <v/>
      </c>
      <c r="T6" s="7">
        <f>IF($U6="","",S6-Q6-G6)</f>
        <v/>
      </c>
      <c r="U6" s="13">
        <f>IF(ROWS($U$2:$U6)&lt;=MAX('Per Line'!$Z$2:$Z$501),MATCH(ROWS($U$2:$U6),'Per Line'!$Z$2:$Z$501,0),"")</f>
        <v/>
      </c>
    </row>
    <row r="7">
      <c r="A7" s="12" t="n"/>
      <c r="B7">
        <f>IF($U7="","",INDEX('Per Line'!$A$2:$A$501,$U7)&amp;"")</f>
        <v/>
      </c>
      <c r="C7">
        <f>IF($U7="","",INDEX('Per Line'!$B$2:$B$501,$U7)&amp;"")</f>
        <v/>
      </c>
      <c r="D7">
        <f>IF($U7="","",INDEX('Per Line'!$C$2:$C$501,$U7)&amp;"")</f>
        <v/>
      </c>
      <c r="E7">
        <f>IF($U7="","",INDEX('Per Line'!$D$2:$D$501,$U7)&amp;"")</f>
        <v/>
      </c>
      <c r="F7">
        <f>IF($U7="","",INDEX('Per Line'!$E$2:$E$501,$U7))</f>
        <v/>
      </c>
      <c r="G7" s="7">
        <f>IF($U7="","",F7*S7/100)</f>
        <v/>
      </c>
      <c r="H7" s="11">
        <f>IF($U7="","",INDEX('Per Line'!$R$2:$R$501,$U7))</f>
        <v/>
      </c>
      <c r="I7">
        <f>IF($U7="","",INDEX('Per Line'!$Q$2:$Q$501,$U7)&amp;"")</f>
        <v/>
      </c>
      <c r="J7">
        <f>IF($U7="","",INDEX('Per Line'!$P$2:$P$501,$U7)&amp;"")</f>
        <v/>
      </c>
      <c r="K7">
        <f>IF($U7="","",Settings!$C$7)</f>
        <v/>
      </c>
      <c r="L7" s="7">
        <f>IF($U7="","",SUMIFS('Per Line'!$M$2:$M$501,'Per Line'!$A$2:$A$501,$B7,'Per Line'!$AA$2:$AA$501,0))</f>
        <v/>
      </c>
      <c r="M7" s="7">
        <f>IF($U7="","",L7*K7)</f>
        <v/>
      </c>
      <c r="N7">
        <f>IF($U7="","",Settings!$C$6)</f>
        <v/>
      </c>
      <c r="O7" s="7">
        <f>IF($U7="","",SUMIFS('Per Line'!$M$2:$M$501,'Per Line'!$A$2:$A$501,$B7,'Per Line'!$AA$2:$AA$501,1))</f>
        <v/>
      </c>
      <c r="P7" s="7">
        <f>IF($U7="","",O7*N7)</f>
        <v/>
      </c>
      <c r="Q7" s="7">
        <f>IF($U7="","",P7+M7)</f>
        <v/>
      </c>
      <c r="R7" s="7">
        <f>IF($U7="","",S7-Q7)</f>
        <v/>
      </c>
      <c r="S7" s="7">
        <f>IF($U7="","",L7+O7)</f>
        <v/>
      </c>
      <c r="T7" s="7">
        <f>IF($U7="","",S7-Q7-G7)</f>
        <v/>
      </c>
      <c r="U7" s="13">
        <f>IF(ROWS($U$2:$U7)&lt;=MAX('Per Line'!$Z$2:$Z$501),MATCH(ROWS($U$2:$U7),'Per Line'!$Z$2:$Z$501,0),"")</f>
        <v/>
      </c>
    </row>
    <row r="8">
      <c r="A8" s="12" t="n"/>
      <c r="B8">
        <f>IF($U8="","",INDEX('Per Line'!$A$2:$A$501,$U8)&amp;"")</f>
        <v/>
      </c>
      <c r="C8">
        <f>IF($U8="","",INDEX('Per Line'!$B$2:$B$501,$U8)&amp;"")</f>
        <v/>
      </c>
      <c r="D8">
        <f>IF($U8="","",INDEX('Per Line'!$C$2:$C$501,$U8)&amp;"")</f>
        <v/>
      </c>
      <c r="E8">
        <f>IF($U8="","",INDEX('Per Line'!$D$2:$D$501,$U8)&amp;"")</f>
        <v/>
      </c>
      <c r="F8">
        <f>IF($U8="","",INDEX('Per Line'!$E$2:$E$501,$U8))</f>
        <v/>
      </c>
      <c r="G8" s="7">
        <f>IF($U8="","",F8*S8/100)</f>
        <v/>
      </c>
      <c r="H8" s="11">
        <f>IF($U8="","",INDEX('Per Line'!$R$2:$R$501,$U8))</f>
        <v/>
      </c>
      <c r="I8">
        <f>IF($U8="","",INDEX('Per Line'!$Q$2:$Q$501,$U8)&amp;"")</f>
        <v/>
      </c>
      <c r="J8">
        <f>IF($U8="","",INDEX('Per Line'!$P$2:$P$501,$U8)&amp;"")</f>
        <v/>
      </c>
      <c r="K8">
        <f>IF($U8="","",Settings!$C$7)</f>
        <v/>
      </c>
      <c r="L8" s="7">
        <f>IF($U8="","",SUMIFS('Per Line'!$M$2:$M$501,'Per Line'!$A$2:$A$501,$B8,'Per Line'!$AA$2:$AA$501,0))</f>
        <v/>
      </c>
      <c r="M8" s="7">
        <f>IF($U8="","",L8*K8)</f>
        <v/>
      </c>
      <c r="N8">
        <f>IF($U8="","",Settings!$C$6)</f>
        <v/>
      </c>
      <c r="O8" s="7">
        <f>IF($U8="","",SUMIFS('Per Line'!$M$2:$M$501,'Per Line'!$A$2:$A$501,$B8,'Per Line'!$AA$2:$AA$501,1))</f>
        <v/>
      </c>
      <c r="P8" s="7">
        <f>IF($U8="","",O8*N8)</f>
        <v/>
      </c>
      <c r="Q8" s="7">
        <f>IF($U8="","",P8+M8)</f>
        <v/>
      </c>
      <c r="R8" s="7">
        <f>IF($U8="","",S8-Q8)</f>
        <v/>
      </c>
      <c r="S8" s="7">
        <f>IF($U8="","",L8+O8)</f>
        <v/>
      </c>
      <c r="T8" s="7">
        <f>IF($U8="","",S8-Q8-G8)</f>
        <v/>
      </c>
      <c r="U8" s="13">
        <f>IF(ROWS($U$2:$U8)&lt;=MAX('Per Line'!$Z$2:$Z$501),MATCH(ROWS($U$2:$U8),'Per Line'!$Z$2:$Z$501,0),"")</f>
        <v/>
      </c>
    </row>
    <row r="9">
      <c r="A9" s="12" t="n"/>
      <c r="B9">
        <f>IF($U9="","",INDEX('Per Line'!$A$2:$A$501,$U9)&amp;"")</f>
        <v/>
      </c>
      <c r="C9">
        <f>IF($U9="","",INDEX('Per Line'!$B$2:$B$501,$U9)&amp;"")</f>
        <v/>
      </c>
      <c r="D9">
        <f>IF($U9="","",INDEX('Per Line'!$C$2:$C$501,$U9)&amp;"")</f>
        <v/>
      </c>
      <c r="E9">
        <f>IF($U9="","",INDEX('Per Line'!$D$2:$D$501,$U9)&amp;"")</f>
        <v/>
      </c>
      <c r="F9">
        <f>IF($U9="","",INDEX('Per Line'!$E$2:$E$501,$U9))</f>
        <v/>
      </c>
      <c r="G9" s="7">
        <f>IF($U9="","",F9*S9/100)</f>
        <v/>
      </c>
      <c r="H9" s="11">
        <f>IF($U9="","",INDEX('Per Line'!$R$2:$R$501,$U9))</f>
        <v/>
      </c>
      <c r="I9">
        <f>IF($U9="","",INDEX('Per Line'!$Q$2:$Q$501,$U9)&amp;"")</f>
        <v/>
      </c>
      <c r="J9">
        <f>IF($U9="","",INDEX('Per Line'!$P$2:$P$501,$U9)&amp;"")</f>
        <v/>
      </c>
      <c r="K9">
        <f>IF($U9="","",Settings!$C$7)</f>
        <v/>
      </c>
      <c r="L9" s="7">
        <f>IF($U9="","",SUMIFS('Per Line'!$M$2:$M$501,'Per Line'!$A$2:$A$501,$B9,'Per Line'!$AA$2:$AA$501,0))</f>
        <v/>
      </c>
      <c r="M9" s="7">
        <f>IF($U9="","",L9*K9)</f>
        <v/>
      </c>
      <c r="N9">
        <f>IF($U9="","",Settings!$C$6)</f>
        <v/>
      </c>
      <c r="O9" s="7">
        <f>IF($U9="","",SUMIFS('Per Line'!$M$2:$M$501,'Per Line'!$A$2:$A$501,$B9,'Per Line'!$AA$2:$AA$501,1))</f>
        <v/>
      </c>
      <c r="P9" s="7">
        <f>IF($U9="","",O9*N9)</f>
        <v/>
      </c>
      <c r="Q9" s="7">
        <f>IF($U9="","",P9+M9)</f>
        <v/>
      </c>
      <c r="R9" s="7">
        <f>IF($U9="","",S9-Q9)</f>
        <v/>
      </c>
      <c r="S9" s="7">
        <f>IF($U9="","",L9+O9)</f>
        <v/>
      </c>
      <c r="T9" s="7">
        <f>IF($U9="","",S9-Q9-G9)</f>
        <v/>
      </c>
      <c r="U9" s="13">
        <f>IF(ROWS($U$2:$U9)&lt;=MAX('Per Line'!$Z$2:$Z$501),MATCH(ROWS($U$2:$U9),'Per Line'!$Z$2:$Z$501,0),"")</f>
        <v/>
      </c>
    </row>
    <row r="10">
      <c r="A10" s="12" t="n"/>
      <c r="B10">
        <f>IF($U10="","",INDEX('Per Line'!$A$2:$A$501,$U10)&amp;"")</f>
        <v/>
      </c>
      <c r="C10">
        <f>IF($U10="","",INDEX('Per Line'!$B$2:$B$501,$U10)&amp;"")</f>
        <v/>
      </c>
      <c r="D10">
        <f>IF($U10="","",INDEX('Per Line'!$C$2:$C$501,$U10)&amp;"")</f>
        <v/>
      </c>
      <c r="E10">
        <f>IF($U10="","",INDEX('Per Line'!$D$2:$D$501,$U10)&amp;"")</f>
        <v/>
      </c>
      <c r="F10">
        <f>IF($U10="","",INDEX('Per Line'!$E$2:$E$501,$U10))</f>
        <v/>
      </c>
      <c r="G10" s="7">
        <f>IF($U10="","",F10*S10/100)</f>
        <v/>
      </c>
      <c r="H10" s="11">
        <f>IF($U10="","",INDEX('Per Line'!$R$2:$R$501,$U10))</f>
        <v/>
      </c>
      <c r="I10">
        <f>IF($U10="","",INDEX('Per Line'!$Q$2:$Q$501,$U10)&amp;"")</f>
        <v/>
      </c>
      <c r="J10">
        <f>IF($U10="","",INDEX('Per Line'!$P$2:$P$501,$U10)&amp;"")</f>
        <v/>
      </c>
      <c r="K10">
        <f>IF($U10="","",Settings!$C$7)</f>
        <v/>
      </c>
      <c r="L10" s="7">
        <f>IF($U10="","",SUMIFS('Per Line'!$M$2:$M$501,'Per Line'!$A$2:$A$501,$B10,'Per Line'!$AA$2:$AA$501,0))</f>
        <v/>
      </c>
      <c r="M10" s="7">
        <f>IF($U10="","",L10*K10)</f>
        <v/>
      </c>
      <c r="N10">
        <f>IF($U10="","",Settings!$C$6)</f>
        <v/>
      </c>
      <c r="O10" s="7">
        <f>IF($U10="","",SUMIFS('Per Line'!$M$2:$M$501,'Per Line'!$A$2:$A$501,$B10,'Per Line'!$AA$2:$AA$501,1))</f>
        <v/>
      </c>
      <c r="P10" s="7">
        <f>IF($U10="","",O10*N10)</f>
        <v/>
      </c>
      <c r="Q10" s="7">
        <f>IF($U10="","",P10+M10)</f>
        <v/>
      </c>
      <c r="R10" s="7">
        <f>IF($U10="","",S10-Q10)</f>
        <v/>
      </c>
      <c r="S10" s="7">
        <f>IF($U10="","",L10+O10)</f>
        <v/>
      </c>
      <c r="T10" s="7">
        <f>IF($U10="","",S10-Q10-G10)</f>
        <v/>
      </c>
      <c r="U10" s="13">
        <f>IF(ROWS($U$2:$U10)&lt;=MAX('Per Line'!$Z$2:$Z$501),MATCH(ROWS($U$2:$U10),'Per Line'!$Z$2:$Z$501,0),"")</f>
        <v/>
      </c>
    </row>
    <row r="11">
      <c r="A11" s="12" t="n"/>
      <c r="B11">
        <f>IF($U11="","",INDEX('Per Line'!$A$2:$A$501,$U11)&amp;"")</f>
        <v/>
      </c>
      <c r="C11">
        <f>IF($U11="","",INDEX('Per Line'!$B$2:$B$501,$U11)&amp;"")</f>
        <v/>
      </c>
      <c r="D11">
        <f>IF($U11="","",INDEX('Per Line'!$C$2:$C$501,$U11)&amp;"")</f>
        <v/>
      </c>
      <c r="E11">
        <f>IF($U11="","",INDEX('Per Line'!$D$2:$D$501,$U11)&amp;"")</f>
        <v/>
      </c>
      <c r="F11">
        <f>IF($U11="","",INDEX('Per Line'!$E$2:$E$501,$U11))</f>
        <v/>
      </c>
      <c r="G11" s="7">
        <f>IF($U11="","",F11*S11/100)</f>
        <v/>
      </c>
      <c r="H11" s="11">
        <f>IF($U11="","",INDEX('Per Line'!$R$2:$R$501,$U11))</f>
        <v/>
      </c>
      <c r="I11">
        <f>IF($U11="","",INDEX('Per Line'!$Q$2:$Q$501,$U11)&amp;"")</f>
        <v/>
      </c>
      <c r="J11">
        <f>IF($U11="","",INDEX('Per Line'!$P$2:$P$501,$U11)&amp;"")</f>
        <v/>
      </c>
      <c r="K11">
        <f>IF($U11="","",Settings!$C$7)</f>
        <v/>
      </c>
      <c r="L11" s="7">
        <f>IF($U11="","",SUMIFS('Per Line'!$M$2:$M$501,'Per Line'!$A$2:$A$501,$B11,'Per Line'!$AA$2:$AA$501,0))</f>
        <v/>
      </c>
      <c r="M11" s="7">
        <f>IF($U11="","",L11*K11)</f>
        <v/>
      </c>
      <c r="N11">
        <f>IF($U11="","",Settings!$C$6)</f>
        <v/>
      </c>
      <c r="O11" s="7">
        <f>IF($U11="","",SUMIFS('Per Line'!$M$2:$M$501,'Per Line'!$A$2:$A$501,$B11,'Per Line'!$AA$2:$AA$501,1))</f>
        <v/>
      </c>
      <c r="P11" s="7">
        <f>IF($U11="","",O11*N11)</f>
        <v/>
      </c>
      <c r="Q11" s="7">
        <f>IF($U11="","",P11+M11)</f>
        <v/>
      </c>
      <c r="R11" s="7">
        <f>IF($U11="","",S11-Q11)</f>
        <v/>
      </c>
      <c r="S11" s="7">
        <f>IF($U11="","",L11+O11)</f>
        <v/>
      </c>
      <c r="T11" s="7">
        <f>IF($U11="","",S11-Q11-G11)</f>
        <v/>
      </c>
      <c r="U11" s="13">
        <f>IF(ROWS($U$2:$U11)&lt;=MAX('Per Line'!$Z$2:$Z$501),MATCH(ROWS($U$2:$U11),'Per Line'!$Z$2:$Z$501,0),"")</f>
        <v/>
      </c>
    </row>
    <row r="12">
      <c r="A12" s="12" t="n"/>
      <c r="B12">
        <f>IF($U12="","",INDEX('Per Line'!$A$2:$A$501,$U12)&amp;"")</f>
        <v/>
      </c>
      <c r="C12">
        <f>IF($U12="","",INDEX('Per Line'!$B$2:$B$501,$U12)&amp;"")</f>
        <v/>
      </c>
      <c r="D12">
        <f>IF($U12="","",INDEX('Per Line'!$C$2:$C$501,$U12)&amp;"")</f>
        <v/>
      </c>
      <c r="E12">
        <f>IF($U12="","",INDEX('Per Line'!$D$2:$D$501,$U12)&amp;"")</f>
        <v/>
      </c>
      <c r="F12">
        <f>IF($U12="","",INDEX('Per Line'!$E$2:$E$501,$U12))</f>
        <v/>
      </c>
      <c r="G12" s="7">
        <f>IF($U12="","",F12*S12/100)</f>
        <v/>
      </c>
      <c r="H12" s="11">
        <f>IF($U12="","",INDEX('Per Line'!$R$2:$R$501,$U12))</f>
        <v/>
      </c>
      <c r="I12">
        <f>IF($U12="","",INDEX('Per Line'!$Q$2:$Q$501,$U12)&amp;"")</f>
        <v/>
      </c>
      <c r="J12">
        <f>IF($U12="","",INDEX('Per Line'!$P$2:$P$501,$U12)&amp;"")</f>
        <v/>
      </c>
      <c r="K12">
        <f>IF($U12="","",Settings!$C$7)</f>
        <v/>
      </c>
      <c r="L12" s="7">
        <f>IF($U12="","",SUMIFS('Per Line'!$M$2:$M$501,'Per Line'!$A$2:$A$501,$B12,'Per Line'!$AA$2:$AA$501,0))</f>
        <v/>
      </c>
      <c r="M12" s="7">
        <f>IF($U12="","",L12*K12)</f>
        <v/>
      </c>
      <c r="N12">
        <f>IF($U12="","",Settings!$C$6)</f>
        <v/>
      </c>
      <c r="O12" s="7">
        <f>IF($U12="","",SUMIFS('Per Line'!$M$2:$M$501,'Per Line'!$A$2:$A$501,$B12,'Per Line'!$AA$2:$AA$501,1))</f>
        <v/>
      </c>
      <c r="P12" s="7">
        <f>IF($U12="","",O12*N12)</f>
        <v/>
      </c>
      <c r="Q12" s="7">
        <f>IF($U12="","",P12+M12)</f>
        <v/>
      </c>
      <c r="R12" s="7">
        <f>IF($U12="","",S12-Q12)</f>
        <v/>
      </c>
      <c r="S12" s="7">
        <f>IF($U12="","",L12+O12)</f>
        <v/>
      </c>
      <c r="T12" s="7">
        <f>IF($U12="","",S12-Q12-G12)</f>
        <v/>
      </c>
      <c r="U12" s="13">
        <f>IF(ROWS($U$2:$U12)&lt;=MAX('Per Line'!$Z$2:$Z$501),MATCH(ROWS($U$2:$U12),'Per Line'!$Z$2:$Z$501,0),"")</f>
        <v/>
      </c>
    </row>
    <row r="13">
      <c r="A13" s="12" t="n"/>
      <c r="B13">
        <f>IF($U13="","",INDEX('Per Line'!$A$2:$A$501,$U13)&amp;"")</f>
        <v/>
      </c>
      <c r="C13">
        <f>IF($U13="","",INDEX('Per Line'!$B$2:$B$501,$U13)&amp;"")</f>
        <v/>
      </c>
      <c r="D13">
        <f>IF($U13="","",INDEX('Per Line'!$C$2:$C$501,$U13)&amp;"")</f>
        <v/>
      </c>
      <c r="E13">
        <f>IF($U13="","",INDEX('Per Line'!$D$2:$D$501,$U13)&amp;"")</f>
        <v/>
      </c>
      <c r="F13">
        <f>IF($U13="","",INDEX('Per Line'!$E$2:$E$501,$U13))</f>
        <v/>
      </c>
      <c r="G13" s="7">
        <f>IF($U13="","",F13*S13/100)</f>
        <v/>
      </c>
      <c r="H13" s="11">
        <f>IF($U13="","",INDEX('Per Line'!$R$2:$R$501,$U13))</f>
        <v/>
      </c>
      <c r="I13">
        <f>IF($U13="","",INDEX('Per Line'!$Q$2:$Q$501,$U13)&amp;"")</f>
        <v/>
      </c>
      <c r="J13">
        <f>IF($U13="","",INDEX('Per Line'!$P$2:$P$501,$U13)&amp;"")</f>
        <v/>
      </c>
      <c r="K13">
        <f>IF($U13="","",Settings!$C$7)</f>
        <v/>
      </c>
      <c r="L13" s="7">
        <f>IF($U13="","",SUMIFS('Per Line'!$M$2:$M$501,'Per Line'!$A$2:$A$501,$B13,'Per Line'!$AA$2:$AA$501,0))</f>
        <v/>
      </c>
      <c r="M13" s="7">
        <f>IF($U13="","",L13*K13)</f>
        <v/>
      </c>
      <c r="N13">
        <f>IF($U13="","",Settings!$C$6)</f>
        <v/>
      </c>
      <c r="O13" s="7">
        <f>IF($U13="","",SUMIFS('Per Line'!$M$2:$M$501,'Per Line'!$A$2:$A$501,$B13,'Per Line'!$AA$2:$AA$501,1))</f>
        <v/>
      </c>
      <c r="P13" s="7">
        <f>IF($U13="","",O13*N13)</f>
        <v/>
      </c>
      <c r="Q13" s="7">
        <f>IF($U13="","",P13+M13)</f>
        <v/>
      </c>
      <c r="R13" s="7">
        <f>IF($U13="","",S13-Q13)</f>
        <v/>
      </c>
      <c r="S13" s="7">
        <f>IF($U13="","",L13+O13)</f>
        <v/>
      </c>
      <c r="T13" s="7">
        <f>IF($U13="","",S13-Q13-G13)</f>
        <v/>
      </c>
      <c r="U13" s="13">
        <f>IF(ROWS($U$2:$U13)&lt;=MAX('Per Line'!$Z$2:$Z$501),MATCH(ROWS($U$2:$U13),'Per Line'!$Z$2:$Z$501,0),"")</f>
        <v/>
      </c>
    </row>
    <row r="14">
      <c r="A14" s="12" t="n"/>
      <c r="B14">
        <f>IF($U14="","",INDEX('Per Line'!$A$2:$A$501,$U14)&amp;"")</f>
        <v/>
      </c>
      <c r="C14">
        <f>IF($U14="","",INDEX('Per Line'!$B$2:$B$501,$U14)&amp;"")</f>
        <v/>
      </c>
      <c r="D14">
        <f>IF($U14="","",INDEX('Per Line'!$C$2:$C$501,$U14)&amp;"")</f>
        <v/>
      </c>
      <c r="E14">
        <f>IF($U14="","",INDEX('Per Line'!$D$2:$D$501,$U14)&amp;"")</f>
        <v/>
      </c>
      <c r="F14">
        <f>IF($U14="","",INDEX('Per Line'!$E$2:$E$501,$U14))</f>
        <v/>
      </c>
      <c r="G14" s="7">
        <f>IF($U14="","",F14*S14/100)</f>
        <v/>
      </c>
      <c r="H14" s="11">
        <f>IF($U14="","",INDEX('Per Line'!$R$2:$R$501,$U14))</f>
        <v/>
      </c>
      <c r="I14">
        <f>IF($U14="","",INDEX('Per Line'!$Q$2:$Q$501,$U14)&amp;"")</f>
        <v/>
      </c>
      <c r="J14">
        <f>IF($U14="","",INDEX('Per Line'!$P$2:$P$501,$U14)&amp;"")</f>
        <v/>
      </c>
      <c r="K14">
        <f>IF($U14="","",Settings!$C$7)</f>
        <v/>
      </c>
      <c r="L14" s="7">
        <f>IF($U14="","",SUMIFS('Per Line'!$M$2:$M$501,'Per Line'!$A$2:$A$501,$B14,'Per Line'!$AA$2:$AA$501,0))</f>
        <v/>
      </c>
      <c r="M14" s="7">
        <f>IF($U14="","",L14*K14)</f>
        <v/>
      </c>
      <c r="N14">
        <f>IF($U14="","",Settings!$C$6)</f>
        <v/>
      </c>
      <c r="O14" s="7">
        <f>IF($U14="","",SUMIFS('Per Line'!$M$2:$M$501,'Per Line'!$A$2:$A$501,$B14,'Per Line'!$AA$2:$AA$501,1))</f>
        <v/>
      </c>
      <c r="P14" s="7">
        <f>IF($U14="","",O14*N14)</f>
        <v/>
      </c>
      <c r="Q14" s="7">
        <f>IF($U14="","",P14+M14)</f>
        <v/>
      </c>
      <c r="R14" s="7">
        <f>IF($U14="","",S14-Q14)</f>
        <v/>
      </c>
      <c r="S14" s="7">
        <f>IF($U14="","",L14+O14)</f>
        <v/>
      </c>
      <c r="T14" s="7">
        <f>IF($U14="","",S14-Q14-G14)</f>
        <v/>
      </c>
      <c r="U14" s="13">
        <f>IF(ROWS($U$2:$U14)&lt;=MAX('Per Line'!$Z$2:$Z$501),MATCH(ROWS($U$2:$U14),'Per Line'!$Z$2:$Z$501,0),"")</f>
        <v/>
      </c>
    </row>
    <row r="15">
      <c r="A15" s="12" t="n"/>
      <c r="B15">
        <f>IF($U15="","",INDEX('Per Line'!$A$2:$A$501,$U15)&amp;"")</f>
        <v/>
      </c>
      <c r="C15">
        <f>IF($U15="","",INDEX('Per Line'!$B$2:$B$501,$U15)&amp;"")</f>
        <v/>
      </c>
      <c r="D15">
        <f>IF($U15="","",INDEX('Per Line'!$C$2:$C$501,$U15)&amp;"")</f>
        <v/>
      </c>
      <c r="E15">
        <f>IF($U15="","",INDEX('Per Line'!$D$2:$D$501,$U15)&amp;"")</f>
        <v/>
      </c>
      <c r="F15">
        <f>IF($U15="","",INDEX('Per Line'!$E$2:$E$501,$U15))</f>
        <v/>
      </c>
      <c r="G15" s="7">
        <f>IF($U15="","",F15*S15/100)</f>
        <v/>
      </c>
      <c r="H15" s="11">
        <f>IF($U15="","",INDEX('Per Line'!$R$2:$R$501,$U15))</f>
        <v/>
      </c>
      <c r="I15">
        <f>IF($U15="","",INDEX('Per Line'!$Q$2:$Q$501,$U15)&amp;"")</f>
        <v/>
      </c>
      <c r="J15">
        <f>IF($U15="","",INDEX('Per Line'!$P$2:$P$501,$U15)&amp;"")</f>
        <v/>
      </c>
      <c r="K15">
        <f>IF($U15="","",Settings!$C$7)</f>
        <v/>
      </c>
      <c r="L15" s="7">
        <f>IF($U15="","",SUMIFS('Per Line'!$M$2:$M$501,'Per Line'!$A$2:$A$501,$B15,'Per Line'!$AA$2:$AA$501,0))</f>
        <v/>
      </c>
      <c r="M15" s="7">
        <f>IF($U15="","",L15*K15)</f>
        <v/>
      </c>
      <c r="N15">
        <f>IF($U15="","",Settings!$C$6)</f>
        <v/>
      </c>
      <c r="O15" s="7">
        <f>IF($U15="","",SUMIFS('Per Line'!$M$2:$M$501,'Per Line'!$A$2:$A$501,$B15,'Per Line'!$AA$2:$AA$501,1))</f>
        <v/>
      </c>
      <c r="P15" s="7">
        <f>IF($U15="","",O15*N15)</f>
        <v/>
      </c>
      <c r="Q15" s="7">
        <f>IF($U15="","",P15+M15)</f>
        <v/>
      </c>
      <c r="R15" s="7">
        <f>IF($U15="","",S15-Q15)</f>
        <v/>
      </c>
      <c r="S15" s="7">
        <f>IF($U15="","",L15+O15)</f>
        <v/>
      </c>
      <c r="T15" s="7">
        <f>IF($U15="","",S15-Q15-G15)</f>
        <v/>
      </c>
      <c r="U15" s="13">
        <f>IF(ROWS($U$2:$U15)&lt;=MAX('Per Line'!$Z$2:$Z$501),MATCH(ROWS($U$2:$U15),'Per Line'!$Z$2:$Z$501,0),"")</f>
        <v/>
      </c>
    </row>
    <row r="16">
      <c r="A16" s="12" t="n"/>
      <c r="B16">
        <f>IF($U16="","",INDEX('Per Line'!$A$2:$A$501,$U16)&amp;"")</f>
        <v/>
      </c>
      <c r="C16">
        <f>IF($U16="","",INDEX('Per Line'!$B$2:$B$501,$U16)&amp;"")</f>
        <v/>
      </c>
      <c r="D16">
        <f>IF($U16="","",INDEX('Per Line'!$C$2:$C$501,$U16)&amp;"")</f>
        <v/>
      </c>
      <c r="E16">
        <f>IF($U16="","",INDEX('Per Line'!$D$2:$D$501,$U16)&amp;"")</f>
        <v/>
      </c>
      <c r="F16">
        <f>IF($U16="","",INDEX('Per Line'!$E$2:$E$501,$U16))</f>
        <v/>
      </c>
      <c r="G16" s="7">
        <f>IF($U16="","",F16*S16/100)</f>
        <v/>
      </c>
      <c r="H16" s="11">
        <f>IF($U16="","",INDEX('Per Line'!$R$2:$R$501,$U16))</f>
        <v/>
      </c>
      <c r="I16">
        <f>IF($U16="","",INDEX('Per Line'!$Q$2:$Q$501,$U16)&amp;"")</f>
        <v/>
      </c>
      <c r="J16">
        <f>IF($U16="","",INDEX('Per Line'!$P$2:$P$501,$U16)&amp;"")</f>
        <v/>
      </c>
      <c r="K16">
        <f>IF($U16="","",Settings!$C$7)</f>
        <v/>
      </c>
      <c r="L16" s="7">
        <f>IF($U16="","",SUMIFS('Per Line'!$M$2:$M$501,'Per Line'!$A$2:$A$501,$B16,'Per Line'!$AA$2:$AA$501,0))</f>
        <v/>
      </c>
      <c r="M16" s="7">
        <f>IF($U16="","",L16*K16)</f>
        <v/>
      </c>
      <c r="N16">
        <f>IF($U16="","",Settings!$C$6)</f>
        <v/>
      </c>
      <c r="O16" s="7">
        <f>IF($U16="","",SUMIFS('Per Line'!$M$2:$M$501,'Per Line'!$A$2:$A$501,$B16,'Per Line'!$AA$2:$AA$501,1))</f>
        <v/>
      </c>
      <c r="P16" s="7">
        <f>IF($U16="","",O16*N16)</f>
        <v/>
      </c>
      <c r="Q16" s="7">
        <f>IF($U16="","",P16+M16)</f>
        <v/>
      </c>
      <c r="R16" s="7">
        <f>IF($U16="","",S16-Q16)</f>
        <v/>
      </c>
      <c r="S16" s="7">
        <f>IF($U16="","",L16+O16)</f>
        <v/>
      </c>
      <c r="T16" s="7">
        <f>IF($U16="","",S16-Q16-G16)</f>
        <v/>
      </c>
      <c r="U16" s="13">
        <f>IF(ROWS($U$2:$U16)&lt;=MAX('Per Line'!$Z$2:$Z$501),MATCH(ROWS($U$2:$U16),'Per Line'!$Z$2:$Z$501,0),"")</f>
        <v/>
      </c>
    </row>
    <row r="17">
      <c r="A17" s="12" t="n"/>
      <c r="B17">
        <f>IF($U17="","",INDEX('Per Line'!$A$2:$A$501,$U17)&amp;"")</f>
        <v/>
      </c>
      <c r="C17">
        <f>IF($U17="","",INDEX('Per Line'!$B$2:$B$501,$U17)&amp;"")</f>
        <v/>
      </c>
      <c r="D17">
        <f>IF($U17="","",INDEX('Per Line'!$C$2:$C$501,$U17)&amp;"")</f>
        <v/>
      </c>
      <c r="E17">
        <f>IF($U17="","",INDEX('Per Line'!$D$2:$D$501,$U17)&amp;"")</f>
        <v/>
      </c>
      <c r="F17">
        <f>IF($U17="","",INDEX('Per Line'!$E$2:$E$501,$U17))</f>
        <v/>
      </c>
      <c r="G17" s="7">
        <f>IF($U17="","",F17*S17/100)</f>
        <v/>
      </c>
      <c r="H17" s="11">
        <f>IF($U17="","",INDEX('Per Line'!$R$2:$R$501,$U17))</f>
        <v/>
      </c>
      <c r="I17">
        <f>IF($U17="","",INDEX('Per Line'!$Q$2:$Q$501,$U17)&amp;"")</f>
        <v/>
      </c>
      <c r="J17">
        <f>IF($U17="","",INDEX('Per Line'!$P$2:$P$501,$U17)&amp;"")</f>
        <v/>
      </c>
      <c r="K17">
        <f>IF($U17="","",Settings!$C$7)</f>
        <v/>
      </c>
      <c r="L17" s="7">
        <f>IF($U17="","",SUMIFS('Per Line'!$M$2:$M$501,'Per Line'!$A$2:$A$501,$B17,'Per Line'!$AA$2:$AA$501,0))</f>
        <v/>
      </c>
      <c r="M17" s="7">
        <f>IF($U17="","",L17*K17)</f>
        <v/>
      </c>
      <c r="N17">
        <f>IF($U17="","",Settings!$C$6)</f>
        <v/>
      </c>
      <c r="O17" s="7">
        <f>IF($U17="","",SUMIFS('Per Line'!$M$2:$M$501,'Per Line'!$A$2:$A$501,$B17,'Per Line'!$AA$2:$AA$501,1))</f>
        <v/>
      </c>
      <c r="P17" s="7">
        <f>IF($U17="","",O17*N17)</f>
        <v/>
      </c>
      <c r="Q17" s="7">
        <f>IF($U17="","",P17+M17)</f>
        <v/>
      </c>
      <c r="R17" s="7">
        <f>IF($U17="","",S17-Q17)</f>
        <v/>
      </c>
      <c r="S17" s="7">
        <f>IF($U17="","",L17+O17)</f>
        <v/>
      </c>
      <c r="T17" s="7">
        <f>IF($U17="","",S17-Q17-G17)</f>
        <v/>
      </c>
      <c r="U17" s="13">
        <f>IF(ROWS($U$2:$U17)&lt;=MAX('Per Line'!$Z$2:$Z$501),MATCH(ROWS($U$2:$U17),'Per Line'!$Z$2:$Z$501,0),"")</f>
        <v/>
      </c>
    </row>
    <row r="18">
      <c r="A18" s="12" t="n"/>
      <c r="B18">
        <f>IF($U18="","",INDEX('Per Line'!$A$2:$A$501,$U18)&amp;"")</f>
        <v/>
      </c>
      <c r="C18">
        <f>IF($U18="","",INDEX('Per Line'!$B$2:$B$501,$U18)&amp;"")</f>
        <v/>
      </c>
      <c r="D18">
        <f>IF($U18="","",INDEX('Per Line'!$C$2:$C$501,$U18)&amp;"")</f>
        <v/>
      </c>
      <c r="E18">
        <f>IF($U18="","",INDEX('Per Line'!$D$2:$D$501,$U18)&amp;"")</f>
        <v/>
      </c>
      <c r="F18">
        <f>IF($U18="","",INDEX('Per Line'!$E$2:$E$501,$U18))</f>
        <v/>
      </c>
      <c r="G18" s="7">
        <f>IF($U18="","",F18*S18/100)</f>
        <v/>
      </c>
      <c r="H18" s="11">
        <f>IF($U18="","",INDEX('Per Line'!$R$2:$R$501,$U18))</f>
        <v/>
      </c>
      <c r="I18">
        <f>IF($U18="","",INDEX('Per Line'!$Q$2:$Q$501,$U18)&amp;"")</f>
        <v/>
      </c>
      <c r="J18">
        <f>IF($U18="","",INDEX('Per Line'!$P$2:$P$501,$U18)&amp;"")</f>
        <v/>
      </c>
      <c r="K18">
        <f>IF($U18="","",Settings!$C$7)</f>
        <v/>
      </c>
      <c r="L18" s="7">
        <f>IF($U18="","",SUMIFS('Per Line'!$M$2:$M$501,'Per Line'!$A$2:$A$501,$B18,'Per Line'!$AA$2:$AA$501,0))</f>
        <v/>
      </c>
      <c r="M18" s="7">
        <f>IF($U18="","",L18*K18)</f>
        <v/>
      </c>
      <c r="N18">
        <f>IF($U18="","",Settings!$C$6)</f>
        <v/>
      </c>
      <c r="O18" s="7">
        <f>IF($U18="","",SUMIFS('Per Line'!$M$2:$M$501,'Per Line'!$A$2:$A$501,$B18,'Per Line'!$AA$2:$AA$501,1))</f>
        <v/>
      </c>
      <c r="P18" s="7">
        <f>IF($U18="","",O18*N18)</f>
        <v/>
      </c>
      <c r="Q18" s="7">
        <f>IF($U18="","",P18+M18)</f>
        <v/>
      </c>
      <c r="R18" s="7">
        <f>IF($U18="","",S18-Q18)</f>
        <v/>
      </c>
      <c r="S18" s="7">
        <f>IF($U18="","",L18+O18)</f>
        <v/>
      </c>
      <c r="T18" s="7">
        <f>IF($U18="","",S18-Q18-G18)</f>
        <v/>
      </c>
      <c r="U18" s="13">
        <f>IF(ROWS($U$2:$U18)&lt;=MAX('Per Line'!$Z$2:$Z$501),MATCH(ROWS($U$2:$U18),'Per Line'!$Z$2:$Z$501,0),"")</f>
        <v/>
      </c>
    </row>
    <row r="19">
      <c r="A19" s="12" t="n"/>
      <c r="B19">
        <f>IF($U19="","",INDEX('Per Line'!$A$2:$A$501,$U19)&amp;"")</f>
        <v/>
      </c>
      <c r="C19">
        <f>IF($U19="","",INDEX('Per Line'!$B$2:$B$501,$U19)&amp;"")</f>
        <v/>
      </c>
      <c r="D19">
        <f>IF($U19="","",INDEX('Per Line'!$C$2:$C$501,$U19)&amp;"")</f>
        <v/>
      </c>
      <c r="E19">
        <f>IF($U19="","",INDEX('Per Line'!$D$2:$D$501,$U19)&amp;"")</f>
        <v/>
      </c>
      <c r="F19">
        <f>IF($U19="","",INDEX('Per Line'!$E$2:$E$501,$U19))</f>
        <v/>
      </c>
      <c r="G19" s="7">
        <f>IF($U19="","",F19*S19/100)</f>
        <v/>
      </c>
      <c r="H19" s="11">
        <f>IF($U19="","",INDEX('Per Line'!$R$2:$R$501,$U19))</f>
        <v/>
      </c>
      <c r="I19">
        <f>IF($U19="","",INDEX('Per Line'!$Q$2:$Q$501,$U19)&amp;"")</f>
        <v/>
      </c>
      <c r="J19">
        <f>IF($U19="","",INDEX('Per Line'!$P$2:$P$501,$U19)&amp;"")</f>
        <v/>
      </c>
      <c r="K19">
        <f>IF($U19="","",Settings!$C$7)</f>
        <v/>
      </c>
      <c r="L19" s="7">
        <f>IF($U19="","",SUMIFS('Per Line'!$M$2:$M$501,'Per Line'!$A$2:$A$501,$B19,'Per Line'!$AA$2:$AA$501,0))</f>
        <v/>
      </c>
      <c r="M19" s="7">
        <f>IF($U19="","",L19*K19)</f>
        <v/>
      </c>
      <c r="N19">
        <f>IF($U19="","",Settings!$C$6)</f>
        <v/>
      </c>
      <c r="O19" s="7">
        <f>IF($U19="","",SUMIFS('Per Line'!$M$2:$M$501,'Per Line'!$A$2:$A$501,$B19,'Per Line'!$AA$2:$AA$501,1))</f>
        <v/>
      </c>
      <c r="P19" s="7">
        <f>IF($U19="","",O19*N19)</f>
        <v/>
      </c>
      <c r="Q19" s="7">
        <f>IF($U19="","",P19+M19)</f>
        <v/>
      </c>
      <c r="R19" s="7">
        <f>IF($U19="","",S19-Q19)</f>
        <v/>
      </c>
      <c r="S19" s="7">
        <f>IF($U19="","",L19+O19)</f>
        <v/>
      </c>
      <c r="T19" s="7">
        <f>IF($U19="","",S19-Q19-G19)</f>
        <v/>
      </c>
      <c r="U19" s="13">
        <f>IF(ROWS($U$2:$U19)&lt;=MAX('Per Line'!$Z$2:$Z$501),MATCH(ROWS($U$2:$U19),'Per Line'!$Z$2:$Z$501,0),"")</f>
        <v/>
      </c>
    </row>
    <row r="20">
      <c r="A20" s="12" t="n"/>
      <c r="B20">
        <f>IF($U20="","",INDEX('Per Line'!$A$2:$A$501,$U20)&amp;"")</f>
        <v/>
      </c>
      <c r="C20">
        <f>IF($U20="","",INDEX('Per Line'!$B$2:$B$501,$U20)&amp;"")</f>
        <v/>
      </c>
      <c r="D20">
        <f>IF($U20="","",INDEX('Per Line'!$C$2:$C$501,$U20)&amp;"")</f>
        <v/>
      </c>
      <c r="E20">
        <f>IF($U20="","",INDEX('Per Line'!$D$2:$D$501,$U20)&amp;"")</f>
        <v/>
      </c>
      <c r="F20">
        <f>IF($U20="","",INDEX('Per Line'!$E$2:$E$501,$U20))</f>
        <v/>
      </c>
      <c r="G20" s="7">
        <f>IF($U20="","",F20*S20/100)</f>
        <v/>
      </c>
      <c r="H20" s="11">
        <f>IF($U20="","",INDEX('Per Line'!$R$2:$R$501,$U20))</f>
        <v/>
      </c>
      <c r="I20">
        <f>IF($U20="","",INDEX('Per Line'!$Q$2:$Q$501,$U20)&amp;"")</f>
        <v/>
      </c>
      <c r="J20">
        <f>IF($U20="","",INDEX('Per Line'!$P$2:$P$501,$U20)&amp;"")</f>
        <v/>
      </c>
      <c r="K20">
        <f>IF($U20="","",Settings!$C$7)</f>
        <v/>
      </c>
      <c r="L20" s="7">
        <f>IF($U20="","",SUMIFS('Per Line'!$M$2:$M$501,'Per Line'!$A$2:$A$501,$B20,'Per Line'!$AA$2:$AA$501,0))</f>
        <v/>
      </c>
      <c r="M20" s="7">
        <f>IF($U20="","",L20*K20)</f>
        <v/>
      </c>
      <c r="N20">
        <f>IF($U20="","",Settings!$C$6)</f>
        <v/>
      </c>
      <c r="O20" s="7">
        <f>IF($U20="","",SUMIFS('Per Line'!$M$2:$M$501,'Per Line'!$A$2:$A$501,$B20,'Per Line'!$AA$2:$AA$501,1))</f>
        <v/>
      </c>
      <c r="P20" s="7">
        <f>IF($U20="","",O20*N20)</f>
        <v/>
      </c>
      <c r="Q20" s="7">
        <f>IF($U20="","",P20+M20)</f>
        <v/>
      </c>
      <c r="R20" s="7">
        <f>IF($U20="","",S20-Q20)</f>
        <v/>
      </c>
      <c r="S20" s="7">
        <f>IF($U20="","",L20+O20)</f>
        <v/>
      </c>
      <c r="T20" s="7">
        <f>IF($U20="","",S20-Q20-G20)</f>
        <v/>
      </c>
      <c r="U20" s="13">
        <f>IF(ROWS($U$2:$U20)&lt;=MAX('Per Line'!$Z$2:$Z$501),MATCH(ROWS($U$2:$U20),'Per Line'!$Z$2:$Z$501,0),"")</f>
        <v/>
      </c>
    </row>
    <row r="21">
      <c r="A21" s="12" t="n"/>
      <c r="B21">
        <f>IF($U21="","",INDEX('Per Line'!$A$2:$A$501,$U21)&amp;"")</f>
        <v/>
      </c>
      <c r="C21">
        <f>IF($U21="","",INDEX('Per Line'!$B$2:$B$501,$U21)&amp;"")</f>
        <v/>
      </c>
      <c r="D21">
        <f>IF($U21="","",INDEX('Per Line'!$C$2:$C$501,$U21)&amp;"")</f>
        <v/>
      </c>
      <c r="E21">
        <f>IF($U21="","",INDEX('Per Line'!$D$2:$D$501,$U21)&amp;"")</f>
        <v/>
      </c>
      <c r="F21">
        <f>IF($U21="","",INDEX('Per Line'!$E$2:$E$501,$U21))</f>
        <v/>
      </c>
      <c r="G21" s="7">
        <f>IF($U21="","",F21*S21/100)</f>
        <v/>
      </c>
      <c r="H21" s="11">
        <f>IF($U21="","",INDEX('Per Line'!$R$2:$R$501,$U21))</f>
        <v/>
      </c>
      <c r="I21">
        <f>IF($U21="","",INDEX('Per Line'!$Q$2:$Q$501,$U21)&amp;"")</f>
        <v/>
      </c>
      <c r="J21">
        <f>IF($U21="","",INDEX('Per Line'!$P$2:$P$501,$U21)&amp;"")</f>
        <v/>
      </c>
      <c r="K21">
        <f>IF($U21="","",Settings!$C$7)</f>
        <v/>
      </c>
      <c r="L21" s="7">
        <f>IF($U21="","",SUMIFS('Per Line'!$M$2:$M$501,'Per Line'!$A$2:$A$501,$B21,'Per Line'!$AA$2:$AA$501,0))</f>
        <v/>
      </c>
      <c r="M21" s="7">
        <f>IF($U21="","",L21*K21)</f>
        <v/>
      </c>
      <c r="N21">
        <f>IF($U21="","",Settings!$C$6)</f>
        <v/>
      </c>
      <c r="O21" s="7">
        <f>IF($U21="","",SUMIFS('Per Line'!$M$2:$M$501,'Per Line'!$A$2:$A$501,$B21,'Per Line'!$AA$2:$AA$501,1))</f>
        <v/>
      </c>
      <c r="P21" s="7">
        <f>IF($U21="","",O21*N21)</f>
        <v/>
      </c>
      <c r="Q21" s="7">
        <f>IF($U21="","",P21+M21)</f>
        <v/>
      </c>
      <c r="R21" s="7">
        <f>IF($U21="","",S21-Q21)</f>
        <v/>
      </c>
      <c r="S21" s="7">
        <f>IF($U21="","",L21+O21)</f>
        <v/>
      </c>
      <c r="T21" s="7">
        <f>IF($U21="","",S21-Q21-G21)</f>
        <v/>
      </c>
      <c r="U21" s="13">
        <f>IF(ROWS($U$2:$U21)&lt;=MAX('Per Line'!$Z$2:$Z$501),MATCH(ROWS($U$2:$U21),'Per Line'!$Z$2:$Z$501,0),"")</f>
        <v/>
      </c>
    </row>
    <row r="22">
      <c r="A22" s="12" t="n"/>
      <c r="B22">
        <f>IF($U22="","",INDEX('Per Line'!$A$2:$A$501,$U22)&amp;"")</f>
        <v/>
      </c>
      <c r="C22">
        <f>IF($U22="","",INDEX('Per Line'!$B$2:$B$501,$U22)&amp;"")</f>
        <v/>
      </c>
      <c r="D22">
        <f>IF($U22="","",INDEX('Per Line'!$C$2:$C$501,$U22)&amp;"")</f>
        <v/>
      </c>
      <c r="E22">
        <f>IF($U22="","",INDEX('Per Line'!$D$2:$D$501,$U22)&amp;"")</f>
        <v/>
      </c>
      <c r="F22">
        <f>IF($U22="","",INDEX('Per Line'!$E$2:$E$501,$U22))</f>
        <v/>
      </c>
      <c r="G22" s="7">
        <f>IF($U22="","",F22*S22/100)</f>
        <v/>
      </c>
      <c r="H22" s="11">
        <f>IF($U22="","",INDEX('Per Line'!$R$2:$R$501,$U22))</f>
        <v/>
      </c>
      <c r="I22">
        <f>IF($U22="","",INDEX('Per Line'!$Q$2:$Q$501,$U22)&amp;"")</f>
        <v/>
      </c>
      <c r="J22">
        <f>IF($U22="","",INDEX('Per Line'!$P$2:$P$501,$U22)&amp;"")</f>
        <v/>
      </c>
      <c r="K22">
        <f>IF($U22="","",Settings!$C$7)</f>
        <v/>
      </c>
      <c r="L22" s="7">
        <f>IF($U22="","",SUMIFS('Per Line'!$M$2:$M$501,'Per Line'!$A$2:$A$501,$B22,'Per Line'!$AA$2:$AA$501,0))</f>
        <v/>
      </c>
      <c r="M22" s="7">
        <f>IF($U22="","",L22*K22)</f>
        <v/>
      </c>
      <c r="N22">
        <f>IF($U22="","",Settings!$C$6)</f>
        <v/>
      </c>
      <c r="O22" s="7">
        <f>IF($U22="","",SUMIFS('Per Line'!$M$2:$M$501,'Per Line'!$A$2:$A$501,$B22,'Per Line'!$AA$2:$AA$501,1))</f>
        <v/>
      </c>
      <c r="P22" s="7">
        <f>IF($U22="","",O22*N22)</f>
        <v/>
      </c>
      <c r="Q22" s="7">
        <f>IF($U22="","",P22+M22)</f>
        <v/>
      </c>
      <c r="R22" s="7">
        <f>IF($U22="","",S22-Q22)</f>
        <v/>
      </c>
      <c r="S22" s="7">
        <f>IF($U22="","",L22+O22)</f>
        <v/>
      </c>
      <c r="T22" s="7">
        <f>IF($U22="","",S22-Q22-G22)</f>
        <v/>
      </c>
      <c r="U22" s="13">
        <f>IF(ROWS($U$2:$U22)&lt;=MAX('Per Line'!$Z$2:$Z$501),MATCH(ROWS($U$2:$U22),'Per Line'!$Z$2:$Z$501,0),"")</f>
        <v/>
      </c>
    </row>
    <row r="23">
      <c r="A23" s="12" t="n"/>
      <c r="B23">
        <f>IF($U23="","",INDEX('Per Line'!$A$2:$A$501,$U23)&amp;"")</f>
        <v/>
      </c>
      <c r="C23">
        <f>IF($U23="","",INDEX('Per Line'!$B$2:$B$501,$U23)&amp;"")</f>
        <v/>
      </c>
      <c r="D23">
        <f>IF($U23="","",INDEX('Per Line'!$C$2:$C$501,$U23)&amp;"")</f>
        <v/>
      </c>
      <c r="E23">
        <f>IF($U23="","",INDEX('Per Line'!$D$2:$D$501,$U23)&amp;"")</f>
        <v/>
      </c>
      <c r="F23">
        <f>IF($U23="","",INDEX('Per Line'!$E$2:$E$501,$U23))</f>
        <v/>
      </c>
      <c r="G23" s="7">
        <f>IF($U23="","",F23*S23/100)</f>
        <v/>
      </c>
      <c r="H23" s="11">
        <f>IF($U23="","",INDEX('Per Line'!$R$2:$R$501,$U23))</f>
        <v/>
      </c>
      <c r="I23">
        <f>IF($U23="","",INDEX('Per Line'!$Q$2:$Q$501,$U23)&amp;"")</f>
        <v/>
      </c>
      <c r="J23">
        <f>IF($U23="","",INDEX('Per Line'!$P$2:$P$501,$U23)&amp;"")</f>
        <v/>
      </c>
      <c r="K23">
        <f>IF($U23="","",Settings!$C$7)</f>
        <v/>
      </c>
      <c r="L23" s="7">
        <f>IF($U23="","",SUMIFS('Per Line'!$M$2:$M$501,'Per Line'!$A$2:$A$501,$B23,'Per Line'!$AA$2:$AA$501,0))</f>
        <v/>
      </c>
      <c r="M23" s="7">
        <f>IF($U23="","",L23*K23)</f>
        <v/>
      </c>
      <c r="N23">
        <f>IF($U23="","",Settings!$C$6)</f>
        <v/>
      </c>
      <c r="O23" s="7">
        <f>IF($U23="","",SUMIFS('Per Line'!$M$2:$M$501,'Per Line'!$A$2:$A$501,$B23,'Per Line'!$AA$2:$AA$501,1))</f>
        <v/>
      </c>
      <c r="P23" s="7">
        <f>IF($U23="","",O23*N23)</f>
        <v/>
      </c>
      <c r="Q23" s="7">
        <f>IF($U23="","",P23+M23)</f>
        <v/>
      </c>
      <c r="R23" s="7">
        <f>IF($U23="","",S23-Q23)</f>
        <v/>
      </c>
      <c r="S23" s="7">
        <f>IF($U23="","",L23+O23)</f>
        <v/>
      </c>
      <c r="T23" s="7">
        <f>IF($U23="","",S23-Q23-G23)</f>
        <v/>
      </c>
      <c r="U23" s="13">
        <f>IF(ROWS($U$2:$U23)&lt;=MAX('Per Line'!$Z$2:$Z$501),MATCH(ROWS($U$2:$U23),'Per Line'!$Z$2:$Z$501,0),"")</f>
        <v/>
      </c>
    </row>
    <row r="24">
      <c r="A24" s="12" t="n"/>
      <c r="B24">
        <f>IF($U24="","",INDEX('Per Line'!$A$2:$A$501,$U24)&amp;"")</f>
        <v/>
      </c>
      <c r="C24">
        <f>IF($U24="","",INDEX('Per Line'!$B$2:$B$501,$U24)&amp;"")</f>
        <v/>
      </c>
      <c r="D24">
        <f>IF($U24="","",INDEX('Per Line'!$C$2:$C$501,$U24)&amp;"")</f>
        <v/>
      </c>
      <c r="E24">
        <f>IF($U24="","",INDEX('Per Line'!$D$2:$D$501,$U24)&amp;"")</f>
        <v/>
      </c>
      <c r="F24">
        <f>IF($U24="","",INDEX('Per Line'!$E$2:$E$501,$U24))</f>
        <v/>
      </c>
      <c r="G24" s="7">
        <f>IF($U24="","",F24*S24/100)</f>
        <v/>
      </c>
      <c r="H24" s="11">
        <f>IF($U24="","",INDEX('Per Line'!$R$2:$R$501,$U24))</f>
        <v/>
      </c>
      <c r="I24">
        <f>IF($U24="","",INDEX('Per Line'!$Q$2:$Q$501,$U24)&amp;"")</f>
        <v/>
      </c>
      <c r="J24">
        <f>IF($U24="","",INDEX('Per Line'!$P$2:$P$501,$U24)&amp;"")</f>
        <v/>
      </c>
      <c r="K24">
        <f>IF($U24="","",Settings!$C$7)</f>
        <v/>
      </c>
      <c r="L24" s="7">
        <f>IF($U24="","",SUMIFS('Per Line'!$M$2:$M$501,'Per Line'!$A$2:$A$501,$B24,'Per Line'!$AA$2:$AA$501,0))</f>
        <v/>
      </c>
      <c r="M24" s="7">
        <f>IF($U24="","",L24*K24)</f>
        <v/>
      </c>
      <c r="N24">
        <f>IF($U24="","",Settings!$C$6)</f>
        <v/>
      </c>
      <c r="O24" s="7">
        <f>IF($U24="","",SUMIFS('Per Line'!$M$2:$M$501,'Per Line'!$A$2:$A$501,$B24,'Per Line'!$AA$2:$AA$501,1))</f>
        <v/>
      </c>
      <c r="P24" s="7">
        <f>IF($U24="","",O24*N24)</f>
        <v/>
      </c>
      <c r="Q24" s="7">
        <f>IF($U24="","",P24+M24)</f>
        <v/>
      </c>
      <c r="R24" s="7">
        <f>IF($U24="","",S24-Q24)</f>
        <v/>
      </c>
      <c r="S24" s="7">
        <f>IF($U24="","",L24+O24)</f>
        <v/>
      </c>
      <c r="T24" s="7">
        <f>IF($U24="","",S24-Q24-G24)</f>
        <v/>
      </c>
      <c r="U24" s="13">
        <f>IF(ROWS($U$2:$U24)&lt;=MAX('Per Line'!$Z$2:$Z$501),MATCH(ROWS($U$2:$U24),'Per Line'!$Z$2:$Z$501,0),"")</f>
        <v/>
      </c>
    </row>
    <row r="25">
      <c r="A25" s="12" t="n"/>
      <c r="B25">
        <f>IF($U25="","",INDEX('Per Line'!$A$2:$A$501,$U25)&amp;"")</f>
        <v/>
      </c>
      <c r="C25">
        <f>IF($U25="","",INDEX('Per Line'!$B$2:$B$501,$U25)&amp;"")</f>
        <v/>
      </c>
      <c r="D25">
        <f>IF($U25="","",INDEX('Per Line'!$C$2:$C$501,$U25)&amp;"")</f>
        <v/>
      </c>
      <c r="E25">
        <f>IF($U25="","",INDEX('Per Line'!$D$2:$D$501,$U25)&amp;"")</f>
        <v/>
      </c>
      <c r="F25">
        <f>IF($U25="","",INDEX('Per Line'!$E$2:$E$501,$U25))</f>
        <v/>
      </c>
      <c r="G25" s="7">
        <f>IF($U25="","",F25*S25/100)</f>
        <v/>
      </c>
      <c r="H25" s="11">
        <f>IF($U25="","",INDEX('Per Line'!$R$2:$R$501,$U25))</f>
        <v/>
      </c>
      <c r="I25">
        <f>IF($U25="","",INDEX('Per Line'!$Q$2:$Q$501,$U25)&amp;"")</f>
        <v/>
      </c>
      <c r="J25">
        <f>IF($U25="","",INDEX('Per Line'!$P$2:$P$501,$U25)&amp;"")</f>
        <v/>
      </c>
      <c r="K25">
        <f>IF($U25="","",Settings!$C$7)</f>
        <v/>
      </c>
      <c r="L25" s="7">
        <f>IF($U25="","",SUMIFS('Per Line'!$M$2:$M$501,'Per Line'!$A$2:$A$501,$B25,'Per Line'!$AA$2:$AA$501,0))</f>
        <v/>
      </c>
      <c r="M25" s="7">
        <f>IF($U25="","",L25*K25)</f>
        <v/>
      </c>
      <c r="N25">
        <f>IF($U25="","",Settings!$C$6)</f>
        <v/>
      </c>
      <c r="O25" s="7">
        <f>IF($U25="","",SUMIFS('Per Line'!$M$2:$M$501,'Per Line'!$A$2:$A$501,$B25,'Per Line'!$AA$2:$AA$501,1))</f>
        <v/>
      </c>
      <c r="P25" s="7">
        <f>IF($U25="","",O25*N25)</f>
        <v/>
      </c>
      <c r="Q25" s="7">
        <f>IF($U25="","",P25+M25)</f>
        <v/>
      </c>
      <c r="R25" s="7">
        <f>IF($U25="","",S25-Q25)</f>
        <v/>
      </c>
      <c r="S25" s="7">
        <f>IF($U25="","",L25+O25)</f>
        <v/>
      </c>
      <c r="T25" s="7">
        <f>IF($U25="","",S25-Q25-G25)</f>
        <v/>
      </c>
      <c r="U25" s="13">
        <f>IF(ROWS($U$2:$U25)&lt;=MAX('Per Line'!$Z$2:$Z$501),MATCH(ROWS($U$2:$U25),'Per Line'!$Z$2:$Z$501,0),"")</f>
        <v/>
      </c>
    </row>
    <row r="26">
      <c r="A26" s="12" t="n"/>
      <c r="B26">
        <f>IF($U26="","",INDEX('Per Line'!$A$2:$A$501,$U26)&amp;"")</f>
        <v/>
      </c>
      <c r="C26">
        <f>IF($U26="","",INDEX('Per Line'!$B$2:$B$501,$U26)&amp;"")</f>
        <v/>
      </c>
      <c r="D26">
        <f>IF($U26="","",INDEX('Per Line'!$C$2:$C$501,$U26)&amp;"")</f>
        <v/>
      </c>
      <c r="E26">
        <f>IF($U26="","",INDEX('Per Line'!$D$2:$D$501,$U26)&amp;"")</f>
        <v/>
      </c>
      <c r="F26">
        <f>IF($U26="","",INDEX('Per Line'!$E$2:$E$501,$U26))</f>
        <v/>
      </c>
      <c r="G26" s="7">
        <f>IF($U26="","",F26*S26/100)</f>
        <v/>
      </c>
      <c r="H26" s="11">
        <f>IF($U26="","",INDEX('Per Line'!$R$2:$R$501,$U26))</f>
        <v/>
      </c>
      <c r="I26">
        <f>IF($U26="","",INDEX('Per Line'!$Q$2:$Q$501,$U26)&amp;"")</f>
        <v/>
      </c>
      <c r="J26">
        <f>IF($U26="","",INDEX('Per Line'!$P$2:$P$501,$U26)&amp;"")</f>
        <v/>
      </c>
      <c r="K26">
        <f>IF($U26="","",Settings!$C$7)</f>
        <v/>
      </c>
      <c r="L26" s="7">
        <f>IF($U26="","",SUMIFS('Per Line'!$M$2:$M$501,'Per Line'!$A$2:$A$501,$B26,'Per Line'!$AA$2:$AA$501,0))</f>
        <v/>
      </c>
      <c r="M26" s="7">
        <f>IF($U26="","",L26*K26)</f>
        <v/>
      </c>
      <c r="N26">
        <f>IF($U26="","",Settings!$C$6)</f>
        <v/>
      </c>
      <c r="O26" s="7">
        <f>IF($U26="","",SUMIFS('Per Line'!$M$2:$M$501,'Per Line'!$A$2:$A$501,$B26,'Per Line'!$AA$2:$AA$501,1))</f>
        <v/>
      </c>
      <c r="P26" s="7">
        <f>IF($U26="","",O26*N26)</f>
        <v/>
      </c>
      <c r="Q26" s="7">
        <f>IF($U26="","",P26+M26)</f>
        <v/>
      </c>
      <c r="R26" s="7">
        <f>IF($U26="","",S26-Q26)</f>
        <v/>
      </c>
      <c r="S26" s="7">
        <f>IF($U26="","",L26+O26)</f>
        <v/>
      </c>
      <c r="T26" s="7">
        <f>IF($U26="","",S26-Q26-G26)</f>
        <v/>
      </c>
      <c r="U26" s="13">
        <f>IF(ROWS($U$2:$U26)&lt;=MAX('Per Line'!$Z$2:$Z$501),MATCH(ROWS($U$2:$U26),'Per Line'!$Z$2:$Z$501,0),"")</f>
        <v/>
      </c>
    </row>
    <row r="27">
      <c r="A27" s="12" t="n"/>
      <c r="B27">
        <f>IF($U27="","",INDEX('Per Line'!$A$2:$A$501,$U27)&amp;"")</f>
        <v/>
      </c>
      <c r="C27">
        <f>IF($U27="","",INDEX('Per Line'!$B$2:$B$501,$U27)&amp;"")</f>
        <v/>
      </c>
      <c r="D27">
        <f>IF($U27="","",INDEX('Per Line'!$C$2:$C$501,$U27)&amp;"")</f>
        <v/>
      </c>
      <c r="E27">
        <f>IF($U27="","",INDEX('Per Line'!$D$2:$D$501,$U27)&amp;"")</f>
        <v/>
      </c>
      <c r="F27">
        <f>IF($U27="","",INDEX('Per Line'!$E$2:$E$501,$U27))</f>
        <v/>
      </c>
      <c r="G27" s="7">
        <f>IF($U27="","",F27*S27/100)</f>
        <v/>
      </c>
      <c r="H27" s="11">
        <f>IF($U27="","",INDEX('Per Line'!$R$2:$R$501,$U27))</f>
        <v/>
      </c>
      <c r="I27">
        <f>IF($U27="","",INDEX('Per Line'!$Q$2:$Q$501,$U27)&amp;"")</f>
        <v/>
      </c>
      <c r="J27">
        <f>IF($U27="","",INDEX('Per Line'!$P$2:$P$501,$U27)&amp;"")</f>
        <v/>
      </c>
      <c r="K27">
        <f>IF($U27="","",Settings!$C$7)</f>
        <v/>
      </c>
      <c r="L27" s="7">
        <f>IF($U27="","",SUMIFS('Per Line'!$M$2:$M$501,'Per Line'!$A$2:$A$501,$B27,'Per Line'!$AA$2:$AA$501,0))</f>
        <v/>
      </c>
      <c r="M27" s="7">
        <f>IF($U27="","",L27*K27)</f>
        <v/>
      </c>
      <c r="N27">
        <f>IF($U27="","",Settings!$C$6)</f>
        <v/>
      </c>
      <c r="O27" s="7">
        <f>IF($U27="","",SUMIFS('Per Line'!$M$2:$M$501,'Per Line'!$A$2:$A$501,$B27,'Per Line'!$AA$2:$AA$501,1))</f>
        <v/>
      </c>
      <c r="P27" s="7">
        <f>IF($U27="","",O27*N27)</f>
        <v/>
      </c>
      <c r="Q27" s="7">
        <f>IF($U27="","",P27+M27)</f>
        <v/>
      </c>
      <c r="R27" s="7">
        <f>IF($U27="","",S27-Q27)</f>
        <v/>
      </c>
      <c r="S27" s="7">
        <f>IF($U27="","",L27+O27)</f>
        <v/>
      </c>
      <c r="T27" s="7">
        <f>IF($U27="","",S27-Q27-G27)</f>
        <v/>
      </c>
      <c r="U27" s="13">
        <f>IF(ROWS($U$2:$U27)&lt;=MAX('Per Line'!$Z$2:$Z$501),MATCH(ROWS($U$2:$U27),'Per Line'!$Z$2:$Z$501,0),"")</f>
        <v/>
      </c>
    </row>
    <row r="28">
      <c r="A28" s="12" t="n"/>
      <c r="B28">
        <f>IF($U28="","",INDEX('Per Line'!$A$2:$A$501,$U28)&amp;"")</f>
        <v/>
      </c>
      <c r="C28">
        <f>IF($U28="","",INDEX('Per Line'!$B$2:$B$501,$U28)&amp;"")</f>
        <v/>
      </c>
      <c r="D28">
        <f>IF($U28="","",INDEX('Per Line'!$C$2:$C$501,$U28)&amp;"")</f>
        <v/>
      </c>
      <c r="E28">
        <f>IF($U28="","",INDEX('Per Line'!$D$2:$D$501,$U28)&amp;"")</f>
        <v/>
      </c>
      <c r="F28">
        <f>IF($U28="","",INDEX('Per Line'!$E$2:$E$501,$U28))</f>
        <v/>
      </c>
      <c r="G28" s="7">
        <f>IF($U28="","",F28*S28/100)</f>
        <v/>
      </c>
      <c r="H28" s="11">
        <f>IF($U28="","",INDEX('Per Line'!$R$2:$R$501,$U28))</f>
        <v/>
      </c>
      <c r="I28">
        <f>IF($U28="","",INDEX('Per Line'!$Q$2:$Q$501,$U28)&amp;"")</f>
        <v/>
      </c>
      <c r="J28">
        <f>IF($U28="","",INDEX('Per Line'!$P$2:$P$501,$U28)&amp;"")</f>
        <v/>
      </c>
      <c r="K28">
        <f>IF($U28="","",Settings!$C$7)</f>
        <v/>
      </c>
      <c r="L28" s="7">
        <f>IF($U28="","",SUMIFS('Per Line'!$M$2:$M$501,'Per Line'!$A$2:$A$501,$B28,'Per Line'!$AA$2:$AA$501,0))</f>
        <v/>
      </c>
      <c r="M28" s="7">
        <f>IF($U28="","",L28*K28)</f>
        <v/>
      </c>
      <c r="N28">
        <f>IF($U28="","",Settings!$C$6)</f>
        <v/>
      </c>
      <c r="O28" s="7">
        <f>IF($U28="","",SUMIFS('Per Line'!$M$2:$M$501,'Per Line'!$A$2:$A$501,$B28,'Per Line'!$AA$2:$AA$501,1))</f>
        <v/>
      </c>
      <c r="P28" s="7">
        <f>IF($U28="","",O28*N28)</f>
        <v/>
      </c>
      <c r="Q28" s="7">
        <f>IF($U28="","",P28+M28)</f>
        <v/>
      </c>
      <c r="R28" s="7">
        <f>IF($U28="","",S28-Q28)</f>
        <v/>
      </c>
      <c r="S28" s="7">
        <f>IF($U28="","",L28+O28)</f>
        <v/>
      </c>
      <c r="T28" s="7">
        <f>IF($U28="","",S28-Q28-G28)</f>
        <v/>
      </c>
      <c r="U28" s="13">
        <f>IF(ROWS($U$2:$U28)&lt;=MAX('Per Line'!$Z$2:$Z$501),MATCH(ROWS($U$2:$U28),'Per Line'!$Z$2:$Z$501,0),"")</f>
        <v/>
      </c>
    </row>
    <row r="29">
      <c r="A29" s="12" t="n"/>
      <c r="B29">
        <f>IF($U29="","",INDEX('Per Line'!$A$2:$A$501,$U29)&amp;"")</f>
        <v/>
      </c>
      <c r="C29">
        <f>IF($U29="","",INDEX('Per Line'!$B$2:$B$501,$U29)&amp;"")</f>
        <v/>
      </c>
      <c r="D29">
        <f>IF($U29="","",INDEX('Per Line'!$C$2:$C$501,$U29)&amp;"")</f>
        <v/>
      </c>
      <c r="E29">
        <f>IF($U29="","",INDEX('Per Line'!$D$2:$D$501,$U29)&amp;"")</f>
        <v/>
      </c>
      <c r="F29">
        <f>IF($U29="","",INDEX('Per Line'!$E$2:$E$501,$U29))</f>
        <v/>
      </c>
      <c r="G29" s="7">
        <f>IF($U29="","",F29*S29/100)</f>
        <v/>
      </c>
      <c r="H29" s="11">
        <f>IF($U29="","",INDEX('Per Line'!$R$2:$R$501,$U29))</f>
        <v/>
      </c>
      <c r="I29">
        <f>IF($U29="","",INDEX('Per Line'!$Q$2:$Q$501,$U29)&amp;"")</f>
        <v/>
      </c>
      <c r="J29">
        <f>IF($U29="","",INDEX('Per Line'!$P$2:$P$501,$U29)&amp;"")</f>
        <v/>
      </c>
      <c r="K29">
        <f>IF($U29="","",Settings!$C$7)</f>
        <v/>
      </c>
      <c r="L29" s="7">
        <f>IF($U29="","",SUMIFS('Per Line'!$M$2:$M$501,'Per Line'!$A$2:$A$501,$B29,'Per Line'!$AA$2:$AA$501,0))</f>
        <v/>
      </c>
      <c r="M29" s="7">
        <f>IF($U29="","",L29*K29)</f>
        <v/>
      </c>
      <c r="N29">
        <f>IF($U29="","",Settings!$C$6)</f>
        <v/>
      </c>
      <c r="O29" s="7">
        <f>IF($U29="","",SUMIFS('Per Line'!$M$2:$M$501,'Per Line'!$A$2:$A$501,$B29,'Per Line'!$AA$2:$AA$501,1))</f>
        <v/>
      </c>
      <c r="P29" s="7">
        <f>IF($U29="","",O29*N29)</f>
        <v/>
      </c>
      <c r="Q29" s="7">
        <f>IF($U29="","",P29+M29)</f>
        <v/>
      </c>
      <c r="R29" s="7">
        <f>IF($U29="","",S29-Q29)</f>
        <v/>
      </c>
      <c r="S29" s="7">
        <f>IF($U29="","",L29+O29)</f>
        <v/>
      </c>
      <c r="T29" s="7">
        <f>IF($U29="","",S29-Q29-G29)</f>
        <v/>
      </c>
      <c r="U29" s="13">
        <f>IF(ROWS($U$2:$U29)&lt;=MAX('Per Line'!$Z$2:$Z$501),MATCH(ROWS($U$2:$U29),'Per Line'!$Z$2:$Z$501,0),"")</f>
        <v/>
      </c>
    </row>
    <row r="30">
      <c r="A30" s="12" t="n"/>
      <c r="B30">
        <f>IF($U30="","",INDEX('Per Line'!$A$2:$A$501,$U30)&amp;"")</f>
        <v/>
      </c>
      <c r="C30">
        <f>IF($U30="","",INDEX('Per Line'!$B$2:$B$501,$U30)&amp;"")</f>
        <v/>
      </c>
      <c r="D30">
        <f>IF($U30="","",INDEX('Per Line'!$C$2:$C$501,$U30)&amp;"")</f>
        <v/>
      </c>
      <c r="E30">
        <f>IF($U30="","",INDEX('Per Line'!$D$2:$D$501,$U30)&amp;"")</f>
        <v/>
      </c>
      <c r="F30">
        <f>IF($U30="","",INDEX('Per Line'!$E$2:$E$501,$U30))</f>
        <v/>
      </c>
      <c r="G30" s="7">
        <f>IF($U30="","",F30*S30/100)</f>
        <v/>
      </c>
      <c r="H30" s="11">
        <f>IF($U30="","",INDEX('Per Line'!$R$2:$R$501,$U30))</f>
        <v/>
      </c>
      <c r="I30">
        <f>IF($U30="","",INDEX('Per Line'!$Q$2:$Q$501,$U30)&amp;"")</f>
        <v/>
      </c>
      <c r="J30">
        <f>IF($U30="","",INDEX('Per Line'!$P$2:$P$501,$U30)&amp;"")</f>
        <v/>
      </c>
      <c r="K30">
        <f>IF($U30="","",Settings!$C$7)</f>
        <v/>
      </c>
      <c r="L30" s="7">
        <f>IF($U30="","",SUMIFS('Per Line'!$M$2:$M$501,'Per Line'!$A$2:$A$501,$B30,'Per Line'!$AA$2:$AA$501,0))</f>
        <v/>
      </c>
      <c r="M30" s="7">
        <f>IF($U30="","",L30*K30)</f>
        <v/>
      </c>
      <c r="N30">
        <f>IF($U30="","",Settings!$C$6)</f>
        <v/>
      </c>
      <c r="O30" s="7">
        <f>IF($U30="","",SUMIFS('Per Line'!$M$2:$M$501,'Per Line'!$A$2:$A$501,$B30,'Per Line'!$AA$2:$AA$501,1))</f>
        <v/>
      </c>
      <c r="P30" s="7">
        <f>IF($U30="","",O30*N30)</f>
        <v/>
      </c>
      <c r="Q30" s="7">
        <f>IF($U30="","",P30+M30)</f>
        <v/>
      </c>
      <c r="R30" s="7">
        <f>IF($U30="","",S30-Q30)</f>
        <v/>
      </c>
      <c r="S30" s="7">
        <f>IF($U30="","",L30+O30)</f>
        <v/>
      </c>
      <c r="T30" s="7">
        <f>IF($U30="","",S30-Q30-G30)</f>
        <v/>
      </c>
      <c r="U30" s="13">
        <f>IF(ROWS($U$2:$U30)&lt;=MAX('Per Line'!$Z$2:$Z$501),MATCH(ROWS($U$2:$U30),'Per Line'!$Z$2:$Z$501,0),"")</f>
        <v/>
      </c>
    </row>
    <row r="31">
      <c r="A31" s="12" t="n"/>
      <c r="B31">
        <f>IF($U31="","",INDEX('Per Line'!$A$2:$A$501,$U31)&amp;"")</f>
        <v/>
      </c>
      <c r="C31">
        <f>IF($U31="","",INDEX('Per Line'!$B$2:$B$501,$U31)&amp;"")</f>
        <v/>
      </c>
      <c r="D31">
        <f>IF($U31="","",INDEX('Per Line'!$C$2:$C$501,$U31)&amp;"")</f>
        <v/>
      </c>
      <c r="E31">
        <f>IF($U31="","",INDEX('Per Line'!$D$2:$D$501,$U31)&amp;"")</f>
        <v/>
      </c>
      <c r="F31">
        <f>IF($U31="","",INDEX('Per Line'!$E$2:$E$501,$U31))</f>
        <v/>
      </c>
      <c r="G31" s="7">
        <f>IF($U31="","",F31*S31/100)</f>
        <v/>
      </c>
      <c r="H31" s="11">
        <f>IF($U31="","",INDEX('Per Line'!$R$2:$R$501,$U31))</f>
        <v/>
      </c>
      <c r="I31">
        <f>IF($U31="","",INDEX('Per Line'!$Q$2:$Q$501,$U31)&amp;"")</f>
        <v/>
      </c>
      <c r="J31">
        <f>IF($U31="","",INDEX('Per Line'!$P$2:$P$501,$U31)&amp;"")</f>
        <v/>
      </c>
      <c r="K31">
        <f>IF($U31="","",Settings!$C$7)</f>
        <v/>
      </c>
      <c r="L31" s="7">
        <f>IF($U31="","",SUMIFS('Per Line'!$M$2:$M$501,'Per Line'!$A$2:$A$501,$B31,'Per Line'!$AA$2:$AA$501,0))</f>
        <v/>
      </c>
      <c r="M31" s="7">
        <f>IF($U31="","",L31*K31)</f>
        <v/>
      </c>
      <c r="N31">
        <f>IF($U31="","",Settings!$C$6)</f>
        <v/>
      </c>
      <c r="O31" s="7">
        <f>IF($U31="","",SUMIFS('Per Line'!$M$2:$M$501,'Per Line'!$A$2:$A$501,$B31,'Per Line'!$AA$2:$AA$501,1))</f>
        <v/>
      </c>
      <c r="P31" s="7">
        <f>IF($U31="","",O31*N31)</f>
        <v/>
      </c>
      <c r="Q31" s="7">
        <f>IF($U31="","",P31+M31)</f>
        <v/>
      </c>
      <c r="R31" s="7">
        <f>IF($U31="","",S31-Q31)</f>
        <v/>
      </c>
      <c r="S31" s="7">
        <f>IF($U31="","",L31+O31)</f>
        <v/>
      </c>
      <c r="T31" s="7">
        <f>IF($U31="","",S31-Q31-G31)</f>
        <v/>
      </c>
      <c r="U31" s="13">
        <f>IF(ROWS($U$2:$U31)&lt;=MAX('Per Line'!$Z$2:$Z$501),MATCH(ROWS($U$2:$U31),'Per Line'!$Z$2:$Z$501,0),"")</f>
        <v/>
      </c>
    </row>
    <row r="32">
      <c r="A32" s="12" t="n"/>
      <c r="B32">
        <f>IF($U32="","",INDEX('Per Line'!$A$2:$A$501,$U32)&amp;"")</f>
        <v/>
      </c>
      <c r="C32">
        <f>IF($U32="","",INDEX('Per Line'!$B$2:$B$501,$U32)&amp;"")</f>
        <v/>
      </c>
      <c r="D32">
        <f>IF($U32="","",INDEX('Per Line'!$C$2:$C$501,$U32)&amp;"")</f>
        <v/>
      </c>
      <c r="E32">
        <f>IF($U32="","",INDEX('Per Line'!$D$2:$D$501,$U32)&amp;"")</f>
        <v/>
      </c>
      <c r="F32">
        <f>IF($U32="","",INDEX('Per Line'!$E$2:$E$501,$U32))</f>
        <v/>
      </c>
      <c r="G32" s="7">
        <f>IF($U32="","",F32*S32/100)</f>
        <v/>
      </c>
      <c r="H32" s="11">
        <f>IF($U32="","",INDEX('Per Line'!$R$2:$R$501,$U32))</f>
        <v/>
      </c>
      <c r="I32">
        <f>IF($U32="","",INDEX('Per Line'!$Q$2:$Q$501,$U32)&amp;"")</f>
        <v/>
      </c>
      <c r="J32">
        <f>IF($U32="","",INDEX('Per Line'!$P$2:$P$501,$U32)&amp;"")</f>
        <v/>
      </c>
      <c r="K32">
        <f>IF($U32="","",Settings!$C$7)</f>
        <v/>
      </c>
      <c r="L32" s="7">
        <f>IF($U32="","",SUMIFS('Per Line'!$M$2:$M$501,'Per Line'!$A$2:$A$501,$B32,'Per Line'!$AA$2:$AA$501,0))</f>
        <v/>
      </c>
      <c r="M32" s="7">
        <f>IF($U32="","",L32*K32)</f>
        <v/>
      </c>
      <c r="N32">
        <f>IF($U32="","",Settings!$C$6)</f>
        <v/>
      </c>
      <c r="O32" s="7">
        <f>IF($U32="","",SUMIFS('Per Line'!$M$2:$M$501,'Per Line'!$A$2:$A$501,$B32,'Per Line'!$AA$2:$AA$501,1))</f>
        <v/>
      </c>
      <c r="P32" s="7">
        <f>IF($U32="","",O32*N32)</f>
        <v/>
      </c>
      <c r="Q32" s="7">
        <f>IF($U32="","",P32+M32)</f>
        <v/>
      </c>
      <c r="R32" s="7">
        <f>IF($U32="","",S32-Q32)</f>
        <v/>
      </c>
      <c r="S32" s="7">
        <f>IF($U32="","",L32+O32)</f>
        <v/>
      </c>
      <c r="T32" s="7">
        <f>IF($U32="","",S32-Q32-G32)</f>
        <v/>
      </c>
      <c r="U32" s="13">
        <f>IF(ROWS($U$2:$U32)&lt;=MAX('Per Line'!$Z$2:$Z$501),MATCH(ROWS($U$2:$U32),'Per Line'!$Z$2:$Z$501,0),"")</f>
        <v/>
      </c>
    </row>
    <row r="33">
      <c r="A33" s="12" t="n"/>
      <c r="B33">
        <f>IF($U33="","",INDEX('Per Line'!$A$2:$A$501,$U33)&amp;"")</f>
        <v/>
      </c>
      <c r="C33">
        <f>IF($U33="","",INDEX('Per Line'!$B$2:$B$501,$U33)&amp;"")</f>
        <v/>
      </c>
      <c r="D33">
        <f>IF($U33="","",INDEX('Per Line'!$C$2:$C$501,$U33)&amp;"")</f>
        <v/>
      </c>
      <c r="E33">
        <f>IF($U33="","",INDEX('Per Line'!$D$2:$D$501,$U33)&amp;"")</f>
        <v/>
      </c>
      <c r="F33">
        <f>IF($U33="","",INDEX('Per Line'!$E$2:$E$501,$U33))</f>
        <v/>
      </c>
      <c r="G33" s="7">
        <f>IF($U33="","",F33*S33/100)</f>
        <v/>
      </c>
      <c r="H33" s="11">
        <f>IF($U33="","",INDEX('Per Line'!$R$2:$R$501,$U33))</f>
        <v/>
      </c>
      <c r="I33">
        <f>IF($U33="","",INDEX('Per Line'!$Q$2:$Q$501,$U33)&amp;"")</f>
        <v/>
      </c>
      <c r="J33">
        <f>IF($U33="","",INDEX('Per Line'!$P$2:$P$501,$U33)&amp;"")</f>
        <v/>
      </c>
      <c r="K33">
        <f>IF($U33="","",Settings!$C$7)</f>
        <v/>
      </c>
      <c r="L33" s="7">
        <f>IF($U33="","",SUMIFS('Per Line'!$M$2:$M$501,'Per Line'!$A$2:$A$501,$B33,'Per Line'!$AA$2:$AA$501,0))</f>
        <v/>
      </c>
      <c r="M33" s="7">
        <f>IF($U33="","",L33*K33)</f>
        <v/>
      </c>
      <c r="N33">
        <f>IF($U33="","",Settings!$C$6)</f>
        <v/>
      </c>
      <c r="O33" s="7">
        <f>IF($U33="","",SUMIFS('Per Line'!$M$2:$M$501,'Per Line'!$A$2:$A$501,$B33,'Per Line'!$AA$2:$AA$501,1))</f>
        <v/>
      </c>
      <c r="P33" s="7">
        <f>IF($U33="","",O33*N33)</f>
        <v/>
      </c>
      <c r="Q33" s="7">
        <f>IF($U33="","",P33+M33)</f>
        <v/>
      </c>
      <c r="R33" s="7">
        <f>IF($U33="","",S33-Q33)</f>
        <v/>
      </c>
      <c r="S33" s="7">
        <f>IF($U33="","",L33+O33)</f>
        <v/>
      </c>
      <c r="T33" s="7">
        <f>IF($U33="","",S33-Q33-G33)</f>
        <v/>
      </c>
      <c r="U33" s="13">
        <f>IF(ROWS($U$2:$U33)&lt;=MAX('Per Line'!$Z$2:$Z$501),MATCH(ROWS($U$2:$U33),'Per Line'!$Z$2:$Z$501,0),"")</f>
        <v/>
      </c>
    </row>
    <row r="34">
      <c r="A34" s="12" t="n"/>
      <c r="B34">
        <f>IF($U34="","",INDEX('Per Line'!$A$2:$A$501,$U34)&amp;"")</f>
        <v/>
      </c>
      <c r="C34">
        <f>IF($U34="","",INDEX('Per Line'!$B$2:$B$501,$U34)&amp;"")</f>
        <v/>
      </c>
      <c r="D34">
        <f>IF($U34="","",INDEX('Per Line'!$C$2:$C$501,$U34)&amp;"")</f>
        <v/>
      </c>
      <c r="E34">
        <f>IF($U34="","",INDEX('Per Line'!$D$2:$D$501,$U34)&amp;"")</f>
        <v/>
      </c>
      <c r="F34">
        <f>IF($U34="","",INDEX('Per Line'!$E$2:$E$501,$U34))</f>
        <v/>
      </c>
      <c r="G34" s="7">
        <f>IF($U34="","",F34*S34/100)</f>
        <v/>
      </c>
      <c r="H34" s="11">
        <f>IF($U34="","",INDEX('Per Line'!$R$2:$R$501,$U34))</f>
        <v/>
      </c>
      <c r="I34">
        <f>IF($U34="","",INDEX('Per Line'!$Q$2:$Q$501,$U34)&amp;"")</f>
        <v/>
      </c>
      <c r="J34">
        <f>IF($U34="","",INDEX('Per Line'!$P$2:$P$501,$U34)&amp;"")</f>
        <v/>
      </c>
      <c r="K34">
        <f>IF($U34="","",Settings!$C$7)</f>
        <v/>
      </c>
      <c r="L34" s="7">
        <f>IF($U34="","",SUMIFS('Per Line'!$M$2:$M$501,'Per Line'!$A$2:$A$501,$B34,'Per Line'!$AA$2:$AA$501,0))</f>
        <v/>
      </c>
      <c r="M34" s="7">
        <f>IF($U34="","",L34*K34)</f>
        <v/>
      </c>
      <c r="N34">
        <f>IF($U34="","",Settings!$C$6)</f>
        <v/>
      </c>
      <c r="O34" s="7">
        <f>IF($U34="","",SUMIFS('Per Line'!$M$2:$M$501,'Per Line'!$A$2:$A$501,$B34,'Per Line'!$AA$2:$AA$501,1))</f>
        <v/>
      </c>
      <c r="P34" s="7">
        <f>IF($U34="","",O34*N34)</f>
        <v/>
      </c>
      <c r="Q34" s="7">
        <f>IF($U34="","",P34+M34)</f>
        <v/>
      </c>
      <c r="R34" s="7">
        <f>IF($U34="","",S34-Q34)</f>
        <v/>
      </c>
      <c r="S34" s="7">
        <f>IF($U34="","",L34+O34)</f>
        <v/>
      </c>
      <c r="T34" s="7">
        <f>IF($U34="","",S34-Q34-G34)</f>
        <v/>
      </c>
      <c r="U34" s="13">
        <f>IF(ROWS($U$2:$U34)&lt;=MAX('Per Line'!$Z$2:$Z$501),MATCH(ROWS($U$2:$U34),'Per Line'!$Z$2:$Z$501,0),"")</f>
        <v/>
      </c>
    </row>
    <row r="35">
      <c r="A35" s="12" t="n"/>
      <c r="B35">
        <f>IF($U35="","",INDEX('Per Line'!$A$2:$A$501,$U35)&amp;"")</f>
        <v/>
      </c>
      <c r="C35">
        <f>IF($U35="","",INDEX('Per Line'!$B$2:$B$501,$U35)&amp;"")</f>
        <v/>
      </c>
      <c r="D35">
        <f>IF($U35="","",INDEX('Per Line'!$C$2:$C$501,$U35)&amp;"")</f>
        <v/>
      </c>
      <c r="E35">
        <f>IF($U35="","",INDEX('Per Line'!$D$2:$D$501,$U35)&amp;"")</f>
        <v/>
      </c>
      <c r="F35">
        <f>IF($U35="","",INDEX('Per Line'!$E$2:$E$501,$U35))</f>
        <v/>
      </c>
      <c r="G35" s="7">
        <f>IF($U35="","",F35*S35/100)</f>
        <v/>
      </c>
      <c r="H35" s="11">
        <f>IF($U35="","",INDEX('Per Line'!$R$2:$R$501,$U35))</f>
        <v/>
      </c>
      <c r="I35">
        <f>IF($U35="","",INDEX('Per Line'!$Q$2:$Q$501,$U35)&amp;"")</f>
        <v/>
      </c>
      <c r="J35">
        <f>IF($U35="","",INDEX('Per Line'!$P$2:$P$501,$U35)&amp;"")</f>
        <v/>
      </c>
      <c r="K35">
        <f>IF($U35="","",Settings!$C$7)</f>
        <v/>
      </c>
      <c r="L35" s="7">
        <f>IF($U35="","",SUMIFS('Per Line'!$M$2:$M$501,'Per Line'!$A$2:$A$501,$B35,'Per Line'!$AA$2:$AA$501,0))</f>
        <v/>
      </c>
      <c r="M35" s="7">
        <f>IF($U35="","",L35*K35)</f>
        <v/>
      </c>
      <c r="N35">
        <f>IF($U35="","",Settings!$C$6)</f>
        <v/>
      </c>
      <c r="O35" s="7">
        <f>IF($U35="","",SUMIFS('Per Line'!$M$2:$M$501,'Per Line'!$A$2:$A$501,$B35,'Per Line'!$AA$2:$AA$501,1))</f>
        <v/>
      </c>
      <c r="P35" s="7">
        <f>IF($U35="","",O35*N35)</f>
        <v/>
      </c>
      <c r="Q35" s="7">
        <f>IF($U35="","",P35+M35)</f>
        <v/>
      </c>
      <c r="R35" s="7">
        <f>IF($U35="","",S35-Q35)</f>
        <v/>
      </c>
      <c r="S35" s="7">
        <f>IF($U35="","",L35+O35)</f>
        <v/>
      </c>
      <c r="T35" s="7">
        <f>IF($U35="","",S35-Q35-G35)</f>
        <v/>
      </c>
      <c r="U35" s="13">
        <f>IF(ROWS($U$2:$U35)&lt;=MAX('Per Line'!$Z$2:$Z$501),MATCH(ROWS($U$2:$U35),'Per Line'!$Z$2:$Z$501,0),"")</f>
        <v/>
      </c>
    </row>
    <row r="36">
      <c r="A36" s="12" t="n"/>
      <c r="B36">
        <f>IF($U36="","",INDEX('Per Line'!$A$2:$A$501,$U36)&amp;"")</f>
        <v/>
      </c>
      <c r="C36">
        <f>IF($U36="","",INDEX('Per Line'!$B$2:$B$501,$U36)&amp;"")</f>
        <v/>
      </c>
      <c r="D36">
        <f>IF($U36="","",INDEX('Per Line'!$C$2:$C$501,$U36)&amp;"")</f>
        <v/>
      </c>
      <c r="E36">
        <f>IF($U36="","",INDEX('Per Line'!$D$2:$D$501,$U36)&amp;"")</f>
        <v/>
      </c>
      <c r="F36">
        <f>IF($U36="","",INDEX('Per Line'!$E$2:$E$501,$U36))</f>
        <v/>
      </c>
      <c r="G36" s="7">
        <f>IF($U36="","",F36*S36/100)</f>
        <v/>
      </c>
      <c r="H36" s="11">
        <f>IF($U36="","",INDEX('Per Line'!$R$2:$R$501,$U36))</f>
        <v/>
      </c>
      <c r="I36">
        <f>IF($U36="","",INDEX('Per Line'!$Q$2:$Q$501,$U36)&amp;"")</f>
        <v/>
      </c>
      <c r="J36">
        <f>IF($U36="","",INDEX('Per Line'!$P$2:$P$501,$U36)&amp;"")</f>
        <v/>
      </c>
      <c r="K36">
        <f>IF($U36="","",Settings!$C$7)</f>
        <v/>
      </c>
      <c r="L36" s="7">
        <f>IF($U36="","",SUMIFS('Per Line'!$M$2:$M$501,'Per Line'!$A$2:$A$501,$B36,'Per Line'!$AA$2:$AA$501,0))</f>
        <v/>
      </c>
      <c r="M36" s="7">
        <f>IF($U36="","",L36*K36)</f>
        <v/>
      </c>
      <c r="N36">
        <f>IF($U36="","",Settings!$C$6)</f>
        <v/>
      </c>
      <c r="O36" s="7">
        <f>IF($U36="","",SUMIFS('Per Line'!$M$2:$M$501,'Per Line'!$A$2:$A$501,$B36,'Per Line'!$AA$2:$AA$501,1))</f>
        <v/>
      </c>
      <c r="P36" s="7">
        <f>IF($U36="","",O36*N36)</f>
        <v/>
      </c>
      <c r="Q36" s="7">
        <f>IF($U36="","",P36+M36)</f>
        <v/>
      </c>
      <c r="R36" s="7">
        <f>IF($U36="","",S36-Q36)</f>
        <v/>
      </c>
      <c r="S36" s="7">
        <f>IF($U36="","",L36+O36)</f>
        <v/>
      </c>
      <c r="T36" s="7">
        <f>IF($U36="","",S36-Q36-G36)</f>
        <v/>
      </c>
      <c r="U36" s="13">
        <f>IF(ROWS($U$2:$U36)&lt;=MAX('Per Line'!$Z$2:$Z$501),MATCH(ROWS($U$2:$U36),'Per Line'!$Z$2:$Z$501,0),"")</f>
        <v/>
      </c>
    </row>
    <row r="37">
      <c r="A37" s="12" t="n"/>
      <c r="B37">
        <f>IF($U37="","",INDEX('Per Line'!$A$2:$A$501,$U37)&amp;"")</f>
        <v/>
      </c>
      <c r="C37">
        <f>IF($U37="","",INDEX('Per Line'!$B$2:$B$501,$U37)&amp;"")</f>
        <v/>
      </c>
      <c r="D37">
        <f>IF($U37="","",INDEX('Per Line'!$C$2:$C$501,$U37)&amp;"")</f>
        <v/>
      </c>
      <c r="E37">
        <f>IF($U37="","",INDEX('Per Line'!$D$2:$D$501,$U37)&amp;"")</f>
        <v/>
      </c>
      <c r="F37">
        <f>IF($U37="","",INDEX('Per Line'!$E$2:$E$501,$U37))</f>
        <v/>
      </c>
      <c r="G37" s="7">
        <f>IF($U37="","",F37*S37/100)</f>
        <v/>
      </c>
      <c r="H37" s="11">
        <f>IF($U37="","",INDEX('Per Line'!$R$2:$R$501,$U37))</f>
        <v/>
      </c>
      <c r="I37">
        <f>IF($U37="","",INDEX('Per Line'!$Q$2:$Q$501,$U37)&amp;"")</f>
        <v/>
      </c>
      <c r="J37">
        <f>IF($U37="","",INDEX('Per Line'!$P$2:$P$501,$U37)&amp;"")</f>
        <v/>
      </c>
      <c r="K37">
        <f>IF($U37="","",Settings!$C$7)</f>
        <v/>
      </c>
      <c r="L37" s="7">
        <f>IF($U37="","",SUMIFS('Per Line'!$M$2:$M$501,'Per Line'!$A$2:$A$501,$B37,'Per Line'!$AA$2:$AA$501,0))</f>
        <v/>
      </c>
      <c r="M37" s="7">
        <f>IF($U37="","",L37*K37)</f>
        <v/>
      </c>
      <c r="N37">
        <f>IF($U37="","",Settings!$C$6)</f>
        <v/>
      </c>
      <c r="O37" s="7">
        <f>IF($U37="","",SUMIFS('Per Line'!$M$2:$M$501,'Per Line'!$A$2:$A$501,$B37,'Per Line'!$AA$2:$AA$501,1))</f>
        <v/>
      </c>
      <c r="P37" s="7">
        <f>IF($U37="","",O37*N37)</f>
        <v/>
      </c>
      <c r="Q37" s="7">
        <f>IF($U37="","",P37+M37)</f>
        <v/>
      </c>
      <c r="R37" s="7">
        <f>IF($U37="","",S37-Q37)</f>
        <v/>
      </c>
      <c r="S37" s="7">
        <f>IF($U37="","",L37+O37)</f>
        <v/>
      </c>
      <c r="T37" s="7">
        <f>IF($U37="","",S37-Q37-G37)</f>
        <v/>
      </c>
      <c r="U37" s="13">
        <f>IF(ROWS($U$2:$U37)&lt;=MAX('Per Line'!$Z$2:$Z$501),MATCH(ROWS($U$2:$U37),'Per Line'!$Z$2:$Z$501,0),"")</f>
        <v/>
      </c>
    </row>
    <row r="38">
      <c r="A38" s="12" t="n"/>
      <c r="B38">
        <f>IF($U38="","",INDEX('Per Line'!$A$2:$A$501,$U38)&amp;"")</f>
        <v/>
      </c>
      <c r="C38">
        <f>IF($U38="","",INDEX('Per Line'!$B$2:$B$501,$U38)&amp;"")</f>
        <v/>
      </c>
      <c r="D38">
        <f>IF($U38="","",INDEX('Per Line'!$C$2:$C$501,$U38)&amp;"")</f>
        <v/>
      </c>
      <c r="E38">
        <f>IF($U38="","",INDEX('Per Line'!$D$2:$D$501,$U38)&amp;"")</f>
        <v/>
      </c>
      <c r="F38">
        <f>IF($U38="","",INDEX('Per Line'!$E$2:$E$501,$U38))</f>
        <v/>
      </c>
      <c r="G38" s="7">
        <f>IF($U38="","",F38*S38/100)</f>
        <v/>
      </c>
      <c r="H38" s="11">
        <f>IF($U38="","",INDEX('Per Line'!$R$2:$R$501,$U38))</f>
        <v/>
      </c>
      <c r="I38">
        <f>IF($U38="","",INDEX('Per Line'!$Q$2:$Q$501,$U38)&amp;"")</f>
        <v/>
      </c>
      <c r="J38">
        <f>IF($U38="","",INDEX('Per Line'!$P$2:$P$501,$U38)&amp;"")</f>
        <v/>
      </c>
      <c r="K38">
        <f>IF($U38="","",Settings!$C$7)</f>
        <v/>
      </c>
      <c r="L38" s="7">
        <f>IF($U38="","",SUMIFS('Per Line'!$M$2:$M$501,'Per Line'!$A$2:$A$501,$B38,'Per Line'!$AA$2:$AA$501,0))</f>
        <v/>
      </c>
      <c r="M38" s="7">
        <f>IF($U38="","",L38*K38)</f>
        <v/>
      </c>
      <c r="N38">
        <f>IF($U38="","",Settings!$C$6)</f>
        <v/>
      </c>
      <c r="O38" s="7">
        <f>IF($U38="","",SUMIFS('Per Line'!$M$2:$M$501,'Per Line'!$A$2:$A$501,$B38,'Per Line'!$AA$2:$AA$501,1))</f>
        <v/>
      </c>
      <c r="P38" s="7">
        <f>IF($U38="","",O38*N38)</f>
        <v/>
      </c>
      <c r="Q38" s="7">
        <f>IF($U38="","",P38+M38)</f>
        <v/>
      </c>
      <c r="R38" s="7">
        <f>IF($U38="","",S38-Q38)</f>
        <v/>
      </c>
      <c r="S38" s="7">
        <f>IF($U38="","",L38+O38)</f>
        <v/>
      </c>
      <c r="T38" s="7">
        <f>IF($U38="","",S38-Q38-G38)</f>
        <v/>
      </c>
      <c r="U38" s="13">
        <f>IF(ROWS($U$2:$U38)&lt;=MAX('Per Line'!$Z$2:$Z$501),MATCH(ROWS($U$2:$U38),'Per Line'!$Z$2:$Z$501,0),"")</f>
        <v/>
      </c>
    </row>
    <row r="39">
      <c r="A39" s="12" t="n"/>
      <c r="B39">
        <f>IF($U39="","",INDEX('Per Line'!$A$2:$A$501,$U39)&amp;"")</f>
        <v/>
      </c>
      <c r="C39">
        <f>IF($U39="","",INDEX('Per Line'!$B$2:$B$501,$U39)&amp;"")</f>
        <v/>
      </c>
      <c r="D39">
        <f>IF($U39="","",INDEX('Per Line'!$C$2:$C$501,$U39)&amp;"")</f>
        <v/>
      </c>
      <c r="E39">
        <f>IF($U39="","",INDEX('Per Line'!$D$2:$D$501,$U39)&amp;"")</f>
        <v/>
      </c>
      <c r="F39">
        <f>IF($U39="","",INDEX('Per Line'!$E$2:$E$501,$U39))</f>
        <v/>
      </c>
      <c r="G39" s="7">
        <f>IF($U39="","",F39*S39/100)</f>
        <v/>
      </c>
      <c r="H39" s="11">
        <f>IF($U39="","",INDEX('Per Line'!$R$2:$R$501,$U39))</f>
        <v/>
      </c>
      <c r="I39">
        <f>IF($U39="","",INDEX('Per Line'!$Q$2:$Q$501,$U39)&amp;"")</f>
        <v/>
      </c>
      <c r="J39">
        <f>IF($U39="","",INDEX('Per Line'!$P$2:$P$501,$U39)&amp;"")</f>
        <v/>
      </c>
      <c r="K39">
        <f>IF($U39="","",Settings!$C$7)</f>
        <v/>
      </c>
      <c r="L39" s="7">
        <f>IF($U39="","",SUMIFS('Per Line'!$M$2:$M$501,'Per Line'!$A$2:$A$501,$B39,'Per Line'!$AA$2:$AA$501,0))</f>
        <v/>
      </c>
      <c r="M39" s="7">
        <f>IF($U39="","",L39*K39)</f>
        <v/>
      </c>
      <c r="N39">
        <f>IF($U39="","",Settings!$C$6)</f>
        <v/>
      </c>
      <c r="O39" s="7">
        <f>IF($U39="","",SUMIFS('Per Line'!$M$2:$M$501,'Per Line'!$A$2:$A$501,$B39,'Per Line'!$AA$2:$AA$501,1))</f>
        <v/>
      </c>
      <c r="P39" s="7">
        <f>IF($U39="","",O39*N39)</f>
        <v/>
      </c>
      <c r="Q39" s="7">
        <f>IF($U39="","",P39+M39)</f>
        <v/>
      </c>
      <c r="R39" s="7">
        <f>IF($U39="","",S39-Q39)</f>
        <v/>
      </c>
      <c r="S39" s="7">
        <f>IF($U39="","",L39+O39)</f>
        <v/>
      </c>
      <c r="T39" s="7">
        <f>IF($U39="","",S39-Q39-G39)</f>
        <v/>
      </c>
      <c r="U39" s="13">
        <f>IF(ROWS($U$2:$U39)&lt;=MAX('Per Line'!$Z$2:$Z$501),MATCH(ROWS($U$2:$U39),'Per Line'!$Z$2:$Z$501,0),"")</f>
        <v/>
      </c>
    </row>
    <row r="40">
      <c r="A40" s="12" t="n"/>
      <c r="B40">
        <f>IF($U40="","",INDEX('Per Line'!$A$2:$A$501,$U40)&amp;"")</f>
        <v/>
      </c>
      <c r="C40">
        <f>IF($U40="","",INDEX('Per Line'!$B$2:$B$501,$U40)&amp;"")</f>
        <v/>
      </c>
      <c r="D40">
        <f>IF($U40="","",INDEX('Per Line'!$C$2:$C$501,$U40)&amp;"")</f>
        <v/>
      </c>
      <c r="E40">
        <f>IF($U40="","",INDEX('Per Line'!$D$2:$D$501,$U40)&amp;"")</f>
        <v/>
      </c>
      <c r="F40">
        <f>IF($U40="","",INDEX('Per Line'!$E$2:$E$501,$U40))</f>
        <v/>
      </c>
      <c r="G40" s="7">
        <f>IF($U40="","",F40*S40/100)</f>
        <v/>
      </c>
      <c r="H40" s="11">
        <f>IF($U40="","",INDEX('Per Line'!$R$2:$R$501,$U40))</f>
        <v/>
      </c>
      <c r="I40">
        <f>IF($U40="","",INDEX('Per Line'!$Q$2:$Q$501,$U40)&amp;"")</f>
        <v/>
      </c>
      <c r="J40">
        <f>IF($U40="","",INDEX('Per Line'!$P$2:$P$501,$U40)&amp;"")</f>
        <v/>
      </c>
      <c r="K40">
        <f>IF($U40="","",Settings!$C$7)</f>
        <v/>
      </c>
      <c r="L40" s="7">
        <f>IF($U40="","",SUMIFS('Per Line'!$M$2:$M$501,'Per Line'!$A$2:$A$501,$B40,'Per Line'!$AA$2:$AA$501,0))</f>
        <v/>
      </c>
      <c r="M40" s="7">
        <f>IF($U40="","",L40*K40)</f>
        <v/>
      </c>
      <c r="N40">
        <f>IF($U40="","",Settings!$C$6)</f>
        <v/>
      </c>
      <c r="O40" s="7">
        <f>IF($U40="","",SUMIFS('Per Line'!$M$2:$M$501,'Per Line'!$A$2:$A$501,$B40,'Per Line'!$AA$2:$AA$501,1))</f>
        <v/>
      </c>
      <c r="P40" s="7">
        <f>IF($U40="","",O40*N40)</f>
        <v/>
      </c>
      <c r="Q40" s="7">
        <f>IF($U40="","",P40+M40)</f>
        <v/>
      </c>
      <c r="R40" s="7">
        <f>IF($U40="","",S40-Q40)</f>
        <v/>
      </c>
      <c r="S40" s="7">
        <f>IF($U40="","",L40+O40)</f>
        <v/>
      </c>
      <c r="T40" s="7">
        <f>IF($U40="","",S40-Q40-G40)</f>
        <v/>
      </c>
      <c r="U40" s="13">
        <f>IF(ROWS($U$2:$U40)&lt;=MAX('Per Line'!$Z$2:$Z$501),MATCH(ROWS($U$2:$U40),'Per Line'!$Z$2:$Z$501,0),"")</f>
        <v/>
      </c>
    </row>
    <row r="41">
      <c r="A41" s="12" t="n"/>
      <c r="B41">
        <f>IF($U41="","",INDEX('Per Line'!$A$2:$A$501,$U41)&amp;"")</f>
        <v/>
      </c>
      <c r="C41">
        <f>IF($U41="","",INDEX('Per Line'!$B$2:$B$501,$U41)&amp;"")</f>
        <v/>
      </c>
      <c r="D41">
        <f>IF($U41="","",INDEX('Per Line'!$C$2:$C$501,$U41)&amp;"")</f>
        <v/>
      </c>
      <c r="E41">
        <f>IF($U41="","",INDEX('Per Line'!$D$2:$D$501,$U41)&amp;"")</f>
        <v/>
      </c>
      <c r="F41">
        <f>IF($U41="","",INDEX('Per Line'!$E$2:$E$501,$U41))</f>
        <v/>
      </c>
      <c r="G41" s="7">
        <f>IF($U41="","",F41*S41/100)</f>
        <v/>
      </c>
      <c r="H41" s="11">
        <f>IF($U41="","",INDEX('Per Line'!$R$2:$R$501,$U41))</f>
        <v/>
      </c>
      <c r="I41">
        <f>IF($U41="","",INDEX('Per Line'!$Q$2:$Q$501,$U41)&amp;"")</f>
        <v/>
      </c>
      <c r="J41">
        <f>IF($U41="","",INDEX('Per Line'!$P$2:$P$501,$U41)&amp;"")</f>
        <v/>
      </c>
      <c r="K41">
        <f>IF($U41="","",Settings!$C$7)</f>
        <v/>
      </c>
      <c r="L41" s="7">
        <f>IF($U41="","",SUMIFS('Per Line'!$M$2:$M$501,'Per Line'!$A$2:$A$501,$B41,'Per Line'!$AA$2:$AA$501,0))</f>
        <v/>
      </c>
      <c r="M41" s="7">
        <f>IF($U41="","",L41*K41)</f>
        <v/>
      </c>
      <c r="N41">
        <f>IF($U41="","",Settings!$C$6)</f>
        <v/>
      </c>
      <c r="O41" s="7">
        <f>IF($U41="","",SUMIFS('Per Line'!$M$2:$M$501,'Per Line'!$A$2:$A$501,$B41,'Per Line'!$AA$2:$AA$501,1))</f>
        <v/>
      </c>
      <c r="P41" s="7">
        <f>IF($U41="","",O41*N41)</f>
        <v/>
      </c>
      <c r="Q41" s="7">
        <f>IF($U41="","",P41+M41)</f>
        <v/>
      </c>
      <c r="R41" s="7">
        <f>IF($U41="","",S41-Q41)</f>
        <v/>
      </c>
      <c r="S41" s="7">
        <f>IF($U41="","",L41+O41)</f>
        <v/>
      </c>
      <c r="T41" s="7">
        <f>IF($U41="","",S41-Q41-G41)</f>
        <v/>
      </c>
      <c r="U41" s="13">
        <f>IF(ROWS($U$2:$U41)&lt;=MAX('Per Line'!$Z$2:$Z$501),MATCH(ROWS($U$2:$U41),'Per Line'!$Z$2:$Z$501,0),"")</f>
        <v/>
      </c>
    </row>
    <row r="42">
      <c r="A42" s="12" t="n"/>
      <c r="B42">
        <f>IF($U42="","",INDEX('Per Line'!$A$2:$A$501,$U42)&amp;"")</f>
        <v/>
      </c>
      <c r="C42">
        <f>IF($U42="","",INDEX('Per Line'!$B$2:$B$501,$U42)&amp;"")</f>
        <v/>
      </c>
      <c r="D42">
        <f>IF($U42="","",INDEX('Per Line'!$C$2:$C$501,$U42)&amp;"")</f>
        <v/>
      </c>
      <c r="E42">
        <f>IF($U42="","",INDEX('Per Line'!$D$2:$D$501,$U42)&amp;"")</f>
        <v/>
      </c>
      <c r="F42">
        <f>IF($U42="","",INDEX('Per Line'!$E$2:$E$501,$U42))</f>
        <v/>
      </c>
      <c r="G42" s="7">
        <f>IF($U42="","",F42*S42/100)</f>
        <v/>
      </c>
      <c r="H42" s="11">
        <f>IF($U42="","",INDEX('Per Line'!$R$2:$R$501,$U42))</f>
        <v/>
      </c>
      <c r="I42">
        <f>IF($U42="","",INDEX('Per Line'!$Q$2:$Q$501,$U42)&amp;"")</f>
        <v/>
      </c>
      <c r="J42">
        <f>IF($U42="","",INDEX('Per Line'!$P$2:$P$501,$U42)&amp;"")</f>
        <v/>
      </c>
      <c r="K42">
        <f>IF($U42="","",Settings!$C$7)</f>
        <v/>
      </c>
      <c r="L42" s="7">
        <f>IF($U42="","",SUMIFS('Per Line'!$M$2:$M$501,'Per Line'!$A$2:$A$501,$B42,'Per Line'!$AA$2:$AA$501,0))</f>
        <v/>
      </c>
      <c r="M42" s="7">
        <f>IF($U42="","",L42*K42)</f>
        <v/>
      </c>
      <c r="N42">
        <f>IF($U42="","",Settings!$C$6)</f>
        <v/>
      </c>
      <c r="O42" s="7">
        <f>IF($U42="","",SUMIFS('Per Line'!$M$2:$M$501,'Per Line'!$A$2:$A$501,$B42,'Per Line'!$AA$2:$AA$501,1))</f>
        <v/>
      </c>
      <c r="P42" s="7">
        <f>IF($U42="","",O42*N42)</f>
        <v/>
      </c>
      <c r="Q42" s="7">
        <f>IF($U42="","",P42+M42)</f>
        <v/>
      </c>
      <c r="R42" s="7">
        <f>IF($U42="","",S42-Q42)</f>
        <v/>
      </c>
      <c r="S42" s="7">
        <f>IF($U42="","",L42+O42)</f>
        <v/>
      </c>
      <c r="T42" s="7">
        <f>IF($U42="","",S42-Q42-G42)</f>
        <v/>
      </c>
      <c r="U42" s="13">
        <f>IF(ROWS($U$2:$U42)&lt;=MAX('Per Line'!$Z$2:$Z$501),MATCH(ROWS($U$2:$U42),'Per Line'!$Z$2:$Z$501,0),"")</f>
        <v/>
      </c>
    </row>
    <row r="43">
      <c r="A43" s="12" t="n"/>
      <c r="B43">
        <f>IF($U43="","",INDEX('Per Line'!$A$2:$A$501,$U43)&amp;"")</f>
        <v/>
      </c>
      <c r="C43">
        <f>IF($U43="","",INDEX('Per Line'!$B$2:$B$501,$U43)&amp;"")</f>
        <v/>
      </c>
      <c r="D43">
        <f>IF($U43="","",INDEX('Per Line'!$C$2:$C$501,$U43)&amp;"")</f>
        <v/>
      </c>
      <c r="E43">
        <f>IF($U43="","",INDEX('Per Line'!$D$2:$D$501,$U43)&amp;"")</f>
        <v/>
      </c>
      <c r="F43">
        <f>IF($U43="","",INDEX('Per Line'!$E$2:$E$501,$U43))</f>
        <v/>
      </c>
      <c r="G43" s="7">
        <f>IF($U43="","",F43*S43/100)</f>
        <v/>
      </c>
      <c r="H43" s="11">
        <f>IF($U43="","",INDEX('Per Line'!$R$2:$R$501,$U43))</f>
        <v/>
      </c>
      <c r="I43">
        <f>IF($U43="","",INDEX('Per Line'!$Q$2:$Q$501,$U43)&amp;"")</f>
        <v/>
      </c>
      <c r="J43">
        <f>IF($U43="","",INDEX('Per Line'!$P$2:$P$501,$U43)&amp;"")</f>
        <v/>
      </c>
      <c r="K43">
        <f>IF($U43="","",Settings!$C$7)</f>
        <v/>
      </c>
      <c r="L43" s="7">
        <f>IF($U43="","",SUMIFS('Per Line'!$M$2:$M$501,'Per Line'!$A$2:$A$501,$B43,'Per Line'!$AA$2:$AA$501,0))</f>
        <v/>
      </c>
      <c r="M43" s="7">
        <f>IF($U43="","",L43*K43)</f>
        <v/>
      </c>
      <c r="N43">
        <f>IF($U43="","",Settings!$C$6)</f>
        <v/>
      </c>
      <c r="O43" s="7">
        <f>IF($U43="","",SUMIFS('Per Line'!$M$2:$M$501,'Per Line'!$A$2:$A$501,$B43,'Per Line'!$AA$2:$AA$501,1))</f>
        <v/>
      </c>
      <c r="P43" s="7">
        <f>IF($U43="","",O43*N43)</f>
        <v/>
      </c>
      <c r="Q43" s="7">
        <f>IF($U43="","",P43+M43)</f>
        <v/>
      </c>
      <c r="R43" s="7">
        <f>IF($U43="","",S43-Q43)</f>
        <v/>
      </c>
      <c r="S43" s="7">
        <f>IF($U43="","",L43+O43)</f>
        <v/>
      </c>
      <c r="T43" s="7">
        <f>IF($U43="","",S43-Q43-G43)</f>
        <v/>
      </c>
      <c r="U43" s="13">
        <f>IF(ROWS($U$2:$U43)&lt;=MAX('Per Line'!$Z$2:$Z$501),MATCH(ROWS($U$2:$U43),'Per Line'!$Z$2:$Z$501,0),"")</f>
        <v/>
      </c>
    </row>
    <row r="44">
      <c r="A44" s="12" t="n"/>
      <c r="B44">
        <f>IF($U44="","",INDEX('Per Line'!$A$2:$A$501,$U44)&amp;"")</f>
        <v/>
      </c>
      <c r="C44">
        <f>IF($U44="","",INDEX('Per Line'!$B$2:$B$501,$U44)&amp;"")</f>
        <v/>
      </c>
      <c r="D44">
        <f>IF($U44="","",INDEX('Per Line'!$C$2:$C$501,$U44)&amp;"")</f>
        <v/>
      </c>
      <c r="E44">
        <f>IF($U44="","",INDEX('Per Line'!$D$2:$D$501,$U44)&amp;"")</f>
        <v/>
      </c>
      <c r="F44">
        <f>IF($U44="","",INDEX('Per Line'!$E$2:$E$501,$U44))</f>
        <v/>
      </c>
      <c r="G44" s="7">
        <f>IF($U44="","",F44*S44/100)</f>
        <v/>
      </c>
      <c r="H44" s="11">
        <f>IF($U44="","",INDEX('Per Line'!$R$2:$R$501,$U44))</f>
        <v/>
      </c>
      <c r="I44">
        <f>IF($U44="","",INDEX('Per Line'!$Q$2:$Q$501,$U44)&amp;"")</f>
        <v/>
      </c>
      <c r="J44">
        <f>IF($U44="","",INDEX('Per Line'!$P$2:$P$501,$U44)&amp;"")</f>
        <v/>
      </c>
      <c r="K44">
        <f>IF($U44="","",Settings!$C$7)</f>
        <v/>
      </c>
      <c r="L44" s="7">
        <f>IF($U44="","",SUMIFS('Per Line'!$M$2:$M$501,'Per Line'!$A$2:$A$501,$B44,'Per Line'!$AA$2:$AA$501,0))</f>
        <v/>
      </c>
      <c r="M44" s="7">
        <f>IF($U44="","",L44*K44)</f>
        <v/>
      </c>
      <c r="N44">
        <f>IF($U44="","",Settings!$C$6)</f>
        <v/>
      </c>
      <c r="O44" s="7">
        <f>IF($U44="","",SUMIFS('Per Line'!$M$2:$M$501,'Per Line'!$A$2:$A$501,$B44,'Per Line'!$AA$2:$AA$501,1))</f>
        <v/>
      </c>
      <c r="P44" s="7">
        <f>IF($U44="","",O44*N44)</f>
        <v/>
      </c>
      <c r="Q44" s="7">
        <f>IF($U44="","",P44+M44)</f>
        <v/>
      </c>
      <c r="R44" s="7">
        <f>IF($U44="","",S44-Q44)</f>
        <v/>
      </c>
      <c r="S44" s="7">
        <f>IF($U44="","",L44+O44)</f>
        <v/>
      </c>
      <c r="T44" s="7">
        <f>IF($U44="","",S44-Q44-G44)</f>
        <v/>
      </c>
      <c r="U44" s="13">
        <f>IF(ROWS($U$2:$U44)&lt;=MAX('Per Line'!$Z$2:$Z$501),MATCH(ROWS($U$2:$U44),'Per Line'!$Z$2:$Z$501,0),"")</f>
        <v/>
      </c>
    </row>
    <row r="45">
      <c r="A45" s="12" t="n"/>
      <c r="B45">
        <f>IF($U45="","",INDEX('Per Line'!$A$2:$A$501,$U45)&amp;"")</f>
        <v/>
      </c>
      <c r="C45">
        <f>IF($U45="","",INDEX('Per Line'!$B$2:$B$501,$U45)&amp;"")</f>
        <v/>
      </c>
      <c r="D45">
        <f>IF($U45="","",INDEX('Per Line'!$C$2:$C$501,$U45)&amp;"")</f>
        <v/>
      </c>
      <c r="E45">
        <f>IF($U45="","",INDEX('Per Line'!$D$2:$D$501,$U45)&amp;"")</f>
        <v/>
      </c>
      <c r="F45">
        <f>IF($U45="","",INDEX('Per Line'!$E$2:$E$501,$U45))</f>
        <v/>
      </c>
      <c r="G45" s="7">
        <f>IF($U45="","",F45*S45/100)</f>
        <v/>
      </c>
      <c r="H45" s="11">
        <f>IF($U45="","",INDEX('Per Line'!$R$2:$R$501,$U45))</f>
        <v/>
      </c>
      <c r="I45">
        <f>IF($U45="","",INDEX('Per Line'!$Q$2:$Q$501,$U45)&amp;"")</f>
        <v/>
      </c>
      <c r="J45">
        <f>IF($U45="","",INDEX('Per Line'!$P$2:$P$501,$U45)&amp;"")</f>
        <v/>
      </c>
      <c r="K45">
        <f>IF($U45="","",Settings!$C$7)</f>
        <v/>
      </c>
      <c r="L45" s="7">
        <f>IF($U45="","",SUMIFS('Per Line'!$M$2:$M$501,'Per Line'!$A$2:$A$501,$B45,'Per Line'!$AA$2:$AA$501,0))</f>
        <v/>
      </c>
      <c r="M45" s="7">
        <f>IF($U45="","",L45*K45)</f>
        <v/>
      </c>
      <c r="N45">
        <f>IF($U45="","",Settings!$C$6)</f>
        <v/>
      </c>
      <c r="O45" s="7">
        <f>IF($U45="","",SUMIFS('Per Line'!$M$2:$M$501,'Per Line'!$A$2:$A$501,$B45,'Per Line'!$AA$2:$AA$501,1))</f>
        <v/>
      </c>
      <c r="P45" s="7">
        <f>IF($U45="","",O45*N45)</f>
        <v/>
      </c>
      <c r="Q45" s="7">
        <f>IF($U45="","",P45+M45)</f>
        <v/>
      </c>
      <c r="R45" s="7">
        <f>IF($U45="","",S45-Q45)</f>
        <v/>
      </c>
      <c r="S45" s="7">
        <f>IF($U45="","",L45+O45)</f>
        <v/>
      </c>
      <c r="T45" s="7">
        <f>IF($U45="","",S45-Q45-G45)</f>
        <v/>
      </c>
      <c r="U45" s="13">
        <f>IF(ROWS($U$2:$U45)&lt;=MAX('Per Line'!$Z$2:$Z$501),MATCH(ROWS($U$2:$U45),'Per Line'!$Z$2:$Z$501,0),"")</f>
        <v/>
      </c>
    </row>
    <row r="46">
      <c r="A46" s="12" t="n"/>
      <c r="B46">
        <f>IF($U46="","",INDEX('Per Line'!$A$2:$A$501,$U46)&amp;"")</f>
        <v/>
      </c>
      <c r="C46">
        <f>IF($U46="","",INDEX('Per Line'!$B$2:$B$501,$U46)&amp;"")</f>
        <v/>
      </c>
      <c r="D46">
        <f>IF($U46="","",INDEX('Per Line'!$C$2:$C$501,$U46)&amp;"")</f>
        <v/>
      </c>
      <c r="E46">
        <f>IF($U46="","",INDEX('Per Line'!$D$2:$D$501,$U46)&amp;"")</f>
        <v/>
      </c>
      <c r="F46">
        <f>IF($U46="","",INDEX('Per Line'!$E$2:$E$501,$U46))</f>
        <v/>
      </c>
      <c r="G46" s="7">
        <f>IF($U46="","",F46*S46/100)</f>
        <v/>
      </c>
      <c r="H46" s="11">
        <f>IF($U46="","",INDEX('Per Line'!$R$2:$R$501,$U46))</f>
        <v/>
      </c>
      <c r="I46">
        <f>IF($U46="","",INDEX('Per Line'!$Q$2:$Q$501,$U46)&amp;"")</f>
        <v/>
      </c>
      <c r="J46">
        <f>IF($U46="","",INDEX('Per Line'!$P$2:$P$501,$U46)&amp;"")</f>
        <v/>
      </c>
      <c r="K46">
        <f>IF($U46="","",Settings!$C$7)</f>
        <v/>
      </c>
      <c r="L46" s="7">
        <f>IF($U46="","",SUMIFS('Per Line'!$M$2:$M$501,'Per Line'!$A$2:$A$501,$B46,'Per Line'!$AA$2:$AA$501,0))</f>
        <v/>
      </c>
      <c r="M46" s="7">
        <f>IF($U46="","",L46*K46)</f>
        <v/>
      </c>
      <c r="N46">
        <f>IF($U46="","",Settings!$C$6)</f>
        <v/>
      </c>
      <c r="O46" s="7">
        <f>IF($U46="","",SUMIFS('Per Line'!$M$2:$M$501,'Per Line'!$A$2:$A$501,$B46,'Per Line'!$AA$2:$AA$501,1))</f>
        <v/>
      </c>
      <c r="P46" s="7">
        <f>IF($U46="","",O46*N46)</f>
        <v/>
      </c>
      <c r="Q46" s="7">
        <f>IF($U46="","",P46+M46)</f>
        <v/>
      </c>
      <c r="R46" s="7">
        <f>IF($U46="","",S46-Q46)</f>
        <v/>
      </c>
      <c r="S46" s="7">
        <f>IF($U46="","",L46+O46)</f>
        <v/>
      </c>
      <c r="T46" s="7">
        <f>IF($U46="","",S46-Q46-G46)</f>
        <v/>
      </c>
      <c r="U46" s="13">
        <f>IF(ROWS($U$2:$U46)&lt;=MAX('Per Line'!$Z$2:$Z$501),MATCH(ROWS($U$2:$U46),'Per Line'!$Z$2:$Z$501,0),"")</f>
        <v/>
      </c>
    </row>
    <row r="47">
      <c r="A47" s="12" t="n"/>
      <c r="B47">
        <f>IF($U47="","",INDEX('Per Line'!$A$2:$A$501,$U47)&amp;"")</f>
        <v/>
      </c>
      <c r="C47">
        <f>IF($U47="","",INDEX('Per Line'!$B$2:$B$501,$U47)&amp;"")</f>
        <v/>
      </c>
      <c r="D47">
        <f>IF($U47="","",INDEX('Per Line'!$C$2:$C$501,$U47)&amp;"")</f>
        <v/>
      </c>
      <c r="E47">
        <f>IF($U47="","",INDEX('Per Line'!$D$2:$D$501,$U47)&amp;"")</f>
        <v/>
      </c>
      <c r="F47">
        <f>IF($U47="","",INDEX('Per Line'!$E$2:$E$501,$U47))</f>
        <v/>
      </c>
      <c r="G47" s="7">
        <f>IF($U47="","",F47*S47/100)</f>
        <v/>
      </c>
      <c r="H47" s="11">
        <f>IF($U47="","",INDEX('Per Line'!$R$2:$R$501,$U47))</f>
        <v/>
      </c>
      <c r="I47">
        <f>IF($U47="","",INDEX('Per Line'!$Q$2:$Q$501,$U47)&amp;"")</f>
        <v/>
      </c>
      <c r="J47">
        <f>IF($U47="","",INDEX('Per Line'!$P$2:$P$501,$U47)&amp;"")</f>
        <v/>
      </c>
      <c r="K47">
        <f>IF($U47="","",Settings!$C$7)</f>
        <v/>
      </c>
      <c r="L47" s="7">
        <f>IF($U47="","",SUMIFS('Per Line'!$M$2:$M$501,'Per Line'!$A$2:$A$501,$B47,'Per Line'!$AA$2:$AA$501,0))</f>
        <v/>
      </c>
      <c r="M47" s="7">
        <f>IF($U47="","",L47*K47)</f>
        <v/>
      </c>
      <c r="N47">
        <f>IF($U47="","",Settings!$C$6)</f>
        <v/>
      </c>
      <c r="O47" s="7">
        <f>IF($U47="","",SUMIFS('Per Line'!$M$2:$M$501,'Per Line'!$A$2:$A$501,$B47,'Per Line'!$AA$2:$AA$501,1))</f>
        <v/>
      </c>
      <c r="P47" s="7">
        <f>IF($U47="","",O47*N47)</f>
        <v/>
      </c>
      <c r="Q47" s="7">
        <f>IF($U47="","",P47+M47)</f>
        <v/>
      </c>
      <c r="R47" s="7">
        <f>IF($U47="","",S47-Q47)</f>
        <v/>
      </c>
      <c r="S47" s="7">
        <f>IF($U47="","",L47+O47)</f>
        <v/>
      </c>
      <c r="T47" s="7">
        <f>IF($U47="","",S47-Q47-G47)</f>
        <v/>
      </c>
      <c r="U47" s="13">
        <f>IF(ROWS($U$2:$U47)&lt;=MAX('Per Line'!$Z$2:$Z$501),MATCH(ROWS($U$2:$U47),'Per Line'!$Z$2:$Z$501,0),"")</f>
        <v/>
      </c>
    </row>
    <row r="48">
      <c r="A48" s="12" t="n"/>
      <c r="B48">
        <f>IF($U48="","",INDEX('Per Line'!$A$2:$A$501,$U48)&amp;"")</f>
        <v/>
      </c>
      <c r="C48">
        <f>IF($U48="","",INDEX('Per Line'!$B$2:$B$501,$U48)&amp;"")</f>
        <v/>
      </c>
      <c r="D48">
        <f>IF($U48="","",INDEX('Per Line'!$C$2:$C$501,$U48)&amp;"")</f>
        <v/>
      </c>
      <c r="E48">
        <f>IF($U48="","",INDEX('Per Line'!$D$2:$D$501,$U48)&amp;"")</f>
        <v/>
      </c>
      <c r="F48">
        <f>IF($U48="","",INDEX('Per Line'!$E$2:$E$501,$U48))</f>
        <v/>
      </c>
      <c r="G48" s="7">
        <f>IF($U48="","",F48*S48/100)</f>
        <v/>
      </c>
      <c r="H48" s="11">
        <f>IF($U48="","",INDEX('Per Line'!$R$2:$R$501,$U48))</f>
        <v/>
      </c>
      <c r="I48">
        <f>IF($U48="","",INDEX('Per Line'!$Q$2:$Q$501,$U48)&amp;"")</f>
        <v/>
      </c>
      <c r="J48">
        <f>IF($U48="","",INDEX('Per Line'!$P$2:$P$501,$U48)&amp;"")</f>
        <v/>
      </c>
      <c r="K48">
        <f>IF($U48="","",Settings!$C$7)</f>
        <v/>
      </c>
      <c r="L48" s="7">
        <f>IF($U48="","",SUMIFS('Per Line'!$M$2:$M$501,'Per Line'!$A$2:$A$501,$B48,'Per Line'!$AA$2:$AA$501,0))</f>
        <v/>
      </c>
      <c r="M48" s="7">
        <f>IF($U48="","",L48*K48)</f>
        <v/>
      </c>
      <c r="N48">
        <f>IF($U48="","",Settings!$C$6)</f>
        <v/>
      </c>
      <c r="O48" s="7">
        <f>IF($U48="","",SUMIFS('Per Line'!$M$2:$M$501,'Per Line'!$A$2:$A$501,$B48,'Per Line'!$AA$2:$AA$501,1))</f>
        <v/>
      </c>
      <c r="P48" s="7">
        <f>IF($U48="","",O48*N48)</f>
        <v/>
      </c>
      <c r="Q48" s="7">
        <f>IF($U48="","",P48+M48)</f>
        <v/>
      </c>
      <c r="R48" s="7">
        <f>IF($U48="","",S48-Q48)</f>
        <v/>
      </c>
      <c r="S48" s="7">
        <f>IF($U48="","",L48+O48)</f>
        <v/>
      </c>
      <c r="T48" s="7">
        <f>IF($U48="","",S48-Q48-G48)</f>
        <v/>
      </c>
      <c r="U48" s="13">
        <f>IF(ROWS($U$2:$U48)&lt;=MAX('Per Line'!$Z$2:$Z$501),MATCH(ROWS($U$2:$U48),'Per Line'!$Z$2:$Z$501,0),"")</f>
        <v/>
      </c>
    </row>
    <row r="49">
      <c r="A49" s="12" t="n"/>
      <c r="B49">
        <f>IF($U49="","",INDEX('Per Line'!$A$2:$A$501,$U49)&amp;"")</f>
        <v/>
      </c>
      <c r="C49">
        <f>IF($U49="","",INDEX('Per Line'!$B$2:$B$501,$U49)&amp;"")</f>
        <v/>
      </c>
      <c r="D49">
        <f>IF($U49="","",INDEX('Per Line'!$C$2:$C$501,$U49)&amp;"")</f>
        <v/>
      </c>
      <c r="E49">
        <f>IF($U49="","",INDEX('Per Line'!$D$2:$D$501,$U49)&amp;"")</f>
        <v/>
      </c>
      <c r="F49">
        <f>IF($U49="","",INDEX('Per Line'!$E$2:$E$501,$U49))</f>
        <v/>
      </c>
      <c r="G49" s="7">
        <f>IF($U49="","",F49*S49/100)</f>
        <v/>
      </c>
      <c r="H49" s="11">
        <f>IF($U49="","",INDEX('Per Line'!$R$2:$R$501,$U49))</f>
        <v/>
      </c>
      <c r="I49">
        <f>IF($U49="","",INDEX('Per Line'!$Q$2:$Q$501,$U49)&amp;"")</f>
        <v/>
      </c>
      <c r="J49">
        <f>IF($U49="","",INDEX('Per Line'!$P$2:$P$501,$U49)&amp;"")</f>
        <v/>
      </c>
      <c r="K49">
        <f>IF($U49="","",Settings!$C$7)</f>
        <v/>
      </c>
      <c r="L49" s="7">
        <f>IF($U49="","",SUMIFS('Per Line'!$M$2:$M$501,'Per Line'!$A$2:$A$501,$B49,'Per Line'!$AA$2:$AA$501,0))</f>
        <v/>
      </c>
      <c r="M49" s="7">
        <f>IF($U49="","",L49*K49)</f>
        <v/>
      </c>
      <c r="N49">
        <f>IF($U49="","",Settings!$C$6)</f>
        <v/>
      </c>
      <c r="O49" s="7">
        <f>IF($U49="","",SUMIFS('Per Line'!$M$2:$M$501,'Per Line'!$A$2:$A$501,$B49,'Per Line'!$AA$2:$AA$501,1))</f>
        <v/>
      </c>
      <c r="P49" s="7">
        <f>IF($U49="","",O49*N49)</f>
        <v/>
      </c>
      <c r="Q49" s="7">
        <f>IF($U49="","",P49+M49)</f>
        <v/>
      </c>
      <c r="R49" s="7">
        <f>IF($U49="","",S49-Q49)</f>
        <v/>
      </c>
      <c r="S49" s="7">
        <f>IF($U49="","",L49+O49)</f>
        <v/>
      </c>
      <c r="T49" s="7">
        <f>IF($U49="","",S49-Q49-G49)</f>
        <v/>
      </c>
      <c r="U49" s="13">
        <f>IF(ROWS($U$2:$U49)&lt;=MAX('Per Line'!$Z$2:$Z$501),MATCH(ROWS($U$2:$U49),'Per Line'!$Z$2:$Z$501,0),"")</f>
        <v/>
      </c>
    </row>
    <row r="50">
      <c r="A50" s="12" t="n"/>
      <c r="B50">
        <f>IF($U50="","",INDEX('Per Line'!$A$2:$A$501,$U50)&amp;"")</f>
        <v/>
      </c>
      <c r="C50">
        <f>IF($U50="","",INDEX('Per Line'!$B$2:$B$501,$U50)&amp;"")</f>
        <v/>
      </c>
      <c r="D50">
        <f>IF($U50="","",INDEX('Per Line'!$C$2:$C$501,$U50)&amp;"")</f>
        <v/>
      </c>
      <c r="E50">
        <f>IF($U50="","",INDEX('Per Line'!$D$2:$D$501,$U50)&amp;"")</f>
        <v/>
      </c>
      <c r="F50">
        <f>IF($U50="","",INDEX('Per Line'!$E$2:$E$501,$U50))</f>
        <v/>
      </c>
      <c r="G50" s="7">
        <f>IF($U50="","",F50*S50/100)</f>
        <v/>
      </c>
      <c r="H50" s="11">
        <f>IF($U50="","",INDEX('Per Line'!$R$2:$R$501,$U50))</f>
        <v/>
      </c>
      <c r="I50">
        <f>IF($U50="","",INDEX('Per Line'!$Q$2:$Q$501,$U50)&amp;"")</f>
        <v/>
      </c>
      <c r="J50">
        <f>IF($U50="","",INDEX('Per Line'!$P$2:$P$501,$U50)&amp;"")</f>
        <v/>
      </c>
      <c r="K50">
        <f>IF($U50="","",Settings!$C$7)</f>
        <v/>
      </c>
      <c r="L50" s="7">
        <f>IF($U50="","",SUMIFS('Per Line'!$M$2:$M$501,'Per Line'!$A$2:$A$501,$B50,'Per Line'!$AA$2:$AA$501,0))</f>
        <v/>
      </c>
      <c r="M50" s="7">
        <f>IF($U50="","",L50*K50)</f>
        <v/>
      </c>
      <c r="N50">
        <f>IF($U50="","",Settings!$C$6)</f>
        <v/>
      </c>
      <c r="O50" s="7">
        <f>IF($U50="","",SUMIFS('Per Line'!$M$2:$M$501,'Per Line'!$A$2:$A$501,$B50,'Per Line'!$AA$2:$AA$501,1))</f>
        <v/>
      </c>
      <c r="P50" s="7">
        <f>IF($U50="","",O50*N50)</f>
        <v/>
      </c>
      <c r="Q50" s="7">
        <f>IF($U50="","",P50+M50)</f>
        <v/>
      </c>
      <c r="R50" s="7">
        <f>IF($U50="","",S50-Q50)</f>
        <v/>
      </c>
      <c r="S50" s="7">
        <f>IF($U50="","",L50+O50)</f>
        <v/>
      </c>
      <c r="T50" s="7">
        <f>IF($U50="","",S50-Q50-G50)</f>
        <v/>
      </c>
      <c r="U50" s="13">
        <f>IF(ROWS($U$2:$U50)&lt;=MAX('Per Line'!$Z$2:$Z$501),MATCH(ROWS($U$2:$U50),'Per Line'!$Z$2:$Z$501,0),"")</f>
        <v/>
      </c>
    </row>
    <row r="51">
      <c r="A51" s="12" t="n"/>
      <c r="B51">
        <f>IF($U51="","",INDEX('Per Line'!$A$2:$A$501,$U51)&amp;"")</f>
        <v/>
      </c>
      <c r="C51">
        <f>IF($U51="","",INDEX('Per Line'!$B$2:$B$501,$U51)&amp;"")</f>
        <v/>
      </c>
      <c r="D51">
        <f>IF($U51="","",INDEX('Per Line'!$C$2:$C$501,$U51)&amp;"")</f>
        <v/>
      </c>
      <c r="E51">
        <f>IF($U51="","",INDEX('Per Line'!$D$2:$D$501,$U51)&amp;"")</f>
        <v/>
      </c>
      <c r="F51">
        <f>IF($U51="","",INDEX('Per Line'!$E$2:$E$501,$U51))</f>
        <v/>
      </c>
      <c r="G51" s="7">
        <f>IF($U51="","",F51*S51/100)</f>
        <v/>
      </c>
      <c r="H51" s="11">
        <f>IF($U51="","",INDEX('Per Line'!$R$2:$R$501,$U51))</f>
        <v/>
      </c>
      <c r="I51">
        <f>IF($U51="","",INDEX('Per Line'!$Q$2:$Q$501,$U51)&amp;"")</f>
        <v/>
      </c>
      <c r="J51">
        <f>IF($U51="","",INDEX('Per Line'!$P$2:$P$501,$U51)&amp;"")</f>
        <v/>
      </c>
      <c r="K51">
        <f>IF($U51="","",Settings!$C$7)</f>
        <v/>
      </c>
      <c r="L51" s="7">
        <f>IF($U51="","",SUMIFS('Per Line'!$M$2:$M$501,'Per Line'!$A$2:$A$501,$B51,'Per Line'!$AA$2:$AA$501,0))</f>
        <v/>
      </c>
      <c r="M51" s="7">
        <f>IF($U51="","",L51*K51)</f>
        <v/>
      </c>
      <c r="N51">
        <f>IF($U51="","",Settings!$C$6)</f>
        <v/>
      </c>
      <c r="O51" s="7">
        <f>IF($U51="","",SUMIFS('Per Line'!$M$2:$M$501,'Per Line'!$A$2:$A$501,$B51,'Per Line'!$AA$2:$AA$501,1))</f>
        <v/>
      </c>
      <c r="P51" s="7">
        <f>IF($U51="","",O51*N51)</f>
        <v/>
      </c>
      <c r="Q51" s="7">
        <f>IF($U51="","",P51+M51)</f>
        <v/>
      </c>
      <c r="R51" s="7">
        <f>IF($U51="","",S51-Q51)</f>
        <v/>
      </c>
      <c r="S51" s="7">
        <f>IF($U51="","",L51+O51)</f>
        <v/>
      </c>
      <c r="T51" s="7">
        <f>IF($U51="","",S51-Q51-G51)</f>
        <v/>
      </c>
      <c r="U51" s="13">
        <f>IF(ROWS($U$2:$U51)&lt;=MAX('Per Line'!$Z$2:$Z$501),MATCH(ROWS($U$2:$U51),'Per Line'!$Z$2:$Z$501,0),"")</f>
        <v/>
      </c>
    </row>
    <row r="52">
      <c r="A52" s="12" t="n"/>
      <c r="B52">
        <f>IF($U52="","",INDEX('Per Line'!$A$2:$A$501,$U52)&amp;"")</f>
        <v/>
      </c>
      <c r="C52">
        <f>IF($U52="","",INDEX('Per Line'!$B$2:$B$501,$U52)&amp;"")</f>
        <v/>
      </c>
      <c r="D52">
        <f>IF($U52="","",INDEX('Per Line'!$C$2:$C$501,$U52)&amp;"")</f>
        <v/>
      </c>
      <c r="E52">
        <f>IF($U52="","",INDEX('Per Line'!$D$2:$D$501,$U52)&amp;"")</f>
        <v/>
      </c>
      <c r="F52">
        <f>IF($U52="","",INDEX('Per Line'!$E$2:$E$501,$U52))</f>
        <v/>
      </c>
      <c r="G52" s="7">
        <f>IF($U52="","",F52*S52/100)</f>
        <v/>
      </c>
      <c r="H52" s="11">
        <f>IF($U52="","",INDEX('Per Line'!$R$2:$R$501,$U52))</f>
        <v/>
      </c>
      <c r="I52">
        <f>IF($U52="","",INDEX('Per Line'!$Q$2:$Q$501,$U52)&amp;"")</f>
        <v/>
      </c>
      <c r="J52">
        <f>IF($U52="","",INDEX('Per Line'!$P$2:$P$501,$U52)&amp;"")</f>
        <v/>
      </c>
      <c r="K52">
        <f>IF($U52="","",Settings!$C$7)</f>
        <v/>
      </c>
      <c r="L52" s="7">
        <f>IF($U52="","",SUMIFS('Per Line'!$M$2:$M$501,'Per Line'!$A$2:$A$501,$B52,'Per Line'!$AA$2:$AA$501,0))</f>
        <v/>
      </c>
      <c r="M52" s="7">
        <f>IF($U52="","",L52*K52)</f>
        <v/>
      </c>
      <c r="N52">
        <f>IF($U52="","",Settings!$C$6)</f>
        <v/>
      </c>
      <c r="O52" s="7">
        <f>IF($U52="","",SUMIFS('Per Line'!$M$2:$M$501,'Per Line'!$A$2:$A$501,$B52,'Per Line'!$AA$2:$AA$501,1))</f>
        <v/>
      </c>
      <c r="P52" s="7">
        <f>IF($U52="","",O52*N52)</f>
        <v/>
      </c>
      <c r="Q52" s="7">
        <f>IF($U52="","",P52+M52)</f>
        <v/>
      </c>
      <c r="R52" s="7">
        <f>IF($U52="","",S52-Q52)</f>
        <v/>
      </c>
      <c r="S52" s="7">
        <f>IF($U52="","",L52+O52)</f>
        <v/>
      </c>
      <c r="T52" s="7">
        <f>IF($U52="","",S52-Q52-G52)</f>
        <v/>
      </c>
      <c r="U52" s="13">
        <f>IF(ROWS($U$2:$U52)&lt;=MAX('Per Line'!$Z$2:$Z$501),MATCH(ROWS($U$2:$U52),'Per Line'!$Z$2:$Z$501,0),"")</f>
        <v/>
      </c>
    </row>
    <row r="53">
      <c r="A53" s="12" t="n"/>
      <c r="B53">
        <f>IF($U53="","",INDEX('Per Line'!$A$2:$A$501,$U53)&amp;"")</f>
        <v/>
      </c>
      <c r="C53">
        <f>IF($U53="","",INDEX('Per Line'!$B$2:$B$501,$U53)&amp;"")</f>
        <v/>
      </c>
      <c r="D53">
        <f>IF($U53="","",INDEX('Per Line'!$C$2:$C$501,$U53)&amp;"")</f>
        <v/>
      </c>
      <c r="E53">
        <f>IF($U53="","",INDEX('Per Line'!$D$2:$D$501,$U53)&amp;"")</f>
        <v/>
      </c>
      <c r="F53">
        <f>IF($U53="","",INDEX('Per Line'!$E$2:$E$501,$U53))</f>
        <v/>
      </c>
      <c r="G53" s="7">
        <f>IF($U53="","",F53*S53/100)</f>
        <v/>
      </c>
      <c r="H53" s="11">
        <f>IF($U53="","",INDEX('Per Line'!$R$2:$R$501,$U53))</f>
        <v/>
      </c>
      <c r="I53">
        <f>IF($U53="","",INDEX('Per Line'!$Q$2:$Q$501,$U53)&amp;"")</f>
        <v/>
      </c>
      <c r="J53">
        <f>IF($U53="","",INDEX('Per Line'!$P$2:$P$501,$U53)&amp;"")</f>
        <v/>
      </c>
      <c r="K53">
        <f>IF($U53="","",Settings!$C$7)</f>
        <v/>
      </c>
      <c r="L53" s="7">
        <f>IF($U53="","",SUMIFS('Per Line'!$M$2:$M$501,'Per Line'!$A$2:$A$501,$B53,'Per Line'!$AA$2:$AA$501,0))</f>
        <v/>
      </c>
      <c r="M53" s="7">
        <f>IF($U53="","",L53*K53)</f>
        <v/>
      </c>
      <c r="N53">
        <f>IF($U53="","",Settings!$C$6)</f>
        <v/>
      </c>
      <c r="O53" s="7">
        <f>IF($U53="","",SUMIFS('Per Line'!$M$2:$M$501,'Per Line'!$A$2:$A$501,$B53,'Per Line'!$AA$2:$AA$501,1))</f>
        <v/>
      </c>
      <c r="P53" s="7">
        <f>IF($U53="","",O53*N53)</f>
        <v/>
      </c>
      <c r="Q53" s="7">
        <f>IF($U53="","",P53+M53)</f>
        <v/>
      </c>
      <c r="R53" s="7">
        <f>IF($U53="","",S53-Q53)</f>
        <v/>
      </c>
      <c r="S53" s="7">
        <f>IF($U53="","",L53+O53)</f>
        <v/>
      </c>
      <c r="T53" s="7">
        <f>IF($U53="","",S53-Q53-G53)</f>
        <v/>
      </c>
      <c r="U53" s="13">
        <f>IF(ROWS($U$2:$U53)&lt;=MAX('Per Line'!$Z$2:$Z$501),MATCH(ROWS($U$2:$U53),'Per Line'!$Z$2:$Z$501,0),"")</f>
        <v/>
      </c>
    </row>
    <row r="54">
      <c r="A54" s="12" t="n"/>
      <c r="B54">
        <f>IF($U54="","",INDEX('Per Line'!$A$2:$A$501,$U54)&amp;"")</f>
        <v/>
      </c>
      <c r="C54">
        <f>IF($U54="","",INDEX('Per Line'!$B$2:$B$501,$U54)&amp;"")</f>
        <v/>
      </c>
      <c r="D54">
        <f>IF($U54="","",INDEX('Per Line'!$C$2:$C$501,$U54)&amp;"")</f>
        <v/>
      </c>
      <c r="E54">
        <f>IF($U54="","",INDEX('Per Line'!$D$2:$D$501,$U54)&amp;"")</f>
        <v/>
      </c>
      <c r="F54">
        <f>IF($U54="","",INDEX('Per Line'!$E$2:$E$501,$U54))</f>
        <v/>
      </c>
      <c r="G54" s="7">
        <f>IF($U54="","",F54*S54/100)</f>
        <v/>
      </c>
      <c r="H54" s="11">
        <f>IF($U54="","",INDEX('Per Line'!$R$2:$R$501,$U54))</f>
        <v/>
      </c>
      <c r="I54">
        <f>IF($U54="","",INDEX('Per Line'!$Q$2:$Q$501,$U54)&amp;"")</f>
        <v/>
      </c>
      <c r="J54">
        <f>IF($U54="","",INDEX('Per Line'!$P$2:$P$501,$U54)&amp;"")</f>
        <v/>
      </c>
      <c r="K54">
        <f>IF($U54="","",Settings!$C$7)</f>
        <v/>
      </c>
      <c r="L54" s="7">
        <f>IF($U54="","",SUMIFS('Per Line'!$M$2:$M$501,'Per Line'!$A$2:$A$501,$B54,'Per Line'!$AA$2:$AA$501,0))</f>
        <v/>
      </c>
      <c r="M54" s="7">
        <f>IF($U54="","",L54*K54)</f>
        <v/>
      </c>
      <c r="N54">
        <f>IF($U54="","",Settings!$C$6)</f>
        <v/>
      </c>
      <c r="O54" s="7">
        <f>IF($U54="","",SUMIFS('Per Line'!$M$2:$M$501,'Per Line'!$A$2:$A$501,$B54,'Per Line'!$AA$2:$AA$501,1))</f>
        <v/>
      </c>
      <c r="P54" s="7">
        <f>IF($U54="","",O54*N54)</f>
        <v/>
      </c>
      <c r="Q54" s="7">
        <f>IF($U54="","",P54+M54)</f>
        <v/>
      </c>
      <c r="R54" s="7">
        <f>IF($U54="","",S54-Q54)</f>
        <v/>
      </c>
      <c r="S54" s="7">
        <f>IF($U54="","",L54+O54)</f>
        <v/>
      </c>
      <c r="T54" s="7">
        <f>IF($U54="","",S54-Q54-G54)</f>
        <v/>
      </c>
      <c r="U54" s="13">
        <f>IF(ROWS($U$2:$U54)&lt;=MAX('Per Line'!$Z$2:$Z$501),MATCH(ROWS($U$2:$U54),'Per Line'!$Z$2:$Z$501,0),"")</f>
        <v/>
      </c>
    </row>
    <row r="55">
      <c r="A55" s="12" t="n"/>
      <c r="B55">
        <f>IF($U55="","",INDEX('Per Line'!$A$2:$A$501,$U55)&amp;"")</f>
        <v/>
      </c>
      <c r="C55">
        <f>IF($U55="","",INDEX('Per Line'!$B$2:$B$501,$U55)&amp;"")</f>
        <v/>
      </c>
      <c r="D55">
        <f>IF($U55="","",INDEX('Per Line'!$C$2:$C$501,$U55)&amp;"")</f>
        <v/>
      </c>
      <c r="E55">
        <f>IF($U55="","",INDEX('Per Line'!$D$2:$D$501,$U55)&amp;"")</f>
        <v/>
      </c>
      <c r="F55">
        <f>IF($U55="","",INDEX('Per Line'!$E$2:$E$501,$U55))</f>
        <v/>
      </c>
      <c r="G55" s="7">
        <f>IF($U55="","",F55*S55/100)</f>
        <v/>
      </c>
      <c r="H55" s="11">
        <f>IF($U55="","",INDEX('Per Line'!$R$2:$R$501,$U55))</f>
        <v/>
      </c>
      <c r="I55">
        <f>IF($U55="","",INDEX('Per Line'!$Q$2:$Q$501,$U55)&amp;"")</f>
        <v/>
      </c>
      <c r="J55">
        <f>IF($U55="","",INDEX('Per Line'!$P$2:$P$501,$U55)&amp;"")</f>
        <v/>
      </c>
      <c r="K55">
        <f>IF($U55="","",Settings!$C$7)</f>
        <v/>
      </c>
      <c r="L55" s="7">
        <f>IF($U55="","",SUMIFS('Per Line'!$M$2:$M$501,'Per Line'!$A$2:$A$501,$B55,'Per Line'!$AA$2:$AA$501,0))</f>
        <v/>
      </c>
      <c r="M55" s="7">
        <f>IF($U55="","",L55*K55)</f>
        <v/>
      </c>
      <c r="N55">
        <f>IF($U55="","",Settings!$C$6)</f>
        <v/>
      </c>
      <c r="O55" s="7">
        <f>IF($U55="","",SUMIFS('Per Line'!$M$2:$M$501,'Per Line'!$A$2:$A$501,$B55,'Per Line'!$AA$2:$AA$501,1))</f>
        <v/>
      </c>
      <c r="P55" s="7">
        <f>IF($U55="","",O55*N55)</f>
        <v/>
      </c>
      <c r="Q55" s="7">
        <f>IF($U55="","",P55+M55)</f>
        <v/>
      </c>
      <c r="R55" s="7">
        <f>IF($U55="","",S55-Q55)</f>
        <v/>
      </c>
      <c r="S55" s="7">
        <f>IF($U55="","",L55+O55)</f>
        <v/>
      </c>
      <c r="T55" s="7">
        <f>IF($U55="","",S55-Q55-G55)</f>
        <v/>
      </c>
      <c r="U55" s="13">
        <f>IF(ROWS($U$2:$U55)&lt;=MAX('Per Line'!$Z$2:$Z$501),MATCH(ROWS($U$2:$U55),'Per Line'!$Z$2:$Z$501,0),"")</f>
        <v/>
      </c>
    </row>
    <row r="56">
      <c r="A56" s="12" t="n"/>
      <c r="B56">
        <f>IF($U56="","",INDEX('Per Line'!$A$2:$A$501,$U56)&amp;"")</f>
        <v/>
      </c>
      <c r="C56">
        <f>IF($U56="","",INDEX('Per Line'!$B$2:$B$501,$U56)&amp;"")</f>
        <v/>
      </c>
      <c r="D56">
        <f>IF($U56="","",INDEX('Per Line'!$C$2:$C$501,$U56)&amp;"")</f>
        <v/>
      </c>
      <c r="E56">
        <f>IF($U56="","",INDEX('Per Line'!$D$2:$D$501,$U56)&amp;"")</f>
        <v/>
      </c>
      <c r="F56">
        <f>IF($U56="","",INDEX('Per Line'!$E$2:$E$501,$U56))</f>
        <v/>
      </c>
      <c r="G56" s="7">
        <f>IF($U56="","",F56*S56/100)</f>
        <v/>
      </c>
      <c r="H56" s="11">
        <f>IF($U56="","",INDEX('Per Line'!$R$2:$R$501,$U56))</f>
        <v/>
      </c>
      <c r="I56">
        <f>IF($U56="","",INDEX('Per Line'!$Q$2:$Q$501,$U56)&amp;"")</f>
        <v/>
      </c>
      <c r="J56">
        <f>IF($U56="","",INDEX('Per Line'!$P$2:$P$501,$U56)&amp;"")</f>
        <v/>
      </c>
      <c r="K56">
        <f>IF($U56="","",Settings!$C$7)</f>
        <v/>
      </c>
      <c r="L56" s="7">
        <f>IF($U56="","",SUMIFS('Per Line'!$M$2:$M$501,'Per Line'!$A$2:$A$501,$B56,'Per Line'!$AA$2:$AA$501,0))</f>
        <v/>
      </c>
      <c r="M56" s="7">
        <f>IF($U56="","",L56*K56)</f>
        <v/>
      </c>
      <c r="N56">
        <f>IF($U56="","",Settings!$C$6)</f>
        <v/>
      </c>
      <c r="O56" s="7">
        <f>IF($U56="","",SUMIFS('Per Line'!$M$2:$M$501,'Per Line'!$A$2:$A$501,$B56,'Per Line'!$AA$2:$AA$501,1))</f>
        <v/>
      </c>
      <c r="P56" s="7">
        <f>IF($U56="","",O56*N56)</f>
        <v/>
      </c>
      <c r="Q56" s="7">
        <f>IF($U56="","",P56+M56)</f>
        <v/>
      </c>
      <c r="R56" s="7">
        <f>IF($U56="","",S56-Q56)</f>
        <v/>
      </c>
      <c r="S56" s="7">
        <f>IF($U56="","",L56+O56)</f>
        <v/>
      </c>
      <c r="T56" s="7">
        <f>IF($U56="","",S56-Q56-G56)</f>
        <v/>
      </c>
      <c r="U56" s="13">
        <f>IF(ROWS($U$2:$U56)&lt;=MAX('Per Line'!$Z$2:$Z$501),MATCH(ROWS($U$2:$U56),'Per Line'!$Z$2:$Z$501,0),"")</f>
        <v/>
      </c>
    </row>
    <row r="57">
      <c r="A57" s="12" t="n"/>
      <c r="B57">
        <f>IF($U57="","",INDEX('Per Line'!$A$2:$A$501,$U57)&amp;"")</f>
        <v/>
      </c>
      <c r="C57">
        <f>IF($U57="","",INDEX('Per Line'!$B$2:$B$501,$U57)&amp;"")</f>
        <v/>
      </c>
      <c r="D57">
        <f>IF($U57="","",INDEX('Per Line'!$C$2:$C$501,$U57)&amp;"")</f>
        <v/>
      </c>
      <c r="E57">
        <f>IF($U57="","",INDEX('Per Line'!$D$2:$D$501,$U57)&amp;"")</f>
        <v/>
      </c>
      <c r="F57">
        <f>IF($U57="","",INDEX('Per Line'!$E$2:$E$501,$U57))</f>
        <v/>
      </c>
      <c r="G57" s="7">
        <f>IF($U57="","",F57*S57/100)</f>
        <v/>
      </c>
      <c r="H57" s="11">
        <f>IF($U57="","",INDEX('Per Line'!$R$2:$R$501,$U57))</f>
        <v/>
      </c>
      <c r="I57">
        <f>IF($U57="","",INDEX('Per Line'!$Q$2:$Q$501,$U57)&amp;"")</f>
        <v/>
      </c>
      <c r="J57">
        <f>IF($U57="","",INDEX('Per Line'!$P$2:$P$501,$U57)&amp;"")</f>
        <v/>
      </c>
      <c r="K57">
        <f>IF($U57="","",Settings!$C$7)</f>
        <v/>
      </c>
      <c r="L57" s="7">
        <f>IF($U57="","",SUMIFS('Per Line'!$M$2:$M$501,'Per Line'!$A$2:$A$501,$B57,'Per Line'!$AA$2:$AA$501,0))</f>
        <v/>
      </c>
      <c r="M57" s="7">
        <f>IF($U57="","",L57*K57)</f>
        <v/>
      </c>
      <c r="N57">
        <f>IF($U57="","",Settings!$C$6)</f>
        <v/>
      </c>
      <c r="O57" s="7">
        <f>IF($U57="","",SUMIFS('Per Line'!$M$2:$M$501,'Per Line'!$A$2:$A$501,$B57,'Per Line'!$AA$2:$AA$501,1))</f>
        <v/>
      </c>
      <c r="P57" s="7">
        <f>IF($U57="","",O57*N57)</f>
        <v/>
      </c>
      <c r="Q57" s="7">
        <f>IF($U57="","",P57+M57)</f>
        <v/>
      </c>
      <c r="R57" s="7">
        <f>IF($U57="","",S57-Q57)</f>
        <v/>
      </c>
      <c r="S57" s="7">
        <f>IF($U57="","",L57+O57)</f>
        <v/>
      </c>
      <c r="T57" s="7">
        <f>IF($U57="","",S57-Q57-G57)</f>
        <v/>
      </c>
      <c r="U57" s="13">
        <f>IF(ROWS($U$2:$U57)&lt;=MAX('Per Line'!$Z$2:$Z$501),MATCH(ROWS($U$2:$U57),'Per Line'!$Z$2:$Z$501,0),"")</f>
        <v/>
      </c>
    </row>
    <row r="58">
      <c r="A58" s="12" t="n"/>
      <c r="B58">
        <f>IF($U58="","",INDEX('Per Line'!$A$2:$A$501,$U58)&amp;"")</f>
        <v/>
      </c>
      <c r="C58">
        <f>IF($U58="","",INDEX('Per Line'!$B$2:$B$501,$U58)&amp;"")</f>
        <v/>
      </c>
      <c r="D58">
        <f>IF($U58="","",INDEX('Per Line'!$C$2:$C$501,$U58)&amp;"")</f>
        <v/>
      </c>
      <c r="E58">
        <f>IF($U58="","",INDEX('Per Line'!$D$2:$D$501,$U58)&amp;"")</f>
        <v/>
      </c>
      <c r="F58">
        <f>IF($U58="","",INDEX('Per Line'!$E$2:$E$501,$U58))</f>
        <v/>
      </c>
      <c r="G58" s="7">
        <f>IF($U58="","",F58*S58/100)</f>
        <v/>
      </c>
      <c r="H58" s="11">
        <f>IF($U58="","",INDEX('Per Line'!$R$2:$R$501,$U58))</f>
        <v/>
      </c>
      <c r="I58">
        <f>IF($U58="","",INDEX('Per Line'!$Q$2:$Q$501,$U58)&amp;"")</f>
        <v/>
      </c>
      <c r="J58">
        <f>IF($U58="","",INDEX('Per Line'!$P$2:$P$501,$U58)&amp;"")</f>
        <v/>
      </c>
      <c r="K58">
        <f>IF($U58="","",Settings!$C$7)</f>
        <v/>
      </c>
      <c r="L58" s="7">
        <f>IF($U58="","",SUMIFS('Per Line'!$M$2:$M$501,'Per Line'!$A$2:$A$501,$B58,'Per Line'!$AA$2:$AA$501,0))</f>
        <v/>
      </c>
      <c r="M58" s="7">
        <f>IF($U58="","",L58*K58)</f>
        <v/>
      </c>
      <c r="N58">
        <f>IF($U58="","",Settings!$C$6)</f>
        <v/>
      </c>
      <c r="O58" s="7">
        <f>IF($U58="","",SUMIFS('Per Line'!$M$2:$M$501,'Per Line'!$A$2:$A$501,$B58,'Per Line'!$AA$2:$AA$501,1))</f>
        <v/>
      </c>
      <c r="P58" s="7">
        <f>IF($U58="","",O58*N58)</f>
        <v/>
      </c>
      <c r="Q58" s="7">
        <f>IF($U58="","",P58+M58)</f>
        <v/>
      </c>
      <c r="R58" s="7">
        <f>IF($U58="","",S58-Q58)</f>
        <v/>
      </c>
      <c r="S58" s="7">
        <f>IF($U58="","",L58+O58)</f>
        <v/>
      </c>
      <c r="T58" s="7">
        <f>IF($U58="","",S58-Q58-G58)</f>
        <v/>
      </c>
      <c r="U58" s="13">
        <f>IF(ROWS($U$2:$U58)&lt;=MAX('Per Line'!$Z$2:$Z$501),MATCH(ROWS($U$2:$U58),'Per Line'!$Z$2:$Z$501,0),"")</f>
        <v/>
      </c>
    </row>
    <row r="59">
      <c r="A59" s="12" t="n"/>
      <c r="B59">
        <f>IF($U59="","",INDEX('Per Line'!$A$2:$A$501,$U59)&amp;"")</f>
        <v/>
      </c>
      <c r="C59">
        <f>IF($U59="","",INDEX('Per Line'!$B$2:$B$501,$U59)&amp;"")</f>
        <v/>
      </c>
      <c r="D59">
        <f>IF($U59="","",INDEX('Per Line'!$C$2:$C$501,$U59)&amp;"")</f>
        <v/>
      </c>
      <c r="E59">
        <f>IF($U59="","",INDEX('Per Line'!$D$2:$D$501,$U59)&amp;"")</f>
        <v/>
      </c>
      <c r="F59">
        <f>IF($U59="","",INDEX('Per Line'!$E$2:$E$501,$U59))</f>
        <v/>
      </c>
      <c r="G59" s="7">
        <f>IF($U59="","",F59*S59/100)</f>
        <v/>
      </c>
      <c r="H59" s="11">
        <f>IF($U59="","",INDEX('Per Line'!$R$2:$R$501,$U59))</f>
        <v/>
      </c>
      <c r="I59">
        <f>IF($U59="","",INDEX('Per Line'!$Q$2:$Q$501,$U59)&amp;"")</f>
        <v/>
      </c>
      <c r="J59">
        <f>IF($U59="","",INDEX('Per Line'!$P$2:$P$501,$U59)&amp;"")</f>
        <v/>
      </c>
      <c r="K59">
        <f>IF($U59="","",Settings!$C$7)</f>
        <v/>
      </c>
      <c r="L59" s="7">
        <f>IF($U59="","",SUMIFS('Per Line'!$M$2:$M$501,'Per Line'!$A$2:$A$501,$B59,'Per Line'!$AA$2:$AA$501,0))</f>
        <v/>
      </c>
      <c r="M59" s="7">
        <f>IF($U59="","",L59*K59)</f>
        <v/>
      </c>
      <c r="N59">
        <f>IF($U59="","",Settings!$C$6)</f>
        <v/>
      </c>
      <c r="O59" s="7">
        <f>IF($U59="","",SUMIFS('Per Line'!$M$2:$M$501,'Per Line'!$A$2:$A$501,$B59,'Per Line'!$AA$2:$AA$501,1))</f>
        <v/>
      </c>
      <c r="P59" s="7">
        <f>IF($U59="","",O59*N59)</f>
        <v/>
      </c>
      <c r="Q59" s="7">
        <f>IF($U59="","",P59+M59)</f>
        <v/>
      </c>
      <c r="R59" s="7">
        <f>IF($U59="","",S59-Q59)</f>
        <v/>
      </c>
      <c r="S59" s="7">
        <f>IF($U59="","",L59+O59)</f>
        <v/>
      </c>
      <c r="T59" s="7">
        <f>IF($U59="","",S59-Q59-G59)</f>
        <v/>
      </c>
      <c r="U59" s="13">
        <f>IF(ROWS($U$2:$U59)&lt;=MAX('Per Line'!$Z$2:$Z$501),MATCH(ROWS($U$2:$U59),'Per Line'!$Z$2:$Z$501,0),"")</f>
        <v/>
      </c>
    </row>
    <row r="60">
      <c r="A60" s="12" t="n"/>
      <c r="B60">
        <f>IF($U60="","",INDEX('Per Line'!$A$2:$A$501,$U60)&amp;"")</f>
        <v/>
      </c>
      <c r="C60">
        <f>IF($U60="","",INDEX('Per Line'!$B$2:$B$501,$U60)&amp;"")</f>
        <v/>
      </c>
      <c r="D60">
        <f>IF($U60="","",INDEX('Per Line'!$C$2:$C$501,$U60)&amp;"")</f>
        <v/>
      </c>
      <c r="E60">
        <f>IF($U60="","",INDEX('Per Line'!$D$2:$D$501,$U60)&amp;"")</f>
        <v/>
      </c>
      <c r="F60">
        <f>IF($U60="","",INDEX('Per Line'!$E$2:$E$501,$U60))</f>
        <v/>
      </c>
      <c r="G60" s="7">
        <f>IF($U60="","",F60*S60/100)</f>
        <v/>
      </c>
      <c r="H60" s="11">
        <f>IF($U60="","",INDEX('Per Line'!$R$2:$R$501,$U60))</f>
        <v/>
      </c>
      <c r="I60">
        <f>IF($U60="","",INDEX('Per Line'!$Q$2:$Q$501,$U60)&amp;"")</f>
        <v/>
      </c>
      <c r="J60">
        <f>IF($U60="","",INDEX('Per Line'!$P$2:$P$501,$U60)&amp;"")</f>
        <v/>
      </c>
      <c r="K60">
        <f>IF($U60="","",Settings!$C$7)</f>
        <v/>
      </c>
      <c r="L60" s="7">
        <f>IF($U60="","",SUMIFS('Per Line'!$M$2:$M$501,'Per Line'!$A$2:$A$501,$B60,'Per Line'!$AA$2:$AA$501,0))</f>
        <v/>
      </c>
      <c r="M60" s="7">
        <f>IF($U60="","",L60*K60)</f>
        <v/>
      </c>
      <c r="N60">
        <f>IF($U60="","",Settings!$C$6)</f>
        <v/>
      </c>
      <c r="O60" s="7">
        <f>IF($U60="","",SUMIFS('Per Line'!$M$2:$M$501,'Per Line'!$A$2:$A$501,$B60,'Per Line'!$AA$2:$AA$501,1))</f>
        <v/>
      </c>
      <c r="P60" s="7">
        <f>IF($U60="","",O60*N60)</f>
        <v/>
      </c>
      <c r="Q60" s="7">
        <f>IF($U60="","",P60+M60)</f>
        <v/>
      </c>
      <c r="R60" s="7">
        <f>IF($U60="","",S60-Q60)</f>
        <v/>
      </c>
      <c r="S60" s="7">
        <f>IF($U60="","",L60+O60)</f>
        <v/>
      </c>
      <c r="T60" s="7">
        <f>IF($U60="","",S60-Q60-G60)</f>
        <v/>
      </c>
      <c r="U60" s="13">
        <f>IF(ROWS($U$2:$U60)&lt;=MAX('Per Line'!$Z$2:$Z$501),MATCH(ROWS($U$2:$U60),'Per Line'!$Z$2:$Z$501,0),"")</f>
        <v/>
      </c>
    </row>
    <row r="61">
      <c r="A61" s="12" t="n"/>
      <c r="B61">
        <f>IF($U61="","",INDEX('Per Line'!$A$2:$A$501,$U61)&amp;"")</f>
        <v/>
      </c>
      <c r="C61">
        <f>IF($U61="","",INDEX('Per Line'!$B$2:$B$501,$U61)&amp;"")</f>
        <v/>
      </c>
      <c r="D61">
        <f>IF($U61="","",INDEX('Per Line'!$C$2:$C$501,$U61)&amp;"")</f>
        <v/>
      </c>
      <c r="E61">
        <f>IF($U61="","",INDEX('Per Line'!$D$2:$D$501,$U61)&amp;"")</f>
        <v/>
      </c>
      <c r="F61">
        <f>IF($U61="","",INDEX('Per Line'!$E$2:$E$501,$U61))</f>
        <v/>
      </c>
      <c r="G61" s="7">
        <f>IF($U61="","",F61*S61/100)</f>
        <v/>
      </c>
      <c r="H61" s="11">
        <f>IF($U61="","",INDEX('Per Line'!$R$2:$R$501,$U61))</f>
        <v/>
      </c>
      <c r="I61">
        <f>IF($U61="","",INDEX('Per Line'!$Q$2:$Q$501,$U61)&amp;"")</f>
        <v/>
      </c>
      <c r="J61">
        <f>IF($U61="","",INDEX('Per Line'!$P$2:$P$501,$U61)&amp;"")</f>
        <v/>
      </c>
      <c r="K61">
        <f>IF($U61="","",Settings!$C$7)</f>
        <v/>
      </c>
      <c r="L61" s="7">
        <f>IF($U61="","",SUMIFS('Per Line'!$M$2:$M$501,'Per Line'!$A$2:$A$501,$B61,'Per Line'!$AA$2:$AA$501,0))</f>
        <v/>
      </c>
      <c r="M61" s="7">
        <f>IF($U61="","",L61*K61)</f>
        <v/>
      </c>
      <c r="N61">
        <f>IF($U61="","",Settings!$C$6)</f>
        <v/>
      </c>
      <c r="O61" s="7">
        <f>IF($U61="","",SUMIFS('Per Line'!$M$2:$M$501,'Per Line'!$A$2:$A$501,$B61,'Per Line'!$AA$2:$AA$501,1))</f>
        <v/>
      </c>
      <c r="P61" s="7">
        <f>IF($U61="","",O61*N61)</f>
        <v/>
      </c>
      <c r="Q61" s="7">
        <f>IF($U61="","",P61+M61)</f>
        <v/>
      </c>
      <c r="R61" s="7">
        <f>IF($U61="","",S61-Q61)</f>
        <v/>
      </c>
      <c r="S61" s="7">
        <f>IF($U61="","",L61+O61)</f>
        <v/>
      </c>
      <c r="T61" s="7">
        <f>IF($U61="","",S61-Q61-G61)</f>
        <v/>
      </c>
      <c r="U61" s="13">
        <f>IF(ROWS($U$2:$U61)&lt;=MAX('Per Line'!$Z$2:$Z$501),MATCH(ROWS($U$2:$U61),'Per Line'!$Z$2:$Z$501,0),"")</f>
        <v/>
      </c>
    </row>
    <row r="62">
      <c r="A62" s="12" t="n"/>
      <c r="B62">
        <f>IF($U62="","",INDEX('Per Line'!$A$2:$A$501,$U62)&amp;"")</f>
        <v/>
      </c>
      <c r="C62">
        <f>IF($U62="","",INDEX('Per Line'!$B$2:$B$501,$U62)&amp;"")</f>
        <v/>
      </c>
      <c r="D62">
        <f>IF($U62="","",INDEX('Per Line'!$C$2:$C$501,$U62)&amp;"")</f>
        <v/>
      </c>
      <c r="E62">
        <f>IF($U62="","",INDEX('Per Line'!$D$2:$D$501,$U62)&amp;"")</f>
        <v/>
      </c>
      <c r="F62">
        <f>IF($U62="","",INDEX('Per Line'!$E$2:$E$501,$U62))</f>
        <v/>
      </c>
      <c r="G62" s="7">
        <f>IF($U62="","",F62*S62/100)</f>
        <v/>
      </c>
      <c r="H62" s="11">
        <f>IF($U62="","",INDEX('Per Line'!$R$2:$R$501,$U62))</f>
        <v/>
      </c>
      <c r="I62">
        <f>IF($U62="","",INDEX('Per Line'!$Q$2:$Q$501,$U62)&amp;"")</f>
        <v/>
      </c>
      <c r="J62">
        <f>IF($U62="","",INDEX('Per Line'!$P$2:$P$501,$U62)&amp;"")</f>
        <v/>
      </c>
      <c r="K62">
        <f>IF($U62="","",Settings!$C$7)</f>
        <v/>
      </c>
      <c r="L62" s="7">
        <f>IF($U62="","",SUMIFS('Per Line'!$M$2:$M$501,'Per Line'!$A$2:$A$501,$B62,'Per Line'!$AA$2:$AA$501,0))</f>
        <v/>
      </c>
      <c r="M62" s="7">
        <f>IF($U62="","",L62*K62)</f>
        <v/>
      </c>
      <c r="N62">
        <f>IF($U62="","",Settings!$C$6)</f>
        <v/>
      </c>
      <c r="O62" s="7">
        <f>IF($U62="","",SUMIFS('Per Line'!$M$2:$M$501,'Per Line'!$A$2:$A$501,$B62,'Per Line'!$AA$2:$AA$501,1))</f>
        <v/>
      </c>
      <c r="P62" s="7">
        <f>IF($U62="","",O62*N62)</f>
        <v/>
      </c>
      <c r="Q62" s="7">
        <f>IF($U62="","",P62+M62)</f>
        <v/>
      </c>
      <c r="R62" s="7">
        <f>IF($U62="","",S62-Q62)</f>
        <v/>
      </c>
      <c r="S62" s="7">
        <f>IF($U62="","",L62+O62)</f>
        <v/>
      </c>
      <c r="T62" s="7">
        <f>IF($U62="","",S62-Q62-G62)</f>
        <v/>
      </c>
      <c r="U62" s="13">
        <f>IF(ROWS($U$2:$U62)&lt;=MAX('Per Line'!$Z$2:$Z$501),MATCH(ROWS($U$2:$U62),'Per Line'!$Z$2:$Z$501,0),"")</f>
        <v/>
      </c>
    </row>
    <row r="63">
      <c r="A63" s="12" t="n"/>
      <c r="B63">
        <f>IF($U63="","",INDEX('Per Line'!$A$2:$A$501,$U63)&amp;"")</f>
        <v/>
      </c>
      <c r="C63">
        <f>IF($U63="","",INDEX('Per Line'!$B$2:$B$501,$U63)&amp;"")</f>
        <v/>
      </c>
      <c r="D63">
        <f>IF($U63="","",INDEX('Per Line'!$C$2:$C$501,$U63)&amp;"")</f>
        <v/>
      </c>
      <c r="E63">
        <f>IF($U63="","",INDEX('Per Line'!$D$2:$D$501,$U63)&amp;"")</f>
        <v/>
      </c>
      <c r="F63">
        <f>IF($U63="","",INDEX('Per Line'!$E$2:$E$501,$U63))</f>
        <v/>
      </c>
      <c r="G63" s="7">
        <f>IF($U63="","",F63*S63/100)</f>
        <v/>
      </c>
      <c r="H63" s="11">
        <f>IF($U63="","",INDEX('Per Line'!$R$2:$R$501,$U63))</f>
        <v/>
      </c>
      <c r="I63">
        <f>IF($U63="","",INDEX('Per Line'!$Q$2:$Q$501,$U63)&amp;"")</f>
        <v/>
      </c>
      <c r="J63">
        <f>IF($U63="","",INDEX('Per Line'!$P$2:$P$501,$U63)&amp;"")</f>
        <v/>
      </c>
      <c r="K63">
        <f>IF($U63="","",Settings!$C$7)</f>
        <v/>
      </c>
      <c r="L63" s="7">
        <f>IF($U63="","",SUMIFS('Per Line'!$M$2:$M$501,'Per Line'!$A$2:$A$501,$B63,'Per Line'!$AA$2:$AA$501,0))</f>
        <v/>
      </c>
      <c r="M63" s="7">
        <f>IF($U63="","",L63*K63)</f>
        <v/>
      </c>
      <c r="N63">
        <f>IF($U63="","",Settings!$C$6)</f>
        <v/>
      </c>
      <c r="O63" s="7">
        <f>IF($U63="","",SUMIFS('Per Line'!$M$2:$M$501,'Per Line'!$A$2:$A$501,$B63,'Per Line'!$AA$2:$AA$501,1))</f>
        <v/>
      </c>
      <c r="P63" s="7">
        <f>IF($U63="","",O63*N63)</f>
        <v/>
      </c>
      <c r="Q63" s="7">
        <f>IF($U63="","",P63+M63)</f>
        <v/>
      </c>
      <c r="R63" s="7">
        <f>IF($U63="","",S63-Q63)</f>
        <v/>
      </c>
      <c r="S63" s="7">
        <f>IF($U63="","",L63+O63)</f>
        <v/>
      </c>
      <c r="T63" s="7">
        <f>IF($U63="","",S63-Q63-G63)</f>
        <v/>
      </c>
      <c r="U63" s="13">
        <f>IF(ROWS($U$2:$U63)&lt;=MAX('Per Line'!$Z$2:$Z$501),MATCH(ROWS($U$2:$U63),'Per Line'!$Z$2:$Z$501,0),"")</f>
        <v/>
      </c>
    </row>
    <row r="64">
      <c r="A64" s="12" t="n"/>
      <c r="B64">
        <f>IF($U64="","",INDEX('Per Line'!$A$2:$A$501,$U64)&amp;"")</f>
        <v/>
      </c>
      <c r="C64">
        <f>IF($U64="","",INDEX('Per Line'!$B$2:$B$501,$U64)&amp;"")</f>
        <v/>
      </c>
      <c r="D64">
        <f>IF($U64="","",INDEX('Per Line'!$C$2:$C$501,$U64)&amp;"")</f>
        <v/>
      </c>
      <c r="E64">
        <f>IF($U64="","",INDEX('Per Line'!$D$2:$D$501,$U64)&amp;"")</f>
        <v/>
      </c>
      <c r="F64">
        <f>IF($U64="","",INDEX('Per Line'!$E$2:$E$501,$U64))</f>
        <v/>
      </c>
      <c r="G64" s="7">
        <f>IF($U64="","",F64*S64/100)</f>
        <v/>
      </c>
      <c r="H64" s="11">
        <f>IF($U64="","",INDEX('Per Line'!$R$2:$R$501,$U64))</f>
        <v/>
      </c>
      <c r="I64">
        <f>IF($U64="","",INDEX('Per Line'!$Q$2:$Q$501,$U64)&amp;"")</f>
        <v/>
      </c>
      <c r="J64">
        <f>IF($U64="","",INDEX('Per Line'!$P$2:$P$501,$U64)&amp;"")</f>
        <v/>
      </c>
      <c r="K64">
        <f>IF($U64="","",Settings!$C$7)</f>
        <v/>
      </c>
      <c r="L64" s="7">
        <f>IF($U64="","",SUMIFS('Per Line'!$M$2:$M$501,'Per Line'!$A$2:$A$501,$B64,'Per Line'!$AA$2:$AA$501,0))</f>
        <v/>
      </c>
      <c r="M64" s="7">
        <f>IF($U64="","",L64*K64)</f>
        <v/>
      </c>
      <c r="N64">
        <f>IF($U64="","",Settings!$C$6)</f>
        <v/>
      </c>
      <c r="O64" s="7">
        <f>IF($U64="","",SUMIFS('Per Line'!$M$2:$M$501,'Per Line'!$A$2:$A$501,$B64,'Per Line'!$AA$2:$AA$501,1))</f>
        <v/>
      </c>
      <c r="P64" s="7">
        <f>IF($U64="","",O64*N64)</f>
        <v/>
      </c>
      <c r="Q64" s="7">
        <f>IF($U64="","",P64+M64)</f>
        <v/>
      </c>
      <c r="R64" s="7">
        <f>IF($U64="","",S64-Q64)</f>
        <v/>
      </c>
      <c r="S64" s="7">
        <f>IF($U64="","",L64+O64)</f>
        <v/>
      </c>
      <c r="T64" s="7">
        <f>IF($U64="","",S64-Q64-G64)</f>
        <v/>
      </c>
      <c r="U64" s="13">
        <f>IF(ROWS($U$2:$U64)&lt;=MAX('Per Line'!$Z$2:$Z$501),MATCH(ROWS($U$2:$U64),'Per Line'!$Z$2:$Z$501,0),"")</f>
        <v/>
      </c>
    </row>
    <row r="65">
      <c r="A65" s="12" t="n"/>
      <c r="B65">
        <f>IF($U65="","",INDEX('Per Line'!$A$2:$A$501,$U65)&amp;"")</f>
        <v/>
      </c>
      <c r="C65">
        <f>IF($U65="","",INDEX('Per Line'!$B$2:$B$501,$U65)&amp;"")</f>
        <v/>
      </c>
      <c r="D65">
        <f>IF($U65="","",INDEX('Per Line'!$C$2:$C$501,$U65)&amp;"")</f>
        <v/>
      </c>
      <c r="E65">
        <f>IF($U65="","",INDEX('Per Line'!$D$2:$D$501,$U65)&amp;"")</f>
        <v/>
      </c>
      <c r="F65">
        <f>IF($U65="","",INDEX('Per Line'!$E$2:$E$501,$U65))</f>
        <v/>
      </c>
      <c r="G65" s="7">
        <f>IF($U65="","",F65*S65/100)</f>
        <v/>
      </c>
      <c r="H65" s="11">
        <f>IF($U65="","",INDEX('Per Line'!$R$2:$R$501,$U65))</f>
        <v/>
      </c>
      <c r="I65">
        <f>IF($U65="","",INDEX('Per Line'!$Q$2:$Q$501,$U65)&amp;"")</f>
        <v/>
      </c>
      <c r="J65">
        <f>IF($U65="","",INDEX('Per Line'!$P$2:$P$501,$U65)&amp;"")</f>
        <v/>
      </c>
      <c r="K65">
        <f>IF($U65="","",Settings!$C$7)</f>
        <v/>
      </c>
      <c r="L65" s="7">
        <f>IF($U65="","",SUMIFS('Per Line'!$M$2:$M$501,'Per Line'!$A$2:$A$501,$B65,'Per Line'!$AA$2:$AA$501,0))</f>
        <v/>
      </c>
      <c r="M65" s="7">
        <f>IF($U65="","",L65*K65)</f>
        <v/>
      </c>
      <c r="N65">
        <f>IF($U65="","",Settings!$C$6)</f>
        <v/>
      </c>
      <c r="O65" s="7">
        <f>IF($U65="","",SUMIFS('Per Line'!$M$2:$M$501,'Per Line'!$A$2:$A$501,$B65,'Per Line'!$AA$2:$AA$501,1))</f>
        <v/>
      </c>
      <c r="P65" s="7">
        <f>IF($U65="","",O65*N65)</f>
        <v/>
      </c>
      <c r="Q65" s="7">
        <f>IF($U65="","",P65+M65)</f>
        <v/>
      </c>
      <c r="R65" s="7">
        <f>IF($U65="","",S65-Q65)</f>
        <v/>
      </c>
      <c r="S65" s="7">
        <f>IF($U65="","",L65+O65)</f>
        <v/>
      </c>
      <c r="T65" s="7">
        <f>IF($U65="","",S65-Q65-G65)</f>
        <v/>
      </c>
      <c r="U65" s="13">
        <f>IF(ROWS($U$2:$U65)&lt;=MAX('Per Line'!$Z$2:$Z$501),MATCH(ROWS($U$2:$U65),'Per Line'!$Z$2:$Z$501,0),"")</f>
        <v/>
      </c>
    </row>
    <row r="66">
      <c r="A66" s="12" t="n"/>
      <c r="B66">
        <f>IF($U66="","",INDEX('Per Line'!$A$2:$A$501,$U66)&amp;"")</f>
        <v/>
      </c>
      <c r="C66">
        <f>IF($U66="","",INDEX('Per Line'!$B$2:$B$501,$U66)&amp;"")</f>
        <v/>
      </c>
      <c r="D66">
        <f>IF($U66="","",INDEX('Per Line'!$C$2:$C$501,$U66)&amp;"")</f>
        <v/>
      </c>
      <c r="E66">
        <f>IF($U66="","",INDEX('Per Line'!$D$2:$D$501,$U66)&amp;"")</f>
        <v/>
      </c>
      <c r="F66">
        <f>IF($U66="","",INDEX('Per Line'!$E$2:$E$501,$U66))</f>
        <v/>
      </c>
      <c r="G66" s="7">
        <f>IF($U66="","",F66*S66/100)</f>
        <v/>
      </c>
      <c r="H66" s="11">
        <f>IF($U66="","",INDEX('Per Line'!$R$2:$R$501,$U66))</f>
        <v/>
      </c>
      <c r="I66">
        <f>IF($U66="","",INDEX('Per Line'!$Q$2:$Q$501,$U66)&amp;"")</f>
        <v/>
      </c>
      <c r="J66">
        <f>IF($U66="","",INDEX('Per Line'!$P$2:$P$501,$U66)&amp;"")</f>
        <v/>
      </c>
      <c r="K66">
        <f>IF($U66="","",Settings!$C$7)</f>
        <v/>
      </c>
      <c r="L66" s="7">
        <f>IF($U66="","",SUMIFS('Per Line'!$M$2:$M$501,'Per Line'!$A$2:$A$501,$B66,'Per Line'!$AA$2:$AA$501,0))</f>
        <v/>
      </c>
      <c r="M66" s="7">
        <f>IF($U66="","",L66*K66)</f>
        <v/>
      </c>
      <c r="N66">
        <f>IF($U66="","",Settings!$C$6)</f>
        <v/>
      </c>
      <c r="O66" s="7">
        <f>IF($U66="","",SUMIFS('Per Line'!$M$2:$M$501,'Per Line'!$A$2:$A$501,$B66,'Per Line'!$AA$2:$AA$501,1))</f>
        <v/>
      </c>
      <c r="P66" s="7">
        <f>IF($U66="","",O66*N66)</f>
        <v/>
      </c>
      <c r="Q66" s="7">
        <f>IF($U66="","",P66+M66)</f>
        <v/>
      </c>
      <c r="R66" s="7">
        <f>IF($U66="","",S66-Q66)</f>
        <v/>
      </c>
      <c r="S66" s="7">
        <f>IF($U66="","",L66+O66)</f>
        <v/>
      </c>
      <c r="T66" s="7">
        <f>IF($U66="","",S66-Q66-G66)</f>
        <v/>
      </c>
      <c r="U66" s="13">
        <f>IF(ROWS($U$2:$U66)&lt;=MAX('Per Line'!$Z$2:$Z$501),MATCH(ROWS($U$2:$U66),'Per Line'!$Z$2:$Z$501,0),"")</f>
        <v/>
      </c>
    </row>
    <row r="67">
      <c r="A67" s="12" t="n"/>
      <c r="B67">
        <f>IF($U67="","",INDEX('Per Line'!$A$2:$A$501,$U67)&amp;"")</f>
        <v/>
      </c>
      <c r="C67">
        <f>IF($U67="","",INDEX('Per Line'!$B$2:$B$501,$U67)&amp;"")</f>
        <v/>
      </c>
      <c r="D67">
        <f>IF($U67="","",INDEX('Per Line'!$C$2:$C$501,$U67)&amp;"")</f>
        <v/>
      </c>
      <c r="E67">
        <f>IF($U67="","",INDEX('Per Line'!$D$2:$D$501,$U67)&amp;"")</f>
        <v/>
      </c>
      <c r="F67">
        <f>IF($U67="","",INDEX('Per Line'!$E$2:$E$501,$U67))</f>
        <v/>
      </c>
      <c r="G67" s="7">
        <f>IF($U67="","",F67*S67/100)</f>
        <v/>
      </c>
      <c r="H67" s="11">
        <f>IF($U67="","",INDEX('Per Line'!$R$2:$R$501,$U67))</f>
        <v/>
      </c>
      <c r="I67">
        <f>IF($U67="","",INDEX('Per Line'!$Q$2:$Q$501,$U67)&amp;"")</f>
        <v/>
      </c>
      <c r="J67">
        <f>IF($U67="","",INDEX('Per Line'!$P$2:$P$501,$U67)&amp;"")</f>
        <v/>
      </c>
      <c r="K67">
        <f>IF($U67="","",Settings!$C$7)</f>
        <v/>
      </c>
      <c r="L67" s="7">
        <f>IF($U67="","",SUMIFS('Per Line'!$M$2:$M$501,'Per Line'!$A$2:$A$501,$B67,'Per Line'!$AA$2:$AA$501,0))</f>
        <v/>
      </c>
      <c r="M67" s="7">
        <f>IF($U67="","",L67*K67)</f>
        <v/>
      </c>
      <c r="N67">
        <f>IF($U67="","",Settings!$C$6)</f>
        <v/>
      </c>
      <c r="O67" s="7">
        <f>IF($U67="","",SUMIFS('Per Line'!$M$2:$M$501,'Per Line'!$A$2:$A$501,$B67,'Per Line'!$AA$2:$AA$501,1))</f>
        <v/>
      </c>
      <c r="P67" s="7">
        <f>IF($U67="","",O67*N67)</f>
        <v/>
      </c>
      <c r="Q67" s="7">
        <f>IF($U67="","",P67+M67)</f>
        <v/>
      </c>
      <c r="R67" s="7">
        <f>IF($U67="","",S67-Q67)</f>
        <v/>
      </c>
      <c r="S67" s="7">
        <f>IF($U67="","",L67+O67)</f>
        <v/>
      </c>
      <c r="T67" s="7">
        <f>IF($U67="","",S67-Q67-G67)</f>
        <v/>
      </c>
      <c r="U67" s="13">
        <f>IF(ROWS($U$2:$U67)&lt;=MAX('Per Line'!$Z$2:$Z$501),MATCH(ROWS($U$2:$U67),'Per Line'!$Z$2:$Z$501,0),"")</f>
        <v/>
      </c>
    </row>
    <row r="68">
      <c r="A68" s="12" t="n"/>
      <c r="B68">
        <f>IF($U68="","",INDEX('Per Line'!$A$2:$A$501,$U68)&amp;"")</f>
        <v/>
      </c>
      <c r="C68">
        <f>IF($U68="","",INDEX('Per Line'!$B$2:$B$501,$U68)&amp;"")</f>
        <v/>
      </c>
      <c r="D68">
        <f>IF($U68="","",INDEX('Per Line'!$C$2:$C$501,$U68)&amp;"")</f>
        <v/>
      </c>
      <c r="E68">
        <f>IF($U68="","",INDEX('Per Line'!$D$2:$D$501,$U68)&amp;"")</f>
        <v/>
      </c>
      <c r="F68">
        <f>IF($U68="","",INDEX('Per Line'!$E$2:$E$501,$U68))</f>
        <v/>
      </c>
      <c r="G68" s="7">
        <f>IF($U68="","",F68*S68/100)</f>
        <v/>
      </c>
      <c r="H68" s="11">
        <f>IF($U68="","",INDEX('Per Line'!$R$2:$R$501,$U68))</f>
        <v/>
      </c>
      <c r="I68">
        <f>IF($U68="","",INDEX('Per Line'!$Q$2:$Q$501,$U68)&amp;"")</f>
        <v/>
      </c>
      <c r="J68">
        <f>IF($U68="","",INDEX('Per Line'!$P$2:$P$501,$U68)&amp;"")</f>
        <v/>
      </c>
      <c r="K68">
        <f>IF($U68="","",Settings!$C$7)</f>
        <v/>
      </c>
      <c r="L68" s="7">
        <f>IF($U68="","",SUMIFS('Per Line'!$M$2:$M$501,'Per Line'!$A$2:$A$501,$B68,'Per Line'!$AA$2:$AA$501,0))</f>
        <v/>
      </c>
      <c r="M68" s="7">
        <f>IF($U68="","",L68*K68)</f>
        <v/>
      </c>
      <c r="N68">
        <f>IF($U68="","",Settings!$C$6)</f>
        <v/>
      </c>
      <c r="O68" s="7">
        <f>IF($U68="","",SUMIFS('Per Line'!$M$2:$M$501,'Per Line'!$A$2:$A$501,$B68,'Per Line'!$AA$2:$AA$501,1))</f>
        <v/>
      </c>
      <c r="P68" s="7">
        <f>IF($U68="","",O68*N68)</f>
        <v/>
      </c>
      <c r="Q68" s="7">
        <f>IF($U68="","",P68+M68)</f>
        <v/>
      </c>
      <c r="R68" s="7">
        <f>IF($U68="","",S68-Q68)</f>
        <v/>
      </c>
      <c r="S68" s="7">
        <f>IF($U68="","",L68+O68)</f>
        <v/>
      </c>
      <c r="T68" s="7">
        <f>IF($U68="","",S68-Q68-G68)</f>
        <v/>
      </c>
      <c r="U68" s="13">
        <f>IF(ROWS($U$2:$U68)&lt;=MAX('Per Line'!$Z$2:$Z$501),MATCH(ROWS($U$2:$U68),'Per Line'!$Z$2:$Z$501,0),"")</f>
        <v/>
      </c>
    </row>
    <row r="69">
      <c r="A69" s="12" t="n"/>
      <c r="B69">
        <f>IF($U69="","",INDEX('Per Line'!$A$2:$A$501,$U69)&amp;"")</f>
        <v/>
      </c>
      <c r="C69">
        <f>IF($U69="","",INDEX('Per Line'!$B$2:$B$501,$U69)&amp;"")</f>
        <v/>
      </c>
      <c r="D69">
        <f>IF($U69="","",INDEX('Per Line'!$C$2:$C$501,$U69)&amp;"")</f>
        <v/>
      </c>
      <c r="E69">
        <f>IF($U69="","",INDEX('Per Line'!$D$2:$D$501,$U69)&amp;"")</f>
        <v/>
      </c>
      <c r="F69">
        <f>IF($U69="","",INDEX('Per Line'!$E$2:$E$501,$U69))</f>
        <v/>
      </c>
      <c r="G69" s="7">
        <f>IF($U69="","",F69*S69/100)</f>
        <v/>
      </c>
      <c r="H69" s="11">
        <f>IF($U69="","",INDEX('Per Line'!$R$2:$R$501,$U69))</f>
        <v/>
      </c>
      <c r="I69">
        <f>IF($U69="","",INDEX('Per Line'!$Q$2:$Q$501,$U69)&amp;"")</f>
        <v/>
      </c>
      <c r="J69">
        <f>IF($U69="","",INDEX('Per Line'!$P$2:$P$501,$U69)&amp;"")</f>
        <v/>
      </c>
      <c r="K69">
        <f>IF($U69="","",Settings!$C$7)</f>
        <v/>
      </c>
      <c r="L69" s="7">
        <f>IF($U69="","",SUMIFS('Per Line'!$M$2:$M$501,'Per Line'!$A$2:$A$501,$B69,'Per Line'!$AA$2:$AA$501,0))</f>
        <v/>
      </c>
      <c r="M69" s="7">
        <f>IF($U69="","",L69*K69)</f>
        <v/>
      </c>
      <c r="N69">
        <f>IF($U69="","",Settings!$C$6)</f>
        <v/>
      </c>
      <c r="O69" s="7">
        <f>IF($U69="","",SUMIFS('Per Line'!$M$2:$M$501,'Per Line'!$A$2:$A$501,$B69,'Per Line'!$AA$2:$AA$501,1))</f>
        <v/>
      </c>
      <c r="P69" s="7">
        <f>IF($U69="","",O69*N69)</f>
        <v/>
      </c>
      <c r="Q69" s="7">
        <f>IF($U69="","",P69+M69)</f>
        <v/>
      </c>
      <c r="R69" s="7">
        <f>IF($U69="","",S69-Q69)</f>
        <v/>
      </c>
      <c r="S69" s="7">
        <f>IF($U69="","",L69+O69)</f>
        <v/>
      </c>
      <c r="T69" s="7">
        <f>IF($U69="","",S69-Q69-G69)</f>
        <v/>
      </c>
      <c r="U69" s="13">
        <f>IF(ROWS($U$2:$U69)&lt;=MAX('Per Line'!$Z$2:$Z$501),MATCH(ROWS($U$2:$U69),'Per Line'!$Z$2:$Z$501,0),"")</f>
        <v/>
      </c>
    </row>
    <row r="70">
      <c r="A70" s="12" t="n"/>
      <c r="B70">
        <f>IF($U70="","",INDEX('Per Line'!$A$2:$A$501,$U70)&amp;"")</f>
        <v/>
      </c>
      <c r="C70">
        <f>IF($U70="","",INDEX('Per Line'!$B$2:$B$501,$U70)&amp;"")</f>
        <v/>
      </c>
      <c r="D70">
        <f>IF($U70="","",INDEX('Per Line'!$C$2:$C$501,$U70)&amp;"")</f>
        <v/>
      </c>
      <c r="E70">
        <f>IF($U70="","",INDEX('Per Line'!$D$2:$D$501,$U70)&amp;"")</f>
        <v/>
      </c>
      <c r="F70">
        <f>IF($U70="","",INDEX('Per Line'!$E$2:$E$501,$U70))</f>
        <v/>
      </c>
      <c r="G70" s="7">
        <f>IF($U70="","",F70*S70/100)</f>
        <v/>
      </c>
      <c r="H70" s="11">
        <f>IF($U70="","",INDEX('Per Line'!$R$2:$R$501,$U70))</f>
        <v/>
      </c>
      <c r="I70">
        <f>IF($U70="","",INDEX('Per Line'!$Q$2:$Q$501,$U70)&amp;"")</f>
        <v/>
      </c>
      <c r="J70">
        <f>IF($U70="","",INDEX('Per Line'!$P$2:$P$501,$U70)&amp;"")</f>
        <v/>
      </c>
      <c r="K70">
        <f>IF($U70="","",Settings!$C$7)</f>
        <v/>
      </c>
      <c r="L70" s="7">
        <f>IF($U70="","",SUMIFS('Per Line'!$M$2:$M$501,'Per Line'!$A$2:$A$501,$B70,'Per Line'!$AA$2:$AA$501,0))</f>
        <v/>
      </c>
      <c r="M70" s="7">
        <f>IF($U70="","",L70*K70)</f>
        <v/>
      </c>
      <c r="N70">
        <f>IF($U70="","",Settings!$C$6)</f>
        <v/>
      </c>
      <c r="O70" s="7">
        <f>IF($U70="","",SUMIFS('Per Line'!$M$2:$M$501,'Per Line'!$A$2:$A$501,$B70,'Per Line'!$AA$2:$AA$501,1))</f>
        <v/>
      </c>
      <c r="P70" s="7">
        <f>IF($U70="","",O70*N70)</f>
        <v/>
      </c>
      <c r="Q70" s="7">
        <f>IF($U70="","",P70+M70)</f>
        <v/>
      </c>
      <c r="R70" s="7">
        <f>IF($U70="","",S70-Q70)</f>
        <v/>
      </c>
      <c r="S70" s="7">
        <f>IF($U70="","",L70+O70)</f>
        <v/>
      </c>
      <c r="T70" s="7">
        <f>IF($U70="","",S70-Q70-G70)</f>
        <v/>
      </c>
      <c r="U70" s="13">
        <f>IF(ROWS($U$2:$U70)&lt;=MAX('Per Line'!$Z$2:$Z$501),MATCH(ROWS($U$2:$U70),'Per Line'!$Z$2:$Z$501,0),"")</f>
        <v/>
      </c>
    </row>
    <row r="71">
      <c r="A71" s="12" t="n"/>
      <c r="B71">
        <f>IF($U71="","",INDEX('Per Line'!$A$2:$A$501,$U71)&amp;"")</f>
        <v/>
      </c>
      <c r="C71">
        <f>IF($U71="","",INDEX('Per Line'!$B$2:$B$501,$U71)&amp;"")</f>
        <v/>
      </c>
      <c r="D71">
        <f>IF($U71="","",INDEX('Per Line'!$C$2:$C$501,$U71)&amp;"")</f>
        <v/>
      </c>
      <c r="E71">
        <f>IF($U71="","",INDEX('Per Line'!$D$2:$D$501,$U71)&amp;"")</f>
        <v/>
      </c>
      <c r="F71">
        <f>IF($U71="","",INDEX('Per Line'!$E$2:$E$501,$U71))</f>
        <v/>
      </c>
      <c r="G71" s="7">
        <f>IF($U71="","",F71*S71/100)</f>
        <v/>
      </c>
      <c r="H71" s="11">
        <f>IF($U71="","",INDEX('Per Line'!$R$2:$R$501,$U71))</f>
        <v/>
      </c>
      <c r="I71">
        <f>IF($U71="","",INDEX('Per Line'!$Q$2:$Q$501,$U71)&amp;"")</f>
        <v/>
      </c>
      <c r="J71">
        <f>IF($U71="","",INDEX('Per Line'!$P$2:$P$501,$U71)&amp;"")</f>
        <v/>
      </c>
      <c r="K71">
        <f>IF($U71="","",Settings!$C$7)</f>
        <v/>
      </c>
      <c r="L71" s="7">
        <f>IF($U71="","",SUMIFS('Per Line'!$M$2:$M$501,'Per Line'!$A$2:$A$501,$B71,'Per Line'!$AA$2:$AA$501,0))</f>
        <v/>
      </c>
      <c r="M71" s="7">
        <f>IF($U71="","",L71*K71)</f>
        <v/>
      </c>
      <c r="N71">
        <f>IF($U71="","",Settings!$C$6)</f>
        <v/>
      </c>
      <c r="O71" s="7">
        <f>IF($U71="","",SUMIFS('Per Line'!$M$2:$M$501,'Per Line'!$A$2:$A$501,$B71,'Per Line'!$AA$2:$AA$501,1))</f>
        <v/>
      </c>
      <c r="P71" s="7">
        <f>IF($U71="","",O71*N71)</f>
        <v/>
      </c>
      <c r="Q71" s="7">
        <f>IF($U71="","",P71+M71)</f>
        <v/>
      </c>
      <c r="R71" s="7">
        <f>IF($U71="","",S71-Q71)</f>
        <v/>
      </c>
      <c r="S71" s="7">
        <f>IF($U71="","",L71+O71)</f>
        <v/>
      </c>
      <c r="T71" s="7">
        <f>IF($U71="","",S71-Q71-G71)</f>
        <v/>
      </c>
      <c r="U71" s="13">
        <f>IF(ROWS($U$2:$U71)&lt;=MAX('Per Line'!$Z$2:$Z$501),MATCH(ROWS($U$2:$U71),'Per Line'!$Z$2:$Z$501,0),"")</f>
        <v/>
      </c>
    </row>
    <row r="72">
      <c r="A72" s="12" t="n"/>
      <c r="B72">
        <f>IF($U72="","",INDEX('Per Line'!$A$2:$A$501,$U72)&amp;"")</f>
        <v/>
      </c>
      <c r="C72">
        <f>IF($U72="","",INDEX('Per Line'!$B$2:$B$501,$U72)&amp;"")</f>
        <v/>
      </c>
      <c r="D72">
        <f>IF($U72="","",INDEX('Per Line'!$C$2:$C$501,$U72)&amp;"")</f>
        <v/>
      </c>
      <c r="E72">
        <f>IF($U72="","",INDEX('Per Line'!$D$2:$D$501,$U72)&amp;"")</f>
        <v/>
      </c>
      <c r="F72">
        <f>IF($U72="","",INDEX('Per Line'!$E$2:$E$501,$U72))</f>
        <v/>
      </c>
      <c r="G72" s="7">
        <f>IF($U72="","",F72*S72/100)</f>
        <v/>
      </c>
      <c r="H72" s="11">
        <f>IF($U72="","",INDEX('Per Line'!$R$2:$R$501,$U72))</f>
        <v/>
      </c>
      <c r="I72">
        <f>IF($U72="","",INDEX('Per Line'!$Q$2:$Q$501,$U72)&amp;"")</f>
        <v/>
      </c>
      <c r="J72">
        <f>IF($U72="","",INDEX('Per Line'!$P$2:$P$501,$U72)&amp;"")</f>
        <v/>
      </c>
      <c r="K72">
        <f>IF($U72="","",Settings!$C$7)</f>
        <v/>
      </c>
      <c r="L72" s="7">
        <f>IF($U72="","",SUMIFS('Per Line'!$M$2:$M$501,'Per Line'!$A$2:$A$501,$B72,'Per Line'!$AA$2:$AA$501,0))</f>
        <v/>
      </c>
      <c r="M72" s="7">
        <f>IF($U72="","",L72*K72)</f>
        <v/>
      </c>
      <c r="N72">
        <f>IF($U72="","",Settings!$C$6)</f>
        <v/>
      </c>
      <c r="O72" s="7">
        <f>IF($U72="","",SUMIFS('Per Line'!$M$2:$M$501,'Per Line'!$A$2:$A$501,$B72,'Per Line'!$AA$2:$AA$501,1))</f>
        <v/>
      </c>
      <c r="P72" s="7">
        <f>IF($U72="","",O72*N72)</f>
        <v/>
      </c>
      <c r="Q72" s="7">
        <f>IF($U72="","",P72+M72)</f>
        <v/>
      </c>
      <c r="R72" s="7">
        <f>IF($U72="","",S72-Q72)</f>
        <v/>
      </c>
      <c r="S72" s="7">
        <f>IF($U72="","",L72+O72)</f>
        <v/>
      </c>
      <c r="T72" s="7">
        <f>IF($U72="","",S72-Q72-G72)</f>
        <v/>
      </c>
      <c r="U72" s="13">
        <f>IF(ROWS($U$2:$U72)&lt;=MAX('Per Line'!$Z$2:$Z$501),MATCH(ROWS($U$2:$U72),'Per Line'!$Z$2:$Z$501,0),"")</f>
        <v/>
      </c>
    </row>
    <row r="73">
      <c r="A73" s="12" t="n"/>
      <c r="B73">
        <f>IF($U73="","",INDEX('Per Line'!$A$2:$A$501,$U73)&amp;"")</f>
        <v/>
      </c>
      <c r="C73">
        <f>IF($U73="","",INDEX('Per Line'!$B$2:$B$501,$U73)&amp;"")</f>
        <v/>
      </c>
      <c r="D73">
        <f>IF($U73="","",INDEX('Per Line'!$C$2:$C$501,$U73)&amp;"")</f>
        <v/>
      </c>
      <c r="E73">
        <f>IF($U73="","",INDEX('Per Line'!$D$2:$D$501,$U73)&amp;"")</f>
        <v/>
      </c>
      <c r="F73">
        <f>IF($U73="","",INDEX('Per Line'!$E$2:$E$501,$U73))</f>
        <v/>
      </c>
      <c r="G73" s="7">
        <f>IF($U73="","",F73*S73/100)</f>
        <v/>
      </c>
      <c r="H73" s="11">
        <f>IF($U73="","",INDEX('Per Line'!$R$2:$R$501,$U73))</f>
        <v/>
      </c>
      <c r="I73">
        <f>IF($U73="","",INDEX('Per Line'!$Q$2:$Q$501,$U73)&amp;"")</f>
        <v/>
      </c>
      <c r="J73">
        <f>IF($U73="","",INDEX('Per Line'!$P$2:$P$501,$U73)&amp;"")</f>
        <v/>
      </c>
      <c r="K73">
        <f>IF($U73="","",Settings!$C$7)</f>
        <v/>
      </c>
      <c r="L73" s="7">
        <f>IF($U73="","",SUMIFS('Per Line'!$M$2:$M$501,'Per Line'!$A$2:$A$501,$B73,'Per Line'!$AA$2:$AA$501,0))</f>
        <v/>
      </c>
      <c r="M73" s="7">
        <f>IF($U73="","",L73*K73)</f>
        <v/>
      </c>
      <c r="N73">
        <f>IF($U73="","",Settings!$C$6)</f>
        <v/>
      </c>
      <c r="O73" s="7">
        <f>IF($U73="","",SUMIFS('Per Line'!$M$2:$M$501,'Per Line'!$A$2:$A$501,$B73,'Per Line'!$AA$2:$AA$501,1))</f>
        <v/>
      </c>
      <c r="P73" s="7">
        <f>IF($U73="","",O73*N73)</f>
        <v/>
      </c>
      <c r="Q73" s="7">
        <f>IF($U73="","",P73+M73)</f>
        <v/>
      </c>
      <c r="R73" s="7">
        <f>IF($U73="","",S73-Q73)</f>
        <v/>
      </c>
      <c r="S73" s="7">
        <f>IF($U73="","",L73+O73)</f>
        <v/>
      </c>
      <c r="T73" s="7">
        <f>IF($U73="","",S73-Q73-G73)</f>
        <v/>
      </c>
      <c r="U73" s="13">
        <f>IF(ROWS($U$2:$U73)&lt;=MAX('Per Line'!$Z$2:$Z$501),MATCH(ROWS($U$2:$U73),'Per Line'!$Z$2:$Z$501,0),"")</f>
        <v/>
      </c>
    </row>
    <row r="74">
      <c r="A74" s="12" t="n"/>
      <c r="B74">
        <f>IF($U74="","",INDEX('Per Line'!$A$2:$A$501,$U74)&amp;"")</f>
        <v/>
      </c>
      <c r="C74">
        <f>IF($U74="","",INDEX('Per Line'!$B$2:$B$501,$U74)&amp;"")</f>
        <v/>
      </c>
      <c r="D74">
        <f>IF($U74="","",INDEX('Per Line'!$C$2:$C$501,$U74)&amp;"")</f>
        <v/>
      </c>
      <c r="E74">
        <f>IF($U74="","",INDEX('Per Line'!$D$2:$D$501,$U74)&amp;"")</f>
        <v/>
      </c>
      <c r="F74">
        <f>IF($U74="","",INDEX('Per Line'!$E$2:$E$501,$U74))</f>
        <v/>
      </c>
      <c r="G74" s="7">
        <f>IF($U74="","",F74*S74/100)</f>
        <v/>
      </c>
      <c r="H74" s="11">
        <f>IF($U74="","",INDEX('Per Line'!$R$2:$R$501,$U74))</f>
        <v/>
      </c>
      <c r="I74">
        <f>IF($U74="","",INDEX('Per Line'!$Q$2:$Q$501,$U74)&amp;"")</f>
        <v/>
      </c>
      <c r="J74">
        <f>IF($U74="","",INDEX('Per Line'!$P$2:$P$501,$U74)&amp;"")</f>
        <v/>
      </c>
      <c r="K74">
        <f>IF($U74="","",Settings!$C$7)</f>
        <v/>
      </c>
      <c r="L74" s="7">
        <f>IF($U74="","",SUMIFS('Per Line'!$M$2:$M$501,'Per Line'!$A$2:$A$501,$B74,'Per Line'!$AA$2:$AA$501,0))</f>
        <v/>
      </c>
      <c r="M74" s="7">
        <f>IF($U74="","",L74*K74)</f>
        <v/>
      </c>
      <c r="N74">
        <f>IF($U74="","",Settings!$C$6)</f>
        <v/>
      </c>
      <c r="O74" s="7">
        <f>IF($U74="","",SUMIFS('Per Line'!$M$2:$M$501,'Per Line'!$A$2:$A$501,$B74,'Per Line'!$AA$2:$AA$501,1))</f>
        <v/>
      </c>
      <c r="P74" s="7">
        <f>IF($U74="","",O74*N74)</f>
        <v/>
      </c>
      <c r="Q74" s="7">
        <f>IF($U74="","",P74+M74)</f>
        <v/>
      </c>
      <c r="R74" s="7">
        <f>IF($U74="","",S74-Q74)</f>
        <v/>
      </c>
      <c r="S74" s="7">
        <f>IF($U74="","",L74+O74)</f>
        <v/>
      </c>
      <c r="T74" s="7">
        <f>IF($U74="","",S74-Q74-G74)</f>
        <v/>
      </c>
      <c r="U74" s="13">
        <f>IF(ROWS($U$2:$U74)&lt;=MAX('Per Line'!$Z$2:$Z$501),MATCH(ROWS($U$2:$U74),'Per Line'!$Z$2:$Z$501,0),"")</f>
        <v/>
      </c>
    </row>
    <row r="75">
      <c r="A75" s="12" t="n"/>
      <c r="B75">
        <f>IF($U75="","",INDEX('Per Line'!$A$2:$A$501,$U75)&amp;"")</f>
        <v/>
      </c>
      <c r="C75">
        <f>IF($U75="","",INDEX('Per Line'!$B$2:$B$501,$U75)&amp;"")</f>
        <v/>
      </c>
      <c r="D75">
        <f>IF($U75="","",INDEX('Per Line'!$C$2:$C$501,$U75)&amp;"")</f>
        <v/>
      </c>
      <c r="E75">
        <f>IF($U75="","",INDEX('Per Line'!$D$2:$D$501,$U75)&amp;"")</f>
        <v/>
      </c>
      <c r="F75">
        <f>IF($U75="","",INDEX('Per Line'!$E$2:$E$501,$U75))</f>
        <v/>
      </c>
      <c r="G75" s="7">
        <f>IF($U75="","",F75*S75/100)</f>
        <v/>
      </c>
      <c r="H75" s="11">
        <f>IF($U75="","",INDEX('Per Line'!$R$2:$R$501,$U75))</f>
        <v/>
      </c>
      <c r="I75">
        <f>IF($U75="","",INDEX('Per Line'!$Q$2:$Q$501,$U75)&amp;"")</f>
        <v/>
      </c>
      <c r="J75">
        <f>IF($U75="","",INDEX('Per Line'!$P$2:$P$501,$U75)&amp;"")</f>
        <v/>
      </c>
      <c r="K75">
        <f>IF($U75="","",Settings!$C$7)</f>
        <v/>
      </c>
      <c r="L75" s="7">
        <f>IF($U75="","",SUMIFS('Per Line'!$M$2:$M$501,'Per Line'!$A$2:$A$501,$B75,'Per Line'!$AA$2:$AA$501,0))</f>
        <v/>
      </c>
      <c r="M75" s="7">
        <f>IF($U75="","",L75*K75)</f>
        <v/>
      </c>
      <c r="N75">
        <f>IF($U75="","",Settings!$C$6)</f>
        <v/>
      </c>
      <c r="O75" s="7">
        <f>IF($U75="","",SUMIFS('Per Line'!$M$2:$M$501,'Per Line'!$A$2:$A$501,$B75,'Per Line'!$AA$2:$AA$501,1))</f>
        <v/>
      </c>
      <c r="P75" s="7">
        <f>IF($U75="","",O75*N75)</f>
        <v/>
      </c>
      <c r="Q75" s="7">
        <f>IF($U75="","",P75+M75)</f>
        <v/>
      </c>
      <c r="R75" s="7">
        <f>IF($U75="","",S75-Q75)</f>
        <v/>
      </c>
      <c r="S75" s="7">
        <f>IF($U75="","",L75+O75)</f>
        <v/>
      </c>
      <c r="T75" s="7">
        <f>IF($U75="","",S75-Q75-G75)</f>
        <v/>
      </c>
      <c r="U75" s="13">
        <f>IF(ROWS($U$2:$U75)&lt;=MAX('Per Line'!$Z$2:$Z$501),MATCH(ROWS($U$2:$U75),'Per Line'!$Z$2:$Z$501,0),"")</f>
        <v/>
      </c>
    </row>
    <row r="76">
      <c r="A76" s="12" t="n"/>
      <c r="B76">
        <f>IF($U76="","",INDEX('Per Line'!$A$2:$A$501,$U76)&amp;"")</f>
        <v/>
      </c>
      <c r="C76">
        <f>IF($U76="","",INDEX('Per Line'!$B$2:$B$501,$U76)&amp;"")</f>
        <v/>
      </c>
      <c r="D76">
        <f>IF($U76="","",INDEX('Per Line'!$C$2:$C$501,$U76)&amp;"")</f>
        <v/>
      </c>
      <c r="E76">
        <f>IF($U76="","",INDEX('Per Line'!$D$2:$D$501,$U76)&amp;"")</f>
        <v/>
      </c>
      <c r="F76">
        <f>IF($U76="","",INDEX('Per Line'!$E$2:$E$501,$U76))</f>
        <v/>
      </c>
      <c r="G76" s="7">
        <f>IF($U76="","",F76*S76/100)</f>
        <v/>
      </c>
      <c r="H76" s="11">
        <f>IF($U76="","",INDEX('Per Line'!$R$2:$R$501,$U76))</f>
        <v/>
      </c>
      <c r="I76">
        <f>IF($U76="","",INDEX('Per Line'!$Q$2:$Q$501,$U76)&amp;"")</f>
        <v/>
      </c>
      <c r="J76">
        <f>IF($U76="","",INDEX('Per Line'!$P$2:$P$501,$U76)&amp;"")</f>
        <v/>
      </c>
      <c r="K76">
        <f>IF($U76="","",Settings!$C$7)</f>
        <v/>
      </c>
      <c r="L76" s="7">
        <f>IF($U76="","",SUMIFS('Per Line'!$M$2:$M$501,'Per Line'!$A$2:$A$501,$B76,'Per Line'!$AA$2:$AA$501,0))</f>
        <v/>
      </c>
      <c r="M76" s="7">
        <f>IF($U76="","",L76*K76)</f>
        <v/>
      </c>
      <c r="N76">
        <f>IF($U76="","",Settings!$C$6)</f>
        <v/>
      </c>
      <c r="O76" s="7">
        <f>IF($U76="","",SUMIFS('Per Line'!$M$2:$M$501,'Per Line'!$A$2:$A$501,$B76,'Per Line'!$AA$2:$AA$501,1))</f>
        <v/>
      </c>
      <c r="P76" s="7">
        <f>IF($U76="","",O76*N76)</f>
        <v/>
      </c>
      <c r="Q76" s="7">
        <f>IF($U76="","",P76+M76)</f>
        <v/>
      </c>
      <c r="R76" s="7">
        <f>IF($U76="","",S76-Q76)</f>
        <v/>
      </c>
      <c r="S76" s="7">
        <f>IF($U76="","",L76+O76)</f>
        <v/>
      </c>
      <c r="T76" s="7">
        <f>IF($U76="","",S76-Q76-G76)</f>
        <v/>
      </c>
      <c r="U76" s="13">
        <f>IF(ROWS($U$2:$U76)&lt;=MAX('Per Line'!$Z$2:$Z$501),MATCH(ROWS($U$2:$U76),'Per Line'!$Z$2:$Z$501,0),"")</f>
        <v/>
      </c>
    </row>
    <row r="77">
      <c r="A77" s="12" t="n"/>
      <c r="B77">
        <f>IF($U77="","",INDEX('Per Line'!$A$2:$A$501,$U77)&amp;"")</f>
        <v/>
      </c>
      <c r="C77">
        <f>IF($U77="","",INDEX('Per Line'!$B$2:$B$501,$U77)&amp;"")</f>
        <v/>
      </c>
      <c r="D77">
        <f>IF($U77="","",INDEX('Per Line'!$C$2:$C$501,$U77)&amp;"")</f>
        <v/>
      </c>
      <c r="E77">
        <f>IF($U77="","",INDEX('Per Line'!$D$2:$D$501,$U77)&amp;"")</f>
        <v/>
      </c>
      <c r="F77">
        <f>IF($U77="","",INDEX('Per Line'!$E$2:$E$501,$U77))</f>
        <v/>
      </c>
      <c r="G77" s="7">
        <f>IF($U77="","",F77*S77/100)</f>
        <v/>
      </c>
      <c r="H77" s="11">
        <f>IF($U77="","",INDEX('Per Line'!$R$2:$R$501,$U77))</f>
        <v/>
      </c>
      <c r="I77">
        <f>IF($U77="","",INDEX('Per Line'!$Q$2:$Q$501,$U77)&amp;"")</f>
        <v/>
      </c>
      <c r="J77">
        <f>IF($U77="","",INDEX('Per Line'!$P$2:$P$501,$U77)&amp;"")</f>
        <v/>
      </c>
      <c r="K77">
        <f>IF($U77="","",Settings!$C$7)</f>
        <v/>
      </c>
      <c r="L77" s="7">
        <f>IF($U77="","",SUMIFS('Per Line'!$M$2:$M$501,'Per Line'!$A$2:$A$501,$B77,'Per Line'!$AA$2:$AA$501,0))</f>
        <v/>
      </c>
      <c r="M77" s="7">
        <f>IF($U77="","",L77*K77)</f>
        <v/>
      </c>
      <c r="N77">
        <f>IF($U77="","",Settings!$C$6)</f>
        <v/>
      </c>
      <c r="O77" s="7">
        <f>IF($U77="","",SUMIFS('Per Line'!$M$2:$M$501,'Per Line'!$A$2:$A$501,$B77,'Per Line'!$AA$2:$AA$501,1))</f>
        <v/>
      </c>
      <c r="P77" s="7">
        <f>IF($U77="","",O77*N77)</f>
        <v/>
      </c>
      <c r="Q77" s="7">
        <f>IF($U77="","",P77+M77)</f>
        <v/>
      </c>
      <c r="R77" s="7">
        <f>IF($U77="","",S77-Q77)</f>
        <v/>
      </c>
      <c r="S77" s="7">
        <f>IF($U77="","",L77+O77)</f>
        <v/>
      </c>
      <c r="T77" s="7">
        <f>IF($U77="","",S77-Q77-G77)</f>
        <v/>
      </c>
      <c r="U77" s="13">
        <f>IF(ROWS($U$2:$U77)&lt;=MAX('Per Line'!$Z$2:$Z$501),MATCH(ROWS($U$2:$U77),'Per Line'!$Z$2:$Z$501,0),"")</f>
        <v/>
      </c>
    </row>
    <row r="78">
      <c r="A78" s="12" t="n"/>
      <c r="B78">
        <f>IF($U78="","",INDEX('Per Line'!$A$2:$A$501,$U78)&amp;"")</f>
        <v/>
      </c>
      <c r="C78">
        <f>IF($U78="","",INDEX('Per Line'!$B$2:$B$501,$U78)&amp;"")</f>
        <v/>
      </c>
      <c r="D78">
        <f>IF($U78="","",INDEX('Per Line'!$C$2:$C$501,$U78)&amp;"")</f>
        <v/>
      </c>
      <c r="E78">
        <f>IF($U78="","",INDEX('Per Line'!$D$2:$D$501,$U78)&amp;"")</f>
        <v/>
      </c>
      <c r="F78">
        <f>IF($U78="","",INDEX('Per Line'!$E$2:$E$501,$U78))</f>
        <v/>
      </c>
      <c r="G78" s="7">
        <f>IF($U78="","",F78*S78/100)</f>
        <v/>
      </c>
      <c r="H78" s="11">
        <f>IF($U78="","",INDEX('Per Line'!$R$2:$R$501,$U78))</f>
        <v/>
      </c>
      <c r="I78">
        <f>IF($U78="","",INDEX('Per Line'!$Q$2:$Q$501,$U78)&amp;"")</f>
        <v/>
      </c>
      <c r="J78">
        <f>IF($U78="","",INDEX('Per Line'!$P$2:$P$501,$U78)&amp;"")</f>
        <v/>
      </c>
      <c r="K78">
        <f>IF($U78="","",Settings!$C$7)</f>
        <v/>
      </c>
      <c r="L78" s="7">
        <f>IF($U78="","",SUMIFS('Per Line'!$M$2:$M$501,'Per Line'!$A$2:$A$501,$B78,'Per Line'!$AA$2:$AA$501,0))</f>
        <v/>
      </c>
      <c r="M78" s="7">
        <f>IF($U78="","",L78*K78)</f>
        <v/>
      </c>
      <c r="N78">
        <f>IF($U78="","",Settings!$C$6)</f>
        <v/>
      </c>
      <c r="O78" s="7">
        <f>IF($U78="","",SUMIFS('Per Line'!$M$2:$M$501,'Per Line'!$A$2:$A$501,$B78,'Per Line'!$AA$2:$AA$501,1))</f>
        <v/>
      </c>
      <c r="P78" s="7">
        <f>IF($U78="","",O78*N78)</f>
        <v/>
      </c>
      <c r="Q78" s="7">
        <f>IF($U78="","",P78+M78)</f>
        <v/>
      </c>
      <c r="R78" s="7">
        <f>IF($U78="","",S78-Q78)</f>
        <v/>
      </c>
      <c r="S78" s="7">
        <f>IF($U78="","",L78+O78)</f>
        <v/>
      </c>
      <c r="T78" s="7">
        <f>IF($U78="","",S78-Q78-G78)</f>
        <v/>
      </c>
      <c r="U78" s="13">
        <f>IF(ROWS($U$2:$U78)&lt;=MAX('Per Line'!$Z$2:$Z$501),MATCH(ROWS($U$2:$U78),'Per Line'!$Z$2:$Z$501,0),"")</f>
        <v/>
      </c>
    </row>
    <row r="79">
      <c r="A79" s="12" t="n"/>
      <c r="B79">
        <f>IF($U79="","",INDEX('Per Line'!$A$2:$A$501,$U79)&amp;"")</f>
        <v/>
      </c>
      <c r="C79">
        <f>IF($U79="","",INDEX('Per Line'!$B$2:$B$501,$U79)&amp;"")</f>
        <v/>
      </c>
      <c r="D79">
        <f>IF($U79="","",INDEX('Per Line'!$C$2:$C$501,$U79)&amp;"")</f>
        <v/>
      </c>
      <c r="E79">
        <f>IF($U79="","",INDEX('Per Line'!$D$2:$D$501,$U79)&amp;"")</f>
        <v/>
      </c>
      <c r="F79">
        <f>IF($U79="","",INDEX('Per Line'!$E$2:$E$501,$U79))</f>
        <v/>
      </c>
      <c r="G79" s="7">
        <f>IF($U79="","",F79*S79/100)</f>
        <v/>
      </c>
      <c r="H79" s="11">
        <f>IF($U79="","",INDEX('Per Line'!$R$2:$R$501,$U79))</f>
        <v/>
      </c>
      <c r="I79">
        <f>IF($U79="","",INDEX('Per Line'!$Q$2:$Q$501,$U79)&amp;"")</f>
        <v/>
      </c>
      <c r="J79">
        <f>IF($U79="","",INDEX('Per Line'!$P$2:$P$501,$U79)&amp;"")</f>
        <v/>
      </c>
      <c r="K79">
        <f>IF($U79="","",Settings!$C$7)</f>
        <v/>
      </c>
      <c r="L79" s="7">
        <f>IF($U79="","",SUMIFS('Per Line'!$M$2:$M$501,'Per Line'!$A$2:$A$501,$B79,'Per Line'!$AA$2:$AA$501,0))</f>
        <v/>
      </c>
      <c r="M79" s="7">
        <f>IF($U79="","",L79*K79)</f>
        <v/>
      </c>
      <c r="N79">
        <f>IF($U79="","",Settings!$C$6)</f>
        <v/>
      </c>
      <c r="O79" s="7">
        <f>IF($U79="","",SUMIFS('Per Line'!$M$2:$M$501,'Per Line'!$A$2:$A$501,$B79,'Per Line'!$AA$2:$AA$501,1))</f>
        <v/>
      </c>
      <c r="P79" s="7">
        <f>IF($U79="","",O79*N79)</f>
        <v/>
      </c>
      <c r="Q79" s="7">
        <f>IF($U79="","",P79+M79)</f>
        <v/>
      </c>
      <c r="R79" s="7">
        <f>IF($U79="","",S79-Q79)</f>
        <v/>
      </c>
      <c r="S79" s="7">
        <f>IF($U79="","",L79+O79)</f>
        <v/>
      </c>
      <c r="T79" s="7">
        <f>IF($U79="","",S79-Q79-G79)</f>
        <v/>
      </c>
      <c r="U79" s="13">
        <f>IF(ROWS($U$2:$U79)&lt;=MAX('Per Line'!$Z$2:$Z$501),MATCH(ROWS($U$2:$U79),'Per Line'!$Z$2:$Z$501,0),"")</f>
        <v/>
      </c>
    </row>
    <row r="80">
      <c r="A80" s="12" t="n"/>
      <c r="B80">
        <f>IF($U80="","",INDEX('Per Line'!$A$2:$A$501,$U80)&amp;"")</f>
        <v/>
      </c>
      <c r="C80">
        <f>IF($U80="","",INDEX('Per Line'!$B$2:$B$501,$U80)&amp;"")</f>
        <v/>
      </c>
      <c r="D80">
        <f>IF($U80="","",INDEX('Per Line'!$C$2:$C$501,$U80)&amp;"")</f>
        <v/>
      </c>
      <c r="E80">
        <f>IF($U80="","",INDEX('Per Line'!$D$2:$D$501,$U80)&amp;"")</f>
        <v/>
      </c>
      <c r="F80">
        <f>IF($U80="","",INDEX('Per Line'!$E$2:$E$501,$U80))</f>
        <v/>
      </c>
      <c r="G80" s="7">
        <f>IF($U80="","",F80*S80/100)</f>
        <v/>
      </c>
      <c r="H80" s="11">
        <f>IF($U80="","",INDEX('Per Line'!$R$2:$R$501,$U80))</f>
        <v/>
      </c>
      <c r="I80">
        <f>IF($U80="","",INDEX('Per Line'!$Q$2:$Q$501,$U80)&amp;"")</f>
        <v/>
      </c>
      <c r="J80">
        <f>IF($U80="","",INDEX('Per Line'!$P$2:$P$501,$U80)&amp;"")</f>
        <v/>
      </c>
      <c r="K80">
        <f>IF($U80="","",Settings!$C$7)</f>
        <v/>
      </c>
      <c r="L80" s="7">
        <f>IF($U80="","",SUMIFS('Per Line'!$M$2:$M$501,'Per Line'!$A$2:$A$501,$B80,'Per Line'!$AA$2:$AA$501,0))</f>
        <v/>
      </c>
      <c r="M80" s="7">
        <f>IF($U80="","",L80*K80)</f>
        <v/>
      </c>
      <c r="N80">
        <f>IF($U80="","",Settings!$C$6)</f>
        <v/>
      </c>
      <c r="O80" s="7">
        <f>IF($U80="","",SUMIFS('Per Line'!$M$2:$M$501,'Per Line'!$A$2:$A$501,$B80,'Per Line'!$AA$2:$AA$501,1))</f>
        <v/>
      </c>
      <c r="P80" s="7">
        <f>IF($U80="","",O80*N80)</f>
        <v/>
      </c>
      <c r="Q80" s="7">
        <f>IF($U80="","",P80+M80)</f>
        <v/>
      </c>
      <c r="R80" s="7">
        <f>IF($U80="","",S80-Q80)</f>
        <v/>
      </c>
      <c r="S80" s="7">
        <f>IF($U80="","",L80+O80)</f>
        <v/>
      </c>
      <c r="T80" s="7">
        <f>IF($U80="","",S80-Q80-G80)</f>
        <v/>
      </c>
      <c r="U80" s="13">
        <f>IF(ROWS($U$2:$U80)&lt;=MAX('Per Line'!$Z$2:$Z$501),MATCH(ROWS($U$2:$U80),'Per Line'!$Z$2:$Z$501,0),"")</f>
        <v/>
      </c>
    </row>
    <row r="81">
      <c r="A81" s="12" t="n"/>
      <c r="B81">
        <f>IF($U81="","",INDEX('Per Line'!$A$2:$A$501,$U81)&amp;"")</f>
        <v/>
      </c>
      <c r="C81">
        <f>IF($U81="","",INDEX('Per Line'!$B$2:$B$501,$U81)&amp;"")</f>
        <v/>
      </c>
      <c r="D81">
        <f>IF($U81="","",INDEX('Per Line'!$C$2:$C$501,$U81)&amp;"")</f>
        <v/>
      </c>
      <c r="E81">
        <f>IF($U81="","",INDEX('Per Line'!$D$2:$D$501,$U81)&amp;"")</f>
        <v/>
      </c>
      <c r="F81">
        <f>IF($U81="","",INDEX('Per Line'!$E$2:$E$501,$U81))</f>
        <v/>
      </c>
      <c r="G81" s="7">
        <f>IF($U81="","",F81*S81/100)</f>
        <v/>
      </c>
      <c r="H81" s="11">
        <f>IF($U81="","",INDEX('Per Line'!$R$2:$R$501,$U81))</f>
        <v/>
      </c>
      <c r="I81">
        <f>IF($U81="","",INDEX('Per Line'!$Q$2:$Q$501,$U81)&amp;"")</f>
        <v/>
      </c>
      <c r="J81">
        <f>IF($U81="","",INDEX('Per Line'!$P$2:$P$501,$U81)&amp;"")</f>
        <v/>
      </c>
      <c r="K81">
        <f>IF($U81="","",Settings!$C$7)</f>
        <v/>
      </c>
      <c r="L81" s="7">
        <f>IF($U81="","",SUMIFS('Per Line'!$M$2:$M$501,'Per Line'!$A$2:$A$501,$B81,'Per Line'!$AA$2:$AA$501,0))</f>
        <v/>
      </c>
      <c r="M81" s="7">
        <f>IF($U81="","",L81*K81)</f>
        <v/>
      </c>
      <c r="N81">
        <f>IF($U81="","",Settings!$C$6)</f>
        <v/>
      </c>
      <c r="O81" s="7">
        <f>IF($U81="","",SUMIFS('Per Line'!$M$2:$M$501,'Per Line'!$A$2:$A$501,$B81,'Per Line'!$AA$2:$AA$501,1))</f>
        <v/>
      </c>
      <c r="P81" s="7">
        <f>IF($U81="","",O81*N81)</f>
        <v/>
      </c>
      <c r="Q81" s="7">
        <f>IF($U81="","",P81+M81)</f>
        <v/>
      </c>
      <c r="R81" s="7">
        <f>IF($U81="","",S81-Q81)</f>
        <v/>
      </c>
      <c r="S81" s="7">
        <f>IF($U81="","",L81+O81)</f>
        <v/>
      </c>
      <c r="T81" s="7">
        <f>IF($U81="","",S81-Q81-G81)</f>
        <v/>
      </c>
      <c r="U81" s="13">
        <f>IF(ROWS($U$2:$U81)&lt;=MAX('Per Line'!$Z$2:$Z$501),MATCH(ROWS($U$2:$U81),'Per Line'!$Z$2:$Z$501,0),"")</f>
        <v/>
      </c>
    </row>
    <row r="82">
      <c r="A82" s="12" t="n"/>
      <c r="B82">
        <f>IF($U82="","",INDEX('Per Line'!$A$2:$A$501,$U82)&amp;"")</f>
        <v/>
      </c>
      <c r="C82">
        <f>IF($U82="","",INDEX('Per Line'!$B$2:$B$501,$U82)&amp;"")</f>
        <v/>
      </c>
      <c r="D82">
        <f>IF($U82="","",INDEX('Per Line'!$C$2:$C$501,$U82)&amp;"")</f>
        <v/>
      </c>
      <c r="E82">
        <f>IF($U82="","",INDEX('Per Line'!$D$2:$D$501,$U82)&amp;"")</f>
        <v/>
      </c>
      <c r="F82">
        <f>IF($U82="","",INDEX('Per Line'!$E$2:$E$501,$U82))</f>
        <v/>
      </c>
      <c r="G82" s="7">
        <f>IF($U82="","",F82*S82/100)</f>
        <v/>
      </c>
      <c r="H82" s="11">
        <f>IF($U82="","",INDEX('Per Line'!$R$2:$R$501,$U82))</f>
        <v/>
      </c>
      <c r="I82">
        <f>IF($U82="","",INDEX('Per Line'!$Q$2:$Q$501,$U82)&amp;"")</f>
        <v/>
      </c>
      <c r="J82">
        <f>IF($U82="","",INDEX('Per Line'!$P$2:$P$501,$U82)&amp;"")</f>
        <v/>
      </c>
      <c r="K82">
        <f>IF($U82="","",Settings!$C$7)</f>
        <v/>
      </c>
      <c r="L82" s="7">
        <f>IF($U82="","",SUMIFS('Per Line'!$M$2:$M$501,'Per Line'!$A$2:$A$501,$B82,'Per Line'!$AA$2:$AA$501,0))</f>
        <v/>
      </c>
      <c r="M82" s="7">
        <f>IF($U82="","",L82*K82)</f>
        <v/>
      </c>
      <c r="N82">
        <f>IF($U82="","",Settings!$C$6)</f>
        <v/>
      </c>
      <c r="O82" s="7">
        <f>IF($U82="","",SUMIFS('Per Line'!$M$2:$M$501,'Per Line'!$A$2:$A$501,$B82,'Per Line'!$AA$2:$AA$501,1))</f>
        <v/>
      </c>
      <c r="P82" s="7">
        <f>IF($U82="","",O82*N82)</f>
        <v/>
      </c>
      <c r="Q82" s="7">
        <f>IF($U82="","",P82+M82)</f>
        <v/>
      </c>
      <c r="R82" s="7">
        <f>IF($U82="","",S82-Q82)</f>
        <v/>
      </c>
      <c r="S82" s="7">
        <f>IF($U82="","",L82+O82)</f>
        <v/>
      </c>
      <c r="T82" s="7">
        <f>IF($U82="","",S82-Q82-G82)</f>
        <v/>
      </c>
      <c r="U82" s="13">
        <f>IF(ROWS($U$2:$U82)&lt;=MAX('Per Line'!$Z$2:$Z$501),MATCH(ROWS($U$2:$U82),'Per Line'!$Z$2:$Z$501,0),"")</f>
        <v/>
      </c>
    </row>
    <row r="83">
      <c r="A83" s="12" t="n"/>
      <c r="B83">
        <f>IF($U83="","",INDEX('Per Line'!$A$2:$A$501,$U83)&amp;"")</f>
        <v/>
      </c>
      <c r="C83">
        <f>IF($U83="","",INDEX('Per Line'!$B$2:$B$501,$U83)&amp;"")</f>
        <v/>
      </c>
      <c r="D83">
        <f>IF($U83="","",INDEX('Per Line'!$C$2:$C$501,$U83)&amp;"")</f>
        <v/>
      </c>
      <c r="E83">
        <f>IF($U83="","",INDEX('Per Line'!$D$2:$D$501,$U83)&amp;"")</f>
        <v/>
      </c>
      <c r="F83">
        <f>IF($U83="","",INDEX('Per Line'!$E$2:$E$501,$U83))</f>
        <v/>
      </c>
      <c r="G83" s="7">
        <f>IF($U83="","",F83*S83/100)</f>
        <v/>
      </c>
      <c r="H83" s="11">
        <f>IF($U83="","",INDEX('Per Line'!$R$2:$R$501,$U83))</f>
        <v/>
      </c>
      <c r="I83">
        <f>IF($U83="","",INDEX('Per Line'!$Q$2:$Q$501,$U83)&amp;"")</f>
        <v/>
      </c>
      <c r="J83">
        <f>IF($U83="","",INDEX('Per Line'!$P$2:$P$501,$U83)&amp;"")</f>
        <v/>
      </c>
      <c r="K83">
        <f>IF($U83="","",Settings!$C$7)</f>
        <v/>
      </c>
      <c r="L83" s="7">
        <f>IF($U83="","",SUMIFS('Per Line'!$M$2:$M$501,'Per Line'!$A$2:$A$501,$B83,'Per Line'!$AA$2:$AA$501,0))</f>
        <v/>
      </c>
      <c r="M83" s="7">
        <f>IF($U83="","",L83*K83)</f>
        <v/>
      </c>
      <c r="N83">
        <f>IF($U83="","",Settings!$C$6)</f>
        <v/>
      </c>
      <c r="O83" s="7">
        <f>IF($U83="","",SUMIFS('Per Line'!$M$2:$M$501,'Per Line'!$A$2:$A$501,$B83,'Per Line'!$AA$2:$AA$501,1))</f>
        <v/>
      </c>
      <c r="P83" s="7">
        <f>IF($U83="","",O83*N83)</f>
        <v/>
      </c>
      <c r="Q83" s="7">
        <f>IF($U83="","",P83+M83)</f>
        <v/>
      </c>
      <c r="R83" s="7">
        <f>IF($U83="","",S83-Q83)</f>
        <v/>
      </c>
      <c r="S83" s="7">
        <f>IF($U83="","",L83+O83)</f>
        <v/>
      </c>
      <c r="T83" s="7">
        <f>IF($U83="","",S83-Q83-G83)</f>
        <v/>
      </c>
      <c r="U83" s="13">
        <f>IF(ROWS($U$2:$U83)&lt;=MAX('Per Line'!$Z$2:$Z$501),MATCH(ROWS($U$2:$U83),'Per Line'!$Z$2:$Z$501,0),"")</f>
        <v/>
      </c>
    </row>
    <row r="84">
      <c r="A84" s="12" t="n"/>
      <c r="B84">
        <f>IF($U84="","",INDEX('Per Line'!$A$2:$A$501,$U84)&amp;"")</f>
        <v/>
      </c>
      <c r="C84">
        <f>IF($U84="","",INDEX('Per Line'!$B$2:$B$501,$U84)&amp;"")</f>
        <v/>
      </c>
      <c r="D84">
        <f>IF($U84="","",INDEX('Per Line'!$C$2:$C$501,$U84)&amp;"")</f>
        <v/>
      </c>
      <c r="E84">
        <f>IF($U84="","",INDEX('Per Line'!$D$2:$D$501,$U84)&amp;"")</f>
        <v/>
      </c>
      <c r="F84">
        <f>IF($U84="","",INDEX('Per Line'!$E$2:$E$501,$U84))</f>
        <v/>
      </c>
      <c r="G84" s="7">
        <f>IF($U84="","",F84*S84/100)</f>
        <v/>
      </c>
      <c r="H84" s="11">
        <f>IF($U84="","",INDEX('Per Line'!$R$2:$R$501,$U84))</f>
        <v/>
      </c>
      <c r="I84">
        <f>IF($U84="","",INDEX('Per Line'!$Q$2:$Q$501,$U84)&amp;"")</f>
        <v/>
      </c>
      <c r="J84">
        <f>IF($U84="","",INDEX('Per Line'!$P$2:$P$501,$U84)&amp;"")</f>
        <v/>
      </c>
      <c r="K84">
        <f>IF($U84="","",Settings!$C$7)</f>
        <v/>
      </c>
      <c r="L84" s="7">
        <f>IF($U84="","",SUMIFS('Per Line'!$M$2:$M$501,'Per Line'!$A$2:$A$501,$B84,'Per Line'!$AA$2:$AA$501,0))</f>
        <v/>
      </c>
      <c r="M84" s="7">
        <f>IF($U84="","",L84*K84)</f>
        <v/>
      </c>
      <c r="N84">
        <f>IF($U84="","",Settings!$C$6)</f>
        <v/>
      </c>
      <c r="O84" s="7">
        <f>IF($U84="","",SUMIFS('Per Line'!$M$2:$M$501,'Per Line'!$A$2:$A$501,$B84,'Per Line'!$AA$2:$AA$501,1))</f>
        <v/>
      </c>
      <c r="P84" s="7">
        <f>IF($U84="","",O84*N84)</f>
        <v/>
      </c>
      <c r="Q84" s="7">
        <f>IF($U84="","",P84+M84)</f>
        <v/>
      </c>
      <c r="R84" s="7">
        <f>IF($U84="","",S84-Q84)</f>
        <v/>
      </c>
      <c r="S84" s="7">
        <f>IF($U84="","",L84+O84)</f>
        <v/>
      </c>
      <c r="T84" s="7">
        <f>IF($U84="","",S84-Q84-G84)</f>
        <v/>
      </c>
      <c r="U84" s="13">
        <f>IF(ROWS($U$2:$U84)&lt;=MAX('Per Line'!$Z$2:$Z$501),MATCH(ROWS($U$2:$U84),'Per Line'!$Z$2:$Z$501,0),"")</f>
        <v/>
      </c>
    </row>
    <row r="85">
      <c r="A85" s="12" t="n"/>
      <c r="B85">
        <f>IF($U85="","",INDEX('Per Line'!$A$2:$A$501,$U85)&amp;"")</f>
        <v/>
      </c>
      <c r="C85">
        <f>IF($U85="","",INDEX('Per Line'!$B$2:$B$501,$U85)&amp;"")</f>
        <v/>
      </c>
      <c r="D85">
        <f>IF($U85="","",INDEX('Per Line'!$C$2:$C$501,$U85)&amp;"")</f>
        <v/>
      </c>
      <c r="E85">
        <f>IF($U85="","",INDEX('Per Line'!$D$2:$D$501,$U85)&amp;"")</f>
        <v/>
      </c>
      <c r="F85">
        <f>IF($U85="","",INDEX('Per Line'!$E$2:$E$501,$U85))</f>
        <v/>
      </c>
      <c r="G85" s="7">
        <f>IF($U85="","",F85*S85/100)</f>
        <v/>
      </c>
      <c r="H85" s="11">
        <f>IF($U85="","",INDEX('Per Line'!$R$2:$R$501,$U85))</f>
        <v/>
      </c>
      <c r="I85">
        <f>IF($U85="","",INDEX('Per Line'!$Q$2:$Q$501,$U85)&amp;"")</f>
        <v/>
      </c>
      <c r="J85">
        <f>IF($U85="","",INDEX('Per Line'!$P$2:$P$501,$U85)&amp;"")</f>
        <v/>
      </c>
      <c r="K85">
        <f>IF($U85="","",Settings!$C$7)</f>
        <v/>
      </c>
      <c r="L85" s="7">
        <f>IF($U85="","",SUMIFS('Per Line'!$M$2:$M$501,'Per Line'!$A$2:$A$501,$B85,'Per Line'!$AA$2:$AA$501,0))</f>
        <v/>
      </c>
      <c r="M85" s="7">
        <f>IF($U85="","",L85*K85)</f>
        <v/>
      </c>
      <c r="N85">
        <f>IF($U85="","",Settings!$C$6)</f>
        <v/>
      </c>
      <c r="O85" s="7">
        <f>IF($U85="","",SUMIFS('Per Line'!$M$2:$M$501,'Per Line'!$A$2:$A$501,$B85,'Per Line'!$AA$2:$AA$501,1))</f>
        <v/>
      </c>
      <c r="P85" s="7">
        <f>IF($U85="","",O85*N85)</f>
        <v/>
      </c>
      <c r="Q85" s="7">
        <f>IF($U85="","",P85+M85)</f>
        <v/>
      </c>
      <c r="R85" s="7">
        <f>IF($U85="","",S85-Q85)</f>
        <v/>
      </c>
      <c r="S85" s="7">
        <f>IF($U85="","",L85+O85)</f>
        <v/>
      </c>
      <c r="T85" s="7">
        <f>IF($U85="","",S85-Q85-G85)</f>
        <v/>
      </c>
      <c r="U85" s="13">
        <f>IF(ROWS($U$2:$U85)&lt;=MAX('Per Line'!$Z$2:$Z$501),MATCH(ROWS($U$2:$U85),'Per Line'!$Z$2:$Z$501,0),"")</f>
        <v/>
      </c>
    </row>
    <row r="86">
      <c r="A86" s="12" t="n"/>
      <c r="B86">
        <f>IF($U86="","",INDEX('Per Line'!$A$2:$A$501,$U86)&amp;"")</f>
        <v/>
      </c>
      <c r="C86">
        <f>IF($U86="","",INDEX('Per Line'!$B$2:$B$501,$U86)&amp;"")</f>
        <v/>
      </c>
      <c r="D86">
        <f>IF($U86="","",INDEX('Per Line'!$C$2:$C$501,$U86)&amp;"")</f>
        <v/>
      </c>
      <c r="E86">
        <f>IF($U86="","",INDEX('Per Line'!$D$2:$D$501,$U86)&amp;"")</f>
        <v/>
      </c>
      <c r="F86">
        <f>IF($U86="","",INDEX('Per Line'!$E$2:$E$501,$U86))</f>
        <v/>
      </c>
      <c r="G86" s="7">
        <f>IF($U86="","",F86*S86/100)</f>
        <v/>
      </c>
      <c r="H86" s="11">
        <f>IF($U86="","",INDEX('Per Line'!$R$2:$R$501,$U86))</f>
        <v/>
      </c>
      <c r="I86">
        <f>IF($U86="","",INDEX('Per Line'!$Q$2:$Q$501,$U86)&amp;"")</f>
        <v/>
      </c>
      <c r="J86">
        <f>IF($U86="","",INDEX('Per Line'!$P$2:$P$501,$U86)&amp;"")</f>
        <v/>
      </c>
      <c r="K86">
        <f>IF($U86="","",Settings!$C$7)</f>
        <v/>
      </c>
      <c r="L86" s="7">
        <f>IF($U86="","",SUMIFS('Per Line'!$M$2:$M$501,'Per Line'!$A$2:$A$501,$B86,'Per Line'!$AA$2:$AA$501,0))</f>
        <v/>
      </c>
      <c r="M86" s="7">
        <f>IF($U86="","",L86*K86)</f>
        <v/>
      </c>
      <c r="N86">
        <f>IF($U86="","",Settings!$C$6)</f>
        <v/>
      </c>
      <c r="O86" s="7">
        <f>IF($U86="","",SUMIFS('Per Line'!$M$2:$M$501,'Per Line'!$A$2:$A$501,$B86,'Per Line'!$AA$2:$AA$501,1))</f>
        <v/>
      </c>
      <c r="P86" s="7">
        <f>IF($U86="","",O86*N86)</f>
        <v/>
      </c>
      <c r="Q86" s="7">
        <f>IF($U86="","",P86+M86)</f>
        <v/>
      </c>
      <c r="R86" s="7">
        <f>IF($U86="","",S86-Q86)</f>
        <v/>
      </c>
      <c r="S86" s="7">
        <f>IF($U86="","",L86+O86)</f>
        <v/>
      </c>
      <c r="T86" s="7">
        <f>IF($U86="","",S86-Q86-G86)</f>
        <v/>
      </c>
      <c r="U86" s="13">
        <f>IF(ROWS($U$2:$U86)&lt;=MAX('Per Line'!$Z$2:$Z$501),MATCH(ROWS($U$2:$U86),'Per Line'!$Z$2:$Z$501,0),"")</f>
        <v/>
      </c>
    </row>
    <row r="87">
      <c r="A87" s="12" t="n"/>
      <c r="B87">
        <f>IF($U87="","",INDEX('Per Line'!$A$2:$A$501,$U87)&amp;"")</f>
        <v/>
      </c>
      <c r="C87">
        <f>IF($U87="","",INDEX('Per Line'!$B$2:$B$501,$U87)&amp;"")</f>
        <v/>
      </c>
      <c r="D87">
        <f>IF($U87="","",INDEX('Per Line'!$C$2:$C$501,$U87)&amp;"")</f>
        <v/>
      </c>
      <c r="E87">
        <f>IF($U87="","",INDEX('Per Line'!$D$2:$D$501,$U87)&amp;"")</f>
        <v/>
      </c>
      <c r="F87">
        <f>IF($U87="","",INDEX('Per Line'!$E$2:$E$501,$U87))</f>
        <v/>
      </c>
      <c r="G87" s="7">
        <f>IF($U87="","",F87*S87/100)</f>
        <v/>
      </c>
      <c r="H87" s="11">
        <f>IF($U87="","",INDEX('Per Line'!$R$2:$R$501,$U87))</f>
        <v/>
      </c>
      <c r="I87">
        <f>IF($U87="","",INDEX('Per Line'!$Q$2:$Q$501,$U87)&amp;"")</f>
        <v/>
      </c>
      <c r="J87">
        <f>IF($U87="","",INDEX('Per Line'!$P$2:$P$501,$U87)&amp;"")</f>
        <v/>
      </c>
      <c r="K87">
        <f>IF($U87="","",Settings!$C$7)</f>
        <v/>
      </c>
      <c r="L87" s="7">
        <f>IF($U87="","",SUMIFS('Per Line'!$M$2:$M$501,'Per Line'!$A$2:$A$501,$B87,'Per Line'!$AA$2:$AA$501,0))</f>
        <v/>
      </c>
      <c r="M87" s="7">
        <f>IF($U87="","",L87*K87)</f>
        <v/>
      </c>
      <c r="N87">
        <f>IF($U87="","",Settings!$C$6)</f>
        <v/>
      </c>
      <c r="O87" s="7">
        <f>IF($U87="","",SUMIFS('Per Line'!$M$2:$M$501,'Per Line'!$A$2:$A$501,$B87,'Per Line'!$AA$2:$AA$501,1))</f>
        <v/>
      </c>
      <c r="P87" s="7">
        <f>IF($U87="","",O87*N87)</f>
        <v/>
      </c>
      <c r="Q87" s="7">
        <f>IF($U87="","",P87+M87)</f>
        <v/>
      </c>
      <c r="R87" s="7">
        <f>IF($U87="","",S87-Q87)</f>
        <v/>
      </c>
      <c r="S87" s="7">
        <f>IF($U87="","",L87+O87)</f>
        <v/>
      </c>
      <c r="T87" s="7">
        <f>IF($U87="","",S87-Q87-G87)</f>
        <v/>
      </c>
      <c r="U87" s="13">
        <f>IF(ROWS($U$2:$U87)&lt;=MAX('Per Line'!$Z$2:$Z$501),MATCH(ROWS($U$2:$U87),'Per Line'!$Z$2:$Z$501,0),"")</f>
        <v/>
      </c>
    </row>
    <row r="88">
      <c r="A88" s="12" t="n"/>
      <c r="B88">
        <f>IF($U88="","",INDEX('Per Line'!$A$2:$A$501,$U88)&amp;"")</f>
        <v/>
      </c>
      <c r="C88">
        <f>IF($U88="","",INDEX('Per Line'!$B$2:$B$501,$U88)&amp;"")</f>
        <v/>
      </c>
      <c r="D88">
        <f>IF($U88="","",INDEX('Per Line'!$C$2:$C$501,$U88)&amp;"")</f>
        <v/>
      </c>
      <c r="E88">
        <f>IF($U88="","",INDEX('Per Line'!$D$2:$D$501,$U88)&amp;"")</f>
        <v/>
      </c>
      <c r="F88">
        <f>IF($U88="","",INDEX('Per Line'!$E$2:$E$501,$U88))</f>
        <v/>
      </c>
      <c r="G88" s="7">
        <f>IF($U88="","",F88*S88/100)</f>
        <v/>
      </c>
      <c r="H88" s="11">
        <f>IF($U88="","",INDEX('Per Line'!$R$2:$R$501,$U88))</f>
        <v/>
      </c>
      <c r="I88">
        <f>IF($U88="","",INDEX('Per Line'!$Q$2:$Q$501,$U88)&amp;"")</f>
        <v/>
      </c>
      <c r="J88">
        <f>IF($U88="","",INDEX('Per Line'!$P$2:$P$501,$U88)&amp;"")</f>
        <v/>
      </c>
      <c r="K88">
        <f>IF($U88="","",Settings!$C$7)</f>
        <v/>
      </c>
      <c r="L88" s="7">
        <f>IF($U88="","",SUMIFS('Per Line'!$M$2:$M$501,'Per Line'!$A$2:$A$501,$B88,'Per Line'!$AA$2:$AA$501,0))</f>
        <v/>
      </c>
      <c r="M88" s="7">
        <f>IF($U88="","",L88*K88)</f>
        <v/>
      </c>
      <c r="N88">
        <f>IF($U88="","",Settings!$C$6)</f>
        <v/>
      </c>
      <c r="O88" s="7">
        <f>IF($U88="","",SUMIFS('Per Line'!$M$2:$M$501,'Per Line'!$A$2:$A$501,$B88,'Per Line'!$AA$2:$AA$501,1))</f>
        <v/>
      </c>
      <c r="P88" s="7">
        <f>IF($U88="","",O88*N88)</f>
        <v/>
      </c>
      <c r="Q88" s="7">
        <f>IF($U88="","",P88+M88)</f>
        <v/>
      </c>
      <c r="R88" s="7">
        <f>IF($U88="","",S88-Q88)</f>
        <v/>
      </c>
      <c r="S88" s="7">
        <f>IF($U88="","",L88+O88)</f>
        <v/>
      </c>
      <c r="T88" s="7">
        <f>IF($U88="","",S88-Q88-G88)</f>
        <v/>
      </c>
      <c r="U88" s="13">
        <f>IF(ROWS($U$2:$U88)&lt;=MAX('Per Line'!$Z$2:$Z$501),MATCH(ROWS($U$2:$U88),'Per Line'!$Z$2:$Z$501,0),"")</f>
        <v/>
      </c>
    </row>
    <row r="89">
      <c r="A89" s="12" t="n"/>
      <c r="B89">
        <f>IF($U89="","",INDEX('Per Line'!$A$2:$A$501,$U89)&amp;"")</f>
        <v/>
      </c>
      <c r="C89">
        <f>IF($U89="","",INDEX('Per Line'!$B$2:$B$501,$U89)&amp;"")</f>
        <v/>
      </c>
      <c r="D89">
        <f>IF($U89="","",INDEX('Per Line'!$C$2:$C$501,$U89)&amp;"")</f>
        <v/>
      </c>
      <c r="E89">
        <f>IF($U89="","",INDEX('Per Line'!$D$2:$D$501,$U89)&amp;"")</f>
        <v/>
      </c>
      <c r="F89">
        <f>IF($U89="","",INDEX('Per Line'!$E$2:$E$501,$U89))</f>
        <v/>
      </c>
      <c r="G89" s="7">
        <f>IF($U89="","",F89*S89/100)</f>
        <v/>
      </c>
      <c r="H89" s="11">
        <f>IF($U89="","",INDEX('Per Line'!$R$2:$R$501,$U89))</f>
        <v/>
      </c>
      <c r="I89">
        <f>IF($U89="","",INDEX('Per Line'!$Q$2:$Q$501,$U89)&amp;"")</f>
        <v/>
      </c>
      <c r="J89">
        <f>IF($U89="","",INDEX('Per Line'!$P$2:$P$501,$U89)&amp;"")</f>
        <v/>
      </c>
      <c r="K89">
        <f>IF($U89="","",Settings!$C$7)</f>
        <v/>
      </c>
      <c r="L89" s="7">
        <f>IF($U89="","",SUMIFS('Per Line'!$M$2:$M$501,'Per Line'!$A$2:$A$501,$B89,'Per Line'!$AA$2:$AA$501,0))</f>
        <v/>
      </c>
      <c r="M89" s="7">
        <f>IF($U89="","",L89*K89)</f>
        <v/>
      </c>
      <c r="N89">
        <f>IF($U89="","",Settings!$C$6)</f>
        <v/>
      </c>
      <c r="O89" s="7">
        <f>IF($U89="","",SUMIFS('Per Line'!$M$2:$M$501,'Per Line'!$A$2:$A$501,$B89,'Per Line'!$AA$2:$AA$501,1))</f>
        <v/>
      </c>
      <c r="P89" s="7">
        <f>IF($U89="","",O89*N89)</f>
        <v/>
      </c>
      <c r="Q89" s="7">
        <f>IF($U89="","",P89+M89)</f>
        <v/>
      </c>
      <c r="R89" s="7">
        <f>IF($U89="","",S89-Q89)</f>
        <v/>
      </c>
      <c r="S89" s="7">
        <f>IF($U89="","",L89+O89)</f>
        <v/>
      </c>
      <c r="T89" s="7">
        <f>IF($U89="","",S89-Q89-G89)</f>
        <v/>
      </c>
      <c r="U89" s="13">
        <f>IF(ROWS($U$2:$U89)&lt;=MAX('Per Line'!$Z$2:$Z$501),MATCH(ROWS($U$2:$U89),'Per Line'!$Z$2:$Z$501,0),"")</f>
        <v/>
      </c>
    </row>
    <row r="90">
      <c r="A90" s="12" t="n"/>
      <c r="B90">
        <f>IF($U90="","",INDEX('Per Line'!$A$2:$A$501,$U90)&amp;"")</f>
        <v/>
      </c>
      <c r="C90">
        <f>IF($U90="","",INDEX('Per Line'!$B$2:$B$501,$U90)&amp;"")</f>
        <v/>
      </c>
      <c r="D90">
        <f>IF($U90="","",INDEX('Per Line'!$C$2:$C$501,$U90)&amp;"")</f>
        <v/>
      </c>
      <c r="E90">
        <f>IF($U90="","",INDEX('Per Line'!$D$2:$D$501,$U90)&amp;"")</f>
        <v/>
      </c>
      <c r="F90">
        <f>IF($U90="","",INDEX('Per Line'!$E$2:$E$501,$U90))</f>
        <v/>
      </c>
      <c r="G90" s="7">
        <f>IF($U90="","",F90*S90/100)</f>
        <v/>
      </c>
      <c r="H90" s="11">
        <f>IF($U90="","",INDEX('Per Line'!$R$2:$R$501,$U90))</f>
        <v/>
      </c>
      <c r="I90">
        <f>IF($U90="","",INDEX('Per Line'!$Q$2:$Q$501,$U90)&amp;"")</f>
        <v/>
      </c>
      <c r="J90">
        <f>IF($U90="","",INDEX('Per Line'!$P$2:$P$501,$U90)&amp;"")</f>
        <v/>
      </c>
      <c r="K90">
        <f>IF($U90="","",Settings!$C$7)</f>
        <v/>
      </c>
      <c r="L90" s="7">
        <f>IF($U90="","",SUMIFS('Per Line'!$M$2:$M$501,'Per Line'!$A$2:$A$501,$B90,'Per Line'!$AA$2:$AA$501,0))</f>
        <v/>
      </c>
      <c r="M90" s="7">
        <f>IF($U90="","",L90*K90)</f>
        <v/>
      </c>
      <c r="N90">
        <f>IF($U90="","",Settings!$C$6)</f>
        <v/>
      </c>
      <c r="O90" s="7">
        <f>IF($U90="","",SUMIFS('Per Line'!$M$2:$M$501,'Per Line'!$A$2:$A$501,$B90,'Per Line'!$AA$2:$AA$501,1))</f>
        <v/>
      </c>
      <c r="P90" s="7">
        <f>IF($U90="","",O90*N90)</f>
        <v/>
      </c>
      <c r="Q90" s="7">
        <f>IF($U90="","",P90+M90)</f>
        <v/>
      </c>
      <c r="R90" s="7">
        <f>IF($U90="","",S90-Q90)</f>
        <v/>
      </c>
      <c r="S90" s="7">
        <f>IF($U90="","",L90+O90)</f>
        <v/>
      </c>
      <c r="T90" s="7">
        <f>IF($U90="","",S90-Q90-G90)</f>
        <v/>
      </c>
      <c r="U90" s="13">
        <f>IF(ROWS($U$2:$U90)&lt;=MAX('Per Line'!$Z$2:$Z$501),MATCH(ROWS($U$2:$U90),'Per Line'!$Z$2:$Z$501,0),"")</f>
        <v/>
      </c>
    </row>
    <row r="91">
      <c r="A91" s="12" t="n"/>
      <c r="B91">
        <f>IF($U91="","",INDEX('Per Line'!$A$2:$A$501,$U91)&amp;"")</f>
        <v/>
      </c>
      <c r="C91">
        <f>IF($U91="","",INDEX('Per Line'!$B$2:$B$501,$U91)&amp;"")</f>
        <v/>
      </c>
      <c r="D91">
        <f>IF($U91="","",INDEX('Per Line'!$C$2:$C$501,$U91)&amp;"")</f>
        <v/>
      </c>
      <c r="E91">
        <f>IF($U91="","",INDEX('Per Line'!$D$2:$D$501,$U91)&amp;"")</f>
        <v/>
      </c>
      <c r="F91">
        <f>IF($U91="","",INDEX('Per Line'!$E$2:$E$501,$U91))</f>
        <v/>
      </c>
      <c r="G91" s="7">
        <f>IF($U91="","",F91*S91/100)</f>
        <v/>
      </c>
      <c r="H91" s="11">
        <f>IF($U91="","",INDEX('Per Line'!$R$2:$R$501,$U91))</f>
        <v/>
      </c>
      <c r="I91">
        <f>IF($U91="","",INDEX('Per Line'!$Q$2:$Q$501,$U91)&amp;"")</f>
        <v/>
      </c>
      <c r="J91">
        <f>IF($U91="","",INDEX('Per Line'!$P$2:$P$501,$U91)&amp;"")</f>
        <v/>
      </c>
      <c r="K91">
        <f>IF($U91="","",Settings!$C$7)</f>
        <v/>
      </c>
      <c r="L91" s="7">
        <f>IF($U91="","",SUMIFS('Per Line'!$M$2:$M$501,'Per Line'!$A$2:$A$501,$B91,'Per Line'!$AA$2:$AA$501,0))</f>
        <v/>
      </c>
      <c r="M91" s="7">
        <f>IF($U91="","",L91*K91)</f>
        <v/>
      </c>
      <c r="N91">
        <f>IF($U91="","",Settings!$C$6)</f>
        <v/>
      </c>
      <c r="O91" s="7">
        <f>IF($U91="","",SUMIFS('Per Line'!$M$2:$M$501,'Per Line'!$A$2:$A$501,$B91,'Per Line'!$AA$2:$AA$501,1))</f>
        <v/>
      </c>
      <c r="P91" s="7">
        <f>IF($U91="","",O91*N91)</f>
        <v/>
      </c>
      <c r="Q91" s="7">
        <f>IF($U91="","",P91+M91)</f>
        <v/>
      </c>
      <c r="R91" s="7">
        <f>IF($U91="","",S91-Q91)</f>
        <v/>
      </c>
      <c r="S91" s="7">
        <f>IF($U91="","",L91+O91)</f>
        <v/>
      </c>
      <c r="T91" s="7">
        <f>IF($U91="","",S91-Q91-G91)</f>
        <v/>
      </c>
      <c r="U91" s="13">
        <f>IF(ROWS($U$2:$U91)&lt;=MAX('Per Line'!$Z$2:$Z$501),MATCH(ROWS($U$2:$U91),'Per Line'!$Z$2:$Z$501,0),"")</f>
        <v/>
      </c>
    </row>
    <row r="92">
      <c r="A92" s="12" t="n"/>
      <c r="B92">
        <f>IF($U92="","",INDEX('Per Line'!$A$2:$A$501,$U92)&amp;"")</f>
        <v/>
      </c>
      <c r="C92">
        <f>IF($U92="","",INDEX('Per Line'!$B$2:$B$501,$U92)&amp;"")</f>
        <v/>
      </c>
      <c r="D92">
        <f>IF($U92="","",INDEX('Per Line'!$C$2:$C$501,$U92)&amp;"")</f>
        <v/>
      </c>
      <c r="E92">
        <f>IF($U92="","",INDEX('Per Line'!$D$2:$D$501,$U92)&amp;"")</f>
        <v/>
      </c>
      <c r="F92">
        <f>IF($U92="","",INDEX('Per Line'!$E$2:$E$501,$U92))</f>
        <v/>
      </c>
      <c r="G92" s="7">
        <f>IF($U92="","",F92*S92/100)</f>
        <v/>
      </c>
      <c r="H92" s="11">
        <f>IF($U92="","",INDEX('Per Line'!$R$2:$R$501,$U92))</f>
        <v/>
      </c>
      <c r="I92">
        <f>IF($U92="","",INDEX('Per Line'!$Q$2:$Q$501,$U92)&amp;"")</f>
        <v/>
      </c>
      <c r="J92">
        <f>IF($U92="","",INDEX('Per Line'!$P$2:$P$501,$U92)&amp;"")</f>
        <v/>
      </c>
      <c r="K92">
        <f>IF($U92="","",Settings!$C$7)</f>
        <v/>
      </c>
      <c r="L92" s="7">
        <f>IF($U92="","",SUMIFS('Per Line'!$M$2:$M$501,'Per Line'!$A$2:$A$501,$B92,'Per Line'!$AA$2:$AA$501,0))</f>
        <v/>
      </c>
      <c r="M92" s="7">
        <f>IF($U92="","",L92*K92)</f>
        <v/>
      </c>
      <c r="N92">
        <f>IF($U92="","",Settings!$C$6)</f>
        <v/>
      </c>
      <c r="O92" s="7">
        <f>IF($U92="","",SUMIFS('Per Line'!$M$2:$M$501,'Per Line'!$A$2:$A$501,$B92,'Per Line'!$AA$2:$AA$501,1))</f>
        <v/>
      </c>
      <c r="P92" s="7">
        <f>IF($U92="","",O92*N92)</f>
        <v/>
      </c>
      <c r="Q92" s="7">
        <f>IF($U92="","",P92+M92)</f>
        <v/>
      </c>
      <c r="R92" s="7">
        <f>IF($U92="","",S92-Q92)</f>
        <v/>
      </c>
      <c r="S92" s="7">
        <f>IF($U92="","",L92+O92)</f>
        <v/>
      </c>
      <c r="T92" s="7">
        <f>IF($U92="","",S92-Q92-G92)</f>
        <v/>
      </c>
      <c r="U92" s="13">
        <f>IF(ROWS($U$2:$U92)&lt;=MAX('Per Line'!$Z$2:$Z$501),MATCH(ROWS($U$2:$U92),'Per Line'!$Z$2:$Z$501,0),"")</f>
        <v/>
      </c>
    </row>
    <row r="93">
      <c r="A93" s="12" t="n"/>
      <c r="B93">
        <f>IF($U93="","",INDEX('Per Line'!$A$2:$A$501,$U93)&amp;"")</f>
        <v/>
      </c>
      <c r="C93">
        <f>IF($U93="","",INDEX('Per Line'!$B$2:$B$501,$U93)&amp;"")</f>
        <v/>
      </c>
      <c r="D93">
        <f>IF($U93="","",INDEX('Per Line'!$C$2:$C$501,$U93)&amp;"")</f>
        <v/>
      </c>
      <c r="E93">
        <f>IF($U93="","",INDEX('Per Line'!$D$2:$D$501,$U93)&amp;"")</f>
        <v/>
      </c>
      <c r="F93">
        <f>IF($U93="","",INDEX('Per Line'!$E$2:$E$501,$U93))</f>
        <v/>
      </c>
      <c r="G93" s="7">
        <f>IF($U93="","",F93*S93/100)</f>
        <v/>
      </c>
      <c r="H93" s="11">
        <f>IF($U93="","",INDEX('Per Line'!$R$2:$R$501,$U93))</f>
        <v/>
      </c>
      <c r="I93">
        <f>IF($U93="","",INDEX('Per Line'!$Q$2:$Q$501,$U93)&amp;"")</f>
        <v/>
      </c>
      <c r="J93">
        <f>IF($U93="","",INDEX('Per Line'!$P$2:$P$501,$U93)&amp;"")</f>
        <v/>
      </c>
      <c r="K93">
        <f>IF($U93="","",Settings!$C$7)</f>
        <v/>
      </c>
      <c r="L93" s="7">
        <f>IF($U93="","",SUMIFS('Per Line'!$M$2:$M$501,'Per Line'!$A$2:$A$501,$B93,'Per Line'!$AA$2:$AA$501,0))</f>
        <v/>
      </c>
      <c r="M93" s="7">
        <f>IF($U93="","",L93*K93)</f>
        <v/>
      </c>
      <c r="N93">
        <f>IF($U93="","",Settings!$C$6)</f>
        <v/>
      </c>
      <c r="O93" s="7">
        <f>IF($U93="","",SUMIFS('Per Line'!$M$2:$M$501,'Per Line'!$A$2:$A$501,$B93,'Per Line'!$AA$2:$AA$501,1))</f>
        <v/>
      </c>
      <c r="P93" s="7">
        <f>IF($U93="","",O93*N93)</f>
        <v/>
      </c>
      <c r="Q93" s="7">
        <f>IF($U93="","",P93+M93)</f>
        <v/>
      </c>
      <c r="R93" s="7">
        <f>IF($U93="","",S93-Q93)</f>
        <v/>
      </c>
      <c r="S93" s="7">
        <f>IF($U93="","",L93+O93)</f>
        <v/>
      </c>
      <c r="T93" s="7">
        <f>IF($U93="","",S93-Q93-G93)</f>
        <v/>
      </c>
      <c r="U93" s="13">
        <f>IF(ROWS($U$2:$U93)&lt;=MAX('Per Line'!$Z$2:$Z$501),MATCH(ROWS($U$2:$U93),'Per Line'!$Z$2:$Z$501,0),"")</f>
        <v/>
      </c>
    </row>
    <row r="94">
      <c r="A94" s="12" t="n"/>
      <c r="B94">
        <f>IF($U94="","",INDEX('Per Line'!$A$2:$A$501,$U94)&amp;"")</f>
        <v/>
      </c>
      <c r="C94">
        <f>IF($U94="","",INDEX('Per Line'!$B$2:$B$501,$U94)&amp;"")</f>
        <v/>
      </c>
      <c r="D94">
        <f>IF($U94="","",INDEX('Per Line'!$C$2:$C$501,$U94)&amp;"")</f>
        <v/>
      </c>
      <c r="E94">
        <f>IF($U94="","",INDEX('Per Line'!$D$2:$D$501,$U94)&amp;"")</f>
        <v/>
      </c>
      <c r="F94">
        <f>IF($U94="","",INDEX('Per Line'!$E$2:$E$501,$U94))</f>
        <v/>
      </c>
      <c r="G94" s="7">
        <f>IF($U94="","",F94*S94/100)</f>
        <v/>
      </c>
      <c r="H94" s="11">
        <f>IF($U94="","",INDEX('Per Line'!$R$2:$R$501,$U94))</f>
        <v/>
      </c>
      <c r="I94">
        <f>IF($U94="","",INDEX('Per Line'!$Q$2:$Q$501,$U94)&amp;"")</f>
        <v/>
      </c>
      <c r="J94">
        <f>IF($U94="","",INDEX('Per Line'!$P$2:$P$501,$U94)&amp;"")</f>
        <v/>
      </c>
      <c r="K94">
        <f>IF($U94="","",Settings!$C$7)</f>
        <v/>
      </c>
      <c r="L94" s="7">
        <f>IF($U94="","",SUMIFS('Per Line'!$M$2:$M$501,'Per Line'!$A$2:$A$501,$B94,'Per Line'!$AA$2:$AA$501,0))</f>
        <v/>
      </c>
      <c r="M94" s="7">
        <f>IF($U94="","",L94*K94)</f>
        <v/>
      </c>
      <c r="N94">
        <f>IF($U94="","",Settings!$C$6)</f>
        <v/>
      </c>
      <c r="O94" s="7">
        <f>IF($U94="","",SUMIFS('Per Line'!$M$2:$M$501,'Per Line'!$A$2:$A$501,$B94,'Per Line'!$AA$2:$AA$501,1))</f>
        <v/>
      </c>
      <c r="P94" s="7">
        <f>IF($U94="","",O94*N94)</f>
        <v/>
      </c>
      <c r="Q94" s="7">
        <f>IF($U94="","",P94+M94)</f>
        <v/>
      </c>
      <c r="R94" s="7">
        <f>IF($U94="","",S94-Q94)</f>
        <v/>
      </c>
      <c r="S94" s="7">
        <f>IF($U94="","",L94+O94)</f>
        <v/>
      </c>
      <c r="T94" s="7">
        <f>IF($U94="","",S94-Q94-G94)</f>
        <v/>
      </c>
      <c r="U94" s="13">
        <f>IF(ROWS($U$2:$U94)&lt;=MAX('Per Line'!$Z$2:$Z$501),MATCH(ROWS($U$2:$U94),'Per Line'!$Z$2:$Z$501,0),"")</f>
        <v/>
      </c>
    </row>
    <row r="95">
      <c r="A95" s="12" t="n"/>
      <c r="B95">
        <f>IF($U95="","",INDEX('Per Line'!$A$2:$A$501,$U95)&amp;"")</f>
        <v/>
      </c>
      <c r="C95">
        <f>IF($U95="","",INDEX('Per Line'!$B$2:$B$501,$U95)&amp;"")</f>
        <v/>
      </c>
      <c r="D95">
        <f>IF($U95="","",INDEX('Per Line'!$C$2:$C$501,$U95)&amp;"")</f>
        <v/>
      </c>
      <c r="E95">
        <f>IF($U95="","",INDEX('Per Line'!$D$2:$D$501,$U95)&amp;"")</f>
        <v/>
      </c>
      <c r="F95">
        <f>IF($U95="","",INDEX('Per Line'!$E$2:$E$501,$U95))</f>
        <v/>
      </c>
      <c r="G95" s="7">
        <f>IF($U95="","",F95*S95/100)</f>
        <v/>
      </c>
      <c r="H95" s="11">
        <f>IF($U95="","",INDEX('Per Line'!$R$2:$R$501,$U95))</f>
        <v/>
      </c>
      <c r="I95">
        <f>IF($U95="","",INDEX('Per Line'!$Q$2:$Q$501,$U95)&amp;"")</f>
        <v/>
      </c>
      <c r="J95">
        <f>IF($U95="","",INDEX('Per Line'!$P$2:$P$501,$U95)&amp;"")</f>
        <v/>
      </c>
      <c r="K95">
        <f>IF($U95="","",Settings!$C$7)</f>
        <v/>
      </c>
      <c r="L95" s="7">
        <f>IF($U95="","",SUMIFS('Per Line'!$M$2:$M$501,'Per Line'!$A$2:$A$501,$B95,'Per Line'!$AA$2:$AA$501,0))</f>
        <v/>
      </c>
      <c r="M95" s="7">
        <f>IF($U95="","",L95*K95)</f>
        <v/>
      </c>
      <c r="N95">
        <f>IF($U95="","",Settings!$C$6)</f>
        <v/>
      </c>
      <c r="O95" s="7">
        <f>IF($U95="","",SUMIFS('Per Line'!$M$2:$M$501,'Per Line'!$A$2:$A$501,$B95,'Per Line'!$AA$2:$AA$501,1))</f>
        <v/>
      </c>
      <c r="P95" s="7">
        <f>IF($U95="","",O95*N95)</f>
        <v/>
      </c>
      <c r="Q95" s="7">
        <f>IF($U95="","",P95+M95)</f>
        <v/>
      </c>
      <c r="R95" s="7">
        <f>IF($U95="","",S95-Q95)</f>
        <v/>
      </c>
      <c r="S95" s="7">
        <f>IF($U95="","",L95+O95)</f>
        <v/>
      </c>
      <c r="T95" s="7">
        <f>IF($U95="","",S95-Q95-G95)</f>
        <v/>
      </c>
      <c r="U95" s="13">
        <f>IF(ROWS($U$2:$U95)&lt;=MAX('Per Line'!$Z$2:$Z$501),MATCH(ROWS($U$2:$U95),'Per Line'!$Z$2:$Z$501,0),"")</f>
        <v/>
      </c>
    </row>
    <row r="96">
      <c r="A96" s="12" t="n"/>
      <c r="B96">
        <f>IF($U96="","",INDEX('Per Line'!$A$2:$A$501,$U96)&amp;"")</f>
        <v/>
      </c>
      <c r="C96">
        <f>IF($U96="","",INDEX('Per Line'!$B$2:$B$501,$U96)&amp;"")</f>
        <v/>
      </c>
      <c r="D96">
        <f>IF($U96="","",INDEX('Per Line'!$C$2:$C$501,$U96)&amp;"")</f>
        <v/>
      </c>
      <c r="E96">
        <f>IF($U96="","",INDEX('Per Line'!$D$2:$D$501,$U96)&amp;"")</f>
        <v/>
      </c>
      <c r="F96">
        <f>IF($U96="","",INDEX('Per Line'!$E$2:$E$501,$U96))</f>
        <v/>
      </c>
      <c r="G96" s="7">
        <f>IF($U96="","",F96*S96/100)</f>
        <v/>
      </c>
      <c r="H96" s="11">
        <f>IF($U96="","",INDEX('Per Line'!$R$2:$R$501,$U96))</f>
        <v/>
      </c>
      <c r="I96">
        <f>IF($U96="","",INDEX('Per Line'!$Q$2:$Q$501,$U96)&amp;"")</f>
        <v/>
      </c>
      <c r="J96">
        <f>IF($U96="","",INDEX('Per Line'!$P$2:$P$501,$U96)&amp;"")</f>
        <v/>
      </c>
      <c r="K96">
        <f>IF($U96="","",Settings!$C$7)</f>
        <v/>
      </c>
      <c r="L96" s="7">
        <f>IF($U96="","",SUMIFS('Per Line'!$M$2:$M$501,'Per Line'!$A$2:$A$501,$B96,'Per Line'!$AA$2:$AA$501,0))</f>
        <v/>
      </c>
      <c r="M96" s="7">
        <f>IF($U96="","",L96*K96)</f>
        <v/>
      </c>
      <c r="N96">
        <f>IF($U96="","",Settings!$C$6)</f>
        <v/>
      </c>
      <c r="O96" s="7">
        <f>IF($U96="","",SUMIFS('Per Line'!$M$2:$M$501,'Per Line'!$A$2:$A$501,$B96,'Per Line'!$AA$2:$AA$501,1))</f>
        <v/>
      </c>
      <c r="P96" s="7">
        <f>IF($U96="","",O96*N96)</f>
        <v/>
      </c>
      <c r="Q96" s="7">
        <f>IF($U96="","",P96+M96)</f>
        <v/>
      </c>
      <c r="R96" s="7">
        <f>IF($U96="","",S96-Q96)</f>
        <v/>
      </c>
      <c r="S96" s="7">
        <f>IF($U96="","",L96+O96)</f>
        <v/>
      </c>
      <c r="T96" s="7">
        <f>IF($U96="","",S96-Q96-G96)</f>
        <v/>
      </c>
      <c r="U96" s="13">
        <f>IF(ROWS($U$2:$U96)&lt;=MAX('Per Line'!$Z$2:$Z$501),MATCH(ROWS($U$2:$U96),'Per Line'!$Z$2:$Z$501,0),"")</f>
        <v/>
      </c>
    </row>
    <row r="97">
      <c r="A97" s="12" t="n"/>
      <c r="B97">
        <f>IF($U97="","",INDEX('Per Line'!$A$2:$A$501,$U97)&amp;"")</f>
        <v/>
      </c>
      <c r="C97">
        <f>IF($U97="","",INDEX('Per Line'!$B$2:$B$501,$U97)&amp;"")</f>
        <v/>
      </c>
      <c r="D97">
        <f>IF($U97="","",INDEX('Per Line'!$C$2:$C$501,$U97)&amp;"")</f>
        <v/>
      </c>
      <c r="E97">
        <f>IF($U97="","",INDEX('Per Line'!$D$2:$D$501,$U97)&amp;"")</f>
        <v/>
      </c>
      <c r="F97">
        <f>IF($U97="","",INDEX('Per Line'!$E$2:$E$501,$U97))</f>
        <v/>
      </c>
      <c r="G97" s="7">
        <f>IF($U97="","",F97*S97/100)</f>
        <v/>
      </c>
      <c r="H97" s="11">
        <f>IF($U97="","",INDEX('Per Line'!$R$2:$R$501,$U97))</f>
        <v/>
      </c>
      <c r="I97">
        <f>IF($U97="","",INDEX('Per Line'!$Q$2:$Q$501,$U97)&amp;"")</f>
        <v/>
      </c>
      <c r="J97">
        <f>IF($U97="","",INDEX('Per Line'!$P$2:$P$501,$U97)&amp;"")</f>
        <v/>
      </c>
      <c r="K97">
        <f>IF($U97="","",Settings!$C$7)</f>
        <v/>
      </c>
      <c r="L97" s="7">
        <f>IF($U97="","",SUMIFS('Per Line'!$M$2:$M$501,'Per Line'!$A$2:$A$501,$B97,'Per Line'!$AA$2:$AA$501,0))</f>
        <v/>
      </c>
      <c r="M97" s="7">
        <f>IF($U97="","",L97*K97)</f>
        <v/>
      </c>
      <c r="N97">
        <f>IF($U97="","",Settings!$C$6)</f>
        <v/>
      </c>
      <c r="O97" s="7">
        <f>IF($U97="","",SUMIFS('Per Line'!$M$2:$M$501,'Per Line'!$A$2:$A$501,$B97,'Per Line'!$AA$2:$AA$501,1))</f>
        <v/>
      </c>
      <c r="P97" s="7">
        <f>IF($U97="","",O97*N97)</f>
        <v/>
      </c>
      <c r="Q97" s="7">
        <f>IF($U97="","",P97+M97)</f>
        <v/>
      </c>
      <c r="R97" s="7">
        <f>IF($U97="","",S97-Q97)</f>
        <v/>
      </c>
      <c r="S97" s="7">
        <f>IF($U97="","",L97+O97)</f>
        <v/>
      </c>
      <c r="T97" s="7">
        <f>IF($U97="","",S97-Q97-G97)</f>
        <v/>
      </c>
      <c r="U97" s="13">
        <f>IF(ROWS($U$2:$U97)&lt;=MAX('Per Line'!$Z$2:$Z$501),MATCH(ROWS($U$2:$U97),'Per Line'!$Z$2:$Z$501,0),"")</f>
        <v/>
      </c>
    </row>
    <row r="98">
      <c r="A98" s="12" t="n"/>
      <c r="B98">
        <f>IF($U98="","",INDEX('Per Line'!$A$2:$A$501,$U98)&amp;"")</f>
        <v/>
      </c>
      <c r="C98">
        <f>IF($U98="","",INDEX('Per Line'!$B$2:$B$501,$U98)&amp;"")</f>
        <v/>
      </c>
      <c r="D98">
        <f>IF($U98="","",INDEX('Per Line'!$C$2:$C$501,$U98)&amp;"")</f>
        <v/>
      </c>
      <c r="E98">
        <f>IF($U98="","",INDEX('Per Line'!$D$2:$D$501,$U98)&amp;"")</f>
        <v/>
      </c>
      <c r="F98">
        <f>IF($U98="","",INDEX('Per Line'!$E$2:$E$501,$U98))</f>
        <v/>
      </c>
      <c r="G98" s="7">
        <f>IF($U98="","",F98*S98/100)</f>
        <v/>
      </c>
      <c r="H98" s="11">
        <f>IF($U98="","",INDEX('Per Line'!$R$2:$R$501,$U98))</f>
        <v/>
      </c>
      <c r="I98">
        <f>IF($U98="","",INDEX('Per Line'!$Q$2:$Q$501,$U98)&amp;"")</f>
        <v/>
      </c>
      <c r="J98">
        <f>IF($U98="","",INDEX('Per Line'!$P$2:$P$501,$U98)&amp;"")</f>
        <v/>
      </c>
      <c r="K98">
        <f>IF($U98="","",Settings!$C$7)</f>
        <v/>
      </c>
      <c r="L98" s="7">
        <f>IF($U98="","",SUMIFS('Per Line'!$M$2:$M$501,'Per Line'!$A$2:$A$501,$B98,'Per Line'!$AA$2:$AA$501,0))</f>
        <v/>
      </c>
      <c r="M98" s="7">
        <f>IF($U98="","",L98*K98)</f>
        <v/>
      </c>
      <c r="N98">
        <f>IF($U98="","",Settings!$C$6)</f>
        <v/>
      </c>
      <c r="O98" s="7">
        <f>IF($U98="","",SUMIFS('Per Line'!$M$2:$M$501,'Per Line'!$A$2:$A$501,$B98,'Per Line'!$AA$2:$AA$501,1))</f>
        <v/>
      </c>
      <c r="P98" s="7">
        <f>IF($U98="","",O98*N98)</f>
        <v/>
      </c>
      <c r="Q98" s="7">
        <f>IF($U98="","",P98+M98)</f>
        <v/>
      </c>
      <c r="R98" s="7">
        <f>IF($U98="","",S98-Q98)</f>
        <v/>
      </c>
      <c r="S98" s="7">
        <f>IF($U98="","",L98+O98)</f>
        <v/>
      </c>
      <c r="T98" s="7">
        <f>IF($U98="","",S98-Q98-G98)</f>
        <v/>
      </c>
      <c r="U98" s="13">
        <f>IF(ROWS($U$2:$U98)&lt;=MAX('Per Line'!$Z$2:$Z$501),MATCH(ROWS($U$2:$U98),'Per Line'!$Z$2:$Z$501,0),"")</f>
        <v/>
      </c>
    </row>
    <row r="99">
      <c r="A99" s="12" t="n"/>
      <c r="B99">
        <f>IF($U99="","",INDEX('Per Line'!$A$2:$A$501,$U99)&amp;"")</f>
        <v/>
      </c>
      <c r="C99">
        <f>IF($U99="","",INDEX('Per Line'!$B$2:$B$501,$U99)&amp;"")</f>
        <v/>
      </c>
      <c r="D99">
        <f>IF($U99="","",INDEX('Per Line'!$C$2:$C$501,$U99)&amp;"")</f>
        <v/>
      </c>
      <c r="E99">
        <f>IF($U99="","",INDEX('Per Line'!$D$2:$D$501,$U99)&amp;"")</f>
        <v/>
      </c>
      <c r="F99">
        <f>IF($U99="","",INDEX('Per Line'!$E$2:$E$501,$U99))</f>
        <v/>
      </c>
      <c r="G99" s="7">
        <f>IF($U99="","",F99*S99/100)</f>
        <v/>
      </c>
      <c r="H99" s="11">
        <f>IF($U99="","",INDEX('Per Line'!$R$2:$R$501,$U99))</f>
        <v/>
      </c>
      <c r="I99">
        <f>IF($U99="","",INDEX('Per Line'!$Q$2:$Q$501,$U99)&amp;"")</f>
        <v/>
      </c>
      <c r="J99">
        <f>IF($U99="","",INDEX('Per Line'!$P$2:$P$501,$U99)&amp;"")</f>
        <v/>
      </c>
      <c r="K99">
        <f>IF($U99="","",Settings!$C$7)</f>
        <v/>
      </c>
      <c r="L99" s="7">
        <f>IF($U99="","",SUMIFS('Per Line'!$M$2:$M$501,'Per Line'!$A$2:$A$501,$B99,'Per Line'!$AA$2:$AA$501,0))</f>
        <v/>
      </c>
      <c r="M99" s="7">
        <f>IF($U99="","",L99*K99)</f>
        <v/>
      </c>
      <c r="N99">
        <f>IF($U99="","",Settings!$C$6)</f>
        <v/>
      </c>
      <c r="O99" s="7">
        <f>IF($U99="","",SUMIFS('Per Line'!$M$2:$M$501,'Per Line'!$A$2:$A$501,$B99,'Per Line'!$AA$2:$AA$501,1))</f>
        <v/>
      </c>
      <c r="P99" s="7">
        <f>IF($U99="","",O99*N99)</f>
        <v/>
      </c>
      <c r="Q99" s="7">
        <f>IF($U99="","",P99+M99)</f>
        <v/>
      </c>
      <c r="R99" s="7">
        <f>IF($U99="","",S99-Q99)</f>
        <v/>
      </c>
      <c r="S99" s="7">
        <f>IF($U99="","",L99+O99)</f>
        <v/>
      </c>
      <c r="T99" s="7">
        <f>IF($U99="","",S99-Q99-G99)</f>
        <v/>
      </c>
      <c r="U99" s="13">
        <f>IF(ROWS($U$2:$U99)&lt;=MAX('Per Line'!$Z$2:$Z$501),MATCH(ROWS($U$2:$U99),'Per Line'!$Z$2:$Z$501,0),"")</f>
        <v/>
      </c>
    </row>
    <row r="100">
      <c r="A100" s="12" t="n"/>
      <c r="B100">
        <f>IF($U100="","",INDEX('Per Line'!$A$2:$A$501,$U100)&amp;"")</f>
        <v/>
      </c>
      <c r="C100">
        <f>IF($U100="","",INDEX('Per Line'!$B$2:$B$501,$U100)&amp;"")</f>
        <v/>
      </c>
      <c r="D100">
        <f>IF($U100="","",INDEX('Per Line'!$C$2:$C$501,$U100)&amp;"")</f>
        <v/>
      </c>
      <c r="E100">
        <f>IF($U100="","",INDEX('Per Line'!$D$2:$D$501,$U100)&amp;"")</f>
        <v/>
      </c>
      <c r="F100">
        <f>IF($U100="","",INDEX('Per Line'!$E$2:$E$501,$U100))</f>
        <v/>
      </c>
      <c r="G100" s="7">
        <f>IF($U100="","",F100*S100/100)</f>
        <v/>
      </c>
      <c r="H100" s="11">
        <f>IF($U100="","",INDEX('Per Line'!$R$2:$R$501,$U100))</f>
        <v/>
      </c>
      <c r="I100">
        <f>IF($U100="","",INDEX('Per Line'!$Q$2:$Q$501,$U100)&amp;"")</f>
        <v/>
      </c>
      <c r="J100">
        <f>IF($U100="","",INDEX('Per Line'!$P$2:$P$501,$U100)&amp;"")</f>
        <v/>
      </c>
      <c r="K100">
        <f>IF($U100="","",Settings!$C$7)</f>
        <v/>
      </c>
      <c r="L100" s="7">
        <f>IF($U100="","",SUMIFS('Per Line'!$M$2:$M$501,'Per Line'!$A$2:$A$501,$B100,'Per Line'!$AA$2:$AA$501,0))</f>
        <v/>
      </c>
      <c r="M100" s="7">
        <f>IF($U100="","",L100*K100)</f>
        <v/>
      </c>
      <c r="N100">
        <f>IF($U100="","",Settings!$C$6)</f>
        <v/>
      </c>
      <c r="O100" s="7">
        <f>IF($U100="","",SUMIFS('Per Line'!$M$2:$M$501,'Per Line'!$A$2:$A$501,$B100,'Per Line'!$AA$2:$AA$501,1))</f>
        <v/>
      </c>
      <c r="P100" s="7">
        <f>IF($U100="","",O100*N100)</f>
        <v/>
      </c>
      <c r="Q100" s="7">
        <f>IF($U100="","",P100+M100)</f>
        <v/>
      </c>
      <c r="R100" s="7">
        <f>IF($U100="","",S100-Q100)</f>
        <v/>
      </c>
      <c r="S100" s="7">
        <f>IF($U100="","",L100+O100)</f>
        <v/>
      </c>
      <c r="T100" s="7">
        <f>IF($U100="","",S100-Q100-G100)</f>
        <v/>
      </c>
      <c r="U100" s="13">
        <f>IF(ROWS($U$2:$U100)&lt;=MAX('Per Line'!$Z$2:$Z$501),MATCH(ROWS($U$2:$U100),'Per Line'!$Z$2:$Z$501,0),"")</f>
        <v/>
      </c>
    </row>
    <row r="101">
      <c r="A101" s="12" t="n"/>
      <c r="B101">
        <f>IF($U101="","",INDEX('Per Line'!$A$2:$A$501,$U101)&amp;"")</f>
        <v/>
      </c>
      <c r="C101">
        <f>IF($U101="","",INDEX('Per Line'!$B$2:$B$501,$U101)&amp;"")</f>
        <v/>
      </c>
      <c r="D101">
        <f>IF($U101="","",INDEX('Per Line'!$C$2:$C$501,$U101)&amp;"")</f>
        <v/>
      </c>
      <c r="E101">
        <f>IF($U101="","",INDEX('Per Line'!$D$2:$D$501,$U101)&amp;"")</f>
        <v/>
      </c>
      <c r="F101">
        <f>IF($U101="","",INDEX('Per Line'!$E$2:$E$501,$U101))</f>
        <v/>
      </c>
      <c r="G101" s="7">
        <f>IF($U101="","",F101*S101/100)</f>
        <v/>
      </c>
      <c r="H101" s="11">
        <f>IF($U101="","",INDEX('Per Line'!$R$2:$R$501,$U101))</f>
        <v/>
      </c>
      <c r="I101">
        <f>IF($U101="","",INDEX('Per Line'!$Q$2:$Q$501,$U101)&amp;"")</f>
        <v/>
      </c>
      <c r="J101">
        <f>IF($U101="","",INDEX('Per Line'!$P$2:$P$501,$U101)&amp;"")</f>
        <v/>
      </c>
      <c r="K101">
        <f>IF($U101="","",Settings!$C$7)</f>
        <v/>
      </c>
      <c r="L101" s="7">
        <f>IF($U101="","",SUMIFS('Per Line'!$M$2:$M$501,'Per Line'!$A$2:$A$501,$B101,'Per Line'!$AA$2:$AA$501,0))</f>
        <v/>
      </c>
      <c r="M101" s="7">
        <f>IF($U101="","",L101*K101)</f>
        <v/>
      </c>
      <c r="N101">
        <f>IF($U101="","",Settings!$C$6)</f>
        <v/>
      </c>
      <c r="O101" s="7">
        <f>IF($U101="","",SUMIFS('Per Line'!$M$2:$M$501,'Per Line'!$A$2:$A$501,$B101,'Per Line'!$AA$2:$AA$501,1))</f>
        <v/>
      </c>
      <c r="P101" s="7">
        <f>IF($U101="","",O101*N101)</f>
        <v/>
      </c>
      <c r="Q101" s="7">
        <f>IF($U101="","",P101+M101)</f>
        <v/>
      </c>
      <c r="R101" s="7">
        <f>IF($U101="","",S101-Q101)</f>
        <v/>
      </c>
      <c r="S101" s="7">
        <f>IF($U101="","",L101+O101)</f>
        <v/>
      </c>
      <c r="T101" s="7">
        <f>IF($U101="","",S101-Q101-G101)</f>
        <v/>
      </c>
      <c r="U101" s="13">
        <f>IF(ROWS($U$2:$U101)&lt;=MAX('Per Line'!$Z$2:$Z$501),MATCH(ROWS($U$2:$U101),'Per Line'!$Z$2:$Z$501,0),"")</f>
        <v/>
      </c>
    </row>
    <row r="102">
      <c r="A102" s="12" t="n"/>
      <c r="B102">
        <f>IF($U102="","",INDEX('Per Line'!$A$2:$A$501,$U102)&amp;"")</f>
        <v/>
      </c>
      <c r="C102">
        <f>IF($U102="","",INDEX('Per Line'!$B$2:$B$501,$U102)&amp;"")</f>
        <v/>
      </c>
      <c r="D102">
        <f>IF($U102="","",INDEX('Per Line'!$C$2:$C$501,$U102)&amp;"")</f>
        <v/>
      </c>
      <c r="E102">
        <f>IF($U102="","",INDEX('Per Line'!$D$2:$D$501,$U102)&amp;"")</f>
        <v/>
      </c>
      <c r="F102">
        <f>IF($U102="","",INDEX('Per Line'!$E$2:$E$501,$U102))</f>
        <v/>
      </c>
      <c r="G102" s="7">
        <f>IF($U102="","",F102*S102/100)</f>
        <v/>
      </c>
      <c r="H102" s="11">
        <f>IF($U102="","",INDEX('Per Line'!$R$2:$R$501,$U102))</f>
        <v/>
      </c>
      <c r="I102">
        <f>IF($U102="","",INDEX('Per Line'!$Q$2:$Q$501,$U102)&amp;"")</f>
        <v/>
      </c>
      <c r="J102">
        <f>IF($U102="","",INDEX('Per Line'!$P$2:$P$501,$U102)&amp;"")</f>
        <v/>
      </c>
      <c r="K102">
        <f>IF($U102="","",Settings!$C$7)</f>
        <v/>
      </c>
      <c r="L102" s="7">
        <f>IF($U102="","",SUMIFS('Per Line'!$M$2:$M$501,'Per Line'!$A$2:$A$501,$B102,'Per Line'!$AA$2:$AA$501,0))</f>
        <v/>
      </c>
      <c r="M102" s="7">
        <f>IF($U102="","",L102*K102)</f>
        <v/>
      </c>
      <c r="N102">
        <f>IF($U102="","",Settings!$C$6)</f>
        <v/>
      </c>
      <c r="O102" s="7">
        <f>IF($U102="","",SUMIFS('Per Line'!$M$2:$M$501,'Per Line'!$A$2:$A$501,$B102,'Per Line'!$AA$2:$AA$501,1))</f>
        <v/>
      </c>
      <c r="P102" s="7">
        <f>IF($U102="","",O102*N102)</f>
        <v/>
      </c>
      <c r="Q102" s="7">
        <f>IF($U102="","",P102+M102)</f>
        <v/>
      </c>
      <c r="R102" s="7">
        <f>IF($U102="","",S102-Q102)</f>
        <v/>
      </c>
      <c r="S102" s="7">
        <f>IF($U102="","",L102+O102)</f>
        <v/>
      </c>
      <c r="T102" s="7">
        <f>IF($U102="","",S102-Q102-G102)</f>
        <v/>
      </c>
      <c r="U102" s="13">
        <f>IF(ROWS($U$2:$U102)&lt;=MAX('Per Line'!$Z$2:$Z$501),MATCH(ROWS($U$2:$U102),'Per Line'!$Z$2:$Z$501,0),"")</f>
        <v/>
      </c>
    </row>
    <row r="103">
      <c r="A103" s="12" t="n"/>
      <c r="B103">
        <f>IF($U103="","",INDEX('Per Line'!$A$2:$A$501,$U103)&amp;"")</f>
        <v/>
      </c>
      <c r="C103">
        <f>IF($U103="","",INDEX('Per Line'!$B$2:$B$501,$U103)&amp;"")</f>
        <v/>
      </c>
      <c r="D103">
        <f>IF($U103="","",INDEX('Per Line'!$C$2:$C$501,$U103)&amp;"")</f>
        <v/>
      </c>
      <c r="E103">
        <f>IF($U103="","",INDEX('Per Line'!$D$2:$D$501,$U103)&amp;"")</f>
        <v/>
      </c>
      <c r="F103">
        <f>IF($U103="","",INDEX('Per Line'!$E$2:$E$501,$U103))</f>
        <v/>
      </c>
      <c r="G103" s="7">
        <f>IF($U103="","",F103*S103/100)</f>
        <v/>
      </c>
      <c r="H103" s="11">
        <f>IF($U103="","",INDEX('Per Line'!$R$2:$R$501,$U103))</f>
        <v/>
      </c>
      <c r="I103">
        <f>IF($U103="","",INDEX('Per Line'!$Q$2:$Q$501,$U103)&amp;"")</f>
        <v/>
      </c>
      <c r="J103">
        <f>IF($U103="","",INDEX('Per Line'!$P$2:$P$501,$U103)&amp;"")</f>
        <v/>
      </c>
      <c r="K103">
        <f>IF($U103="","",Settings!$C$7)</f>
        <v/>
      </c>
      <c r="L103" s="7">
        <f>IF($U103="","",SUMIFS('Per Line'!$M$2:$M$501,'Per Line'!$A$2:$A$501,$B103,'Per Line'!$AA$2:$AA$501,0))</f>
        <v/>
      </c>
      <c r="M103" s="7">
        <f>IF($U103="","",L103*K103)</f>
        <v/>
      </c>
      <c r="N103">
        <f>IF($U103="","",Settings!$C$6)</f>
        <v/>
      </c>
      <c r="O103" s="7">
        <f>IF($U103="","",SUMIFS('Per Line'!$M$2:$M$501,'Per Line'!$A$2:$A$501,$B103,'Per Line'!$AA$2:$AA$501,1))</f>
        <v/>
      </c>
      <c r="P103" s="7">
        <f>IF($U103="","",O103*N103)</f>
        <v/>
      </c>
      <c r="Q103" s="7">
        <f>IF($U103="","",P103+M103)</f>
        <v/>
      </c>
      <c r="R103" s="7">
        <f>IF($U103="","",S103-Q103)</f>
        <v/>
      </c>
      <c r="S103" s="7">
        <f>IF($U103="","",L103+O103)</f>
        <v/>
      </c>
      <c r="T103" s="7">
        <f>IF($U103="","",S103-Q103-G103)</f>
        <v/>
      </c>
      <c r="U103" s="13">
        <f>IF(ROWS($U$2:$U103)&lt;=MAX('Per Line'!$Z$2:$Z$501),MATCH(ROWS($U$2:$U103),'Per Line'!$Z$2:$Z$501,0),"")</f>
        <v/>
      </c>
    </row>
    <row r="104">
      <c r="A104" s="12" t="n"/>
      <c r="B104">
        <f>IF($U104="","",INDEX('Per Line'!$A$2:$A$501,$U104)&amp;"")</f>
        <v/>
      </c>
      <c r="C104">
        <f>IF($U104="","",INDEX('Per Line'!$B$2:$B$501,$U104)&amp;"")</f>
        <v/>
      </c>
      <c r="D104">
        <f>IF($U104="","",INDEX('Per Line'!$C$2:$C$501,$U104)&amp;"")</f>
        <v/>
      </c>
      <c r="E104">
        <f>IF($U104="","",INDEX('Per Line'!$D$2:$D$501,$U104)&amp;"")</f>
        <v/>
      </c>
      <c r="F104">
        <f>IF($U104="","",INDEX('Per Line'!$E$2:$E$501,$U104))</f>
        <v/>
      </c>
      <c r="G104" s="7">
        <f>IF($U104="","",F104*S104/100)</f>
        <v/>
      </c>
      <c r="H104" s="11">
        <f>IF($U104="","",INDEX('Per Line'!$R$2:$R$501,$U104))</f>
        <v/>
      </c>
      <c r="I104">
        <f>IF($U104="","",INDEX('Per Line'!$Q$2:$Q$501,$U104)&amp;"")</f>
        <v/>
      </c>
      <c r="J104">
        <f>IF($U104="","",INDEX('Per Line'!$P$2:$P$501,$U104)&amp;"")</f>
        <v/>
      </c>
      <c r="K104">
        <f>IF($U104="","",Settings!$C$7)</f>
        <v/>
      </c>
      <c r="L104" s="7">
        <f>IF($U104="","",SUMIFS('Per Line'!$M$2:$M$501,'Per Line'!$A$2:$A$501,$B104,'Per Line'!$AA$2:$AA$501,0))</f>
        <v/>
      </c>
      <c r="M104" s="7">
        <f>IF($U104="","",L104*K104)</f>
        <v/>
      </c>
      <c r="N104">
        <f>IF($U104="","",Settings!$C$6)</f>
        <v/>
      </c>
      <c r="O104" s="7">
        <f>IF($U104="","",SUMIFS('Per Line'!$M$2:$M$501,'Per Line'!$A$2:$A$501,$B104,'Per Line'!$AA$2:$AA$501,1))</f>
        <v/>
      </c>
      <c r="P104" s="7">
        <f>IF($U104="","",O104*N104)</f>
        <v/>
      </c>
      <c r="Q104" s="7">
        <f>IF($U104="","",P104+M104)</f>
        <v/>
      </c>
      <c r="R104" s="7">
        <f>IF($U104="","",S104-Q104)</f>
        <v/>
      </c>
      <c r="S104" s="7">
        <f>IF($U104="","",L104+O104)</f>
        <v/>
      </c>
      <c r="T104" s="7">
        <f>IF($U104="","",S104-Q104-G104)</f>
        <v/>
      </c>
      <c r="U104" s="13">
        <f>IF(ROWS($U$2:$U104)&lt;=MAX('Per Line'!$Z$2:$Z$501),MATCH(ROWS($U$2:$U104),'Per Line'!$Z$2:$Z$501,0),"")</f>
        <v/>
      </c>
    </row>
    <row r="105">
      <c r="A105" s="12" t="n"/>
      <c r="B105">
        <f>IF($U105="","",INDEX('Per Line'!$A$2:$A$501,$U105)&amp;"")</f>
        <v/>
      </c>
      <c r="C105">
        <f>IF($U105="","",INDEX('Per Line'!$B$2:$B$501,$U105)&amp;"")</f>
        <v/>
      </c>
      <c r="D105">
        <f>IF($U105="","",INDEX('Per Line'!$C$2:$C$501,$U105)&amp;"")</f>
        <v/>
      </c>
      <c r="E105">
        <f>IF($U105="","",INDEX('Per Line'!$D$2:$D$501,$U105)&amp;"")</f>
        <v/>
      </c>
      <c r="F105">
        <f>IF($U105="","",INDEX('Per Line'!$E$2:$E$501,$U105))</f>
        <v/>
      </c>
      <c r="G105" s="7">
        <f>IF($U105="","",F105*S105/100)</f>
        <v/>
      </c>
      <c r="H105" s="11">
        <f>IF($U105="","",INDEX('Per Line'!$R$2:$R$501,$U105))</f>
        <v/>
      </c>
      <c r="I105">
        <f>IF($U105="","",INDEX('Per Line'!$Q$2:$Q$501,$U105)&amp;"")</f>
        <v/>
      </c>
      <c r="J105">
        <f>IF($U105="","",INDEX('Per Line'!$P$2:$P$501,$U105)&amp;"")</f>
        <v/>
      </c>
      <c r="K105">
        <f>IF($U105="","",Settings!$C$7)</f>
        <v/>
      </c>
      <c r="L105" s="7">
        <f>IF($U105="","",SUMIFS('Per Line'!$M$2:$M$501,'Per Line'!$A$2:$A$501,$B105,'Per Line'!$AA$2:$AA$501,0))</f>
        <v/>
      </c>
      <c r="M105" s="7">
        <f>IF($U105="","",L105*K105)</f>
        <v/>
      </c>
      <c r="N105">
        <f>IF($U105="","",Settings!$C$6)</f>
        <v/>
      </c>
      <c r="O105" s="7">
        <f>IF($U105="","",SUMIFS('Per Line'!$M$2:$M$501,'Per Line'!$A$2:$A$501,$B105,'Per Line'!$AA$2:$AA$501,1))</f>
        <v/>
      </c>
      <c r="P105" s="7">
        <f>IF($U105="","",O105*N105)</f>
        <v/>
      </c>
      <c r="Q105" s="7">
        <f>IF($U105="","",P105+M105)</f>
        <v/>
      </c>
      <c r="R105" s="7">
        <f>IF($U105="","",S105-Q105)</f>
        <v/>
      </c>
      <c r="S105" s="7">
        <f>IF($U105="","",L105+O105)</f>
        <v/>
      </c>
      <c r="T105" s="7">
        <f>IF($U105="","",S105-Q105-G105)</f>
        <v/>
      </c>
      <c r="U105" s="13">
        <f>IF(ROWS($U$2:$U105)&lt;=MAX('Per Line'!$Z$2:$Z$501),MATCH(ROWS($U$2:$U105),'Per Line'!$Z$2:$Z$501,0),"")</f>
        <v/>
      </c>
    </row>
    <row r="106">
      <c r="A106" s="12" t="n"/>
      <c r="B106">
        <f>IF($U106="","",INDEX('Per Line'!$A$2:$A$501,$U106)&amp;"")</f>
        <v/>
      </c>
      <c r="C106">
        <f>IF($U106="","",INDEX('Per Line'!$B$2:$B$501,$U106)&amp;"")</f>
        <v/>
      </c>
      <c r="D106">
        <f>IF($U106="","",INDEX('Per Line'!$C$2:$C$501,$U106)&amp;"")</f>
        <v/>
      </c>
      <c r="E106">
        <f>IF($U106="","",INDEX('Per Line'!$D$2:$D$501,$U106)&amp;"")</f>
        <v/>
      </c>
      <c r="F106">
        <f>IF($U106="","",INDEX('Per Line'!$E$2:$E$501,$U106))</f>
        <v/>
      </c>
      <c r="G106" s="7">
        <f>IF($U106="","",F106*S106/100)</f>
        <v/>
      </c>
      <c r="H106" s="11">
        <f>IF($U106="","",INDEX('Per Line'!$R$2:$R$501,$U106))</f>
        <v/>
      </c>
      <c r="I106">
        <f>IF($U106="","",INDEX('Per Line'!$Q$2:$Q$501,$U106)&amp;"")</f>
        <v/>
      </c>
      <c r="J106">
        <f>IF($U106="","",INDEX('Per Line'!$P$2:$P$501,$U106)&amp;"")</f>
        <v/>
      </c>
      <c r="K106">
        <f>IF($U106="","",Settings!$C$7)</f>
        <v/>
      </c>
      <c r="L106" s="7">
        <f>IF($U106="","",SUMIFS('Per Line'!$M$2:$M$501,'Per Line'!$A$2:$A$501,$B106,'Per Line'!$AA$2:$AA$501,0))</f>
        <v/>
      </c>
      <c r="M106" s="7">
        <f>IF($U106="","",L106*K106)</f>
        <v/>
      </c>
      <c r="N106">
        <f>IF($U106="","",Settings!$C$6)</f>
        <v/>
      </c>
      <c r="O106" s="7">
        <f>IF($U106="","",SUMIFS('Per Line'!$M$2:$M$501,'Per Line'!$A$2:$A$501,$B106,'Per Line'!$AA$2:$AA$501,1))</f>
        <v/>
      </c>
      <c r="P106" s="7">
        <f>IF($U106="","",O106*N106)</f>
        <v/>
      </c>
      <c r="Q106" s="7">
        <f>IF($U106="","",P106+M106)</f>
        <v/>
      </c>
      <c r="R106" s="7">
        <f>IF($U106="","",S106-Q106)</f>
        <v/>
      </c>
      <c r="S106" s="7">
        <f>IF($U106="","",L106+O106)</f>
        <v/>
      </c>
      <c r="T106" s="7">
        <f>IF($U106="","",S106-Q106-G106)</f>
        <v/>
      </c>
      <c r="U106" s="13">
        <f>IF(ROWS($U$2:$U106)&lt;=MAX('Per Line'!$Z$2:$Z$501),MATCH(ROWS($U$2:$U106),'Per Line'!$Z$2:$Z$501,0),"")</f>
        <v/>
      </c>
    </row>
    <row r="107">
      <c r="A107" s="12" t="n"/>
      <c r="B107">
        <f>IF($U107="","",INDEX('Per Line'!$A$2:$A$501,$U107)&amp;"")</f>
        <v/>
      </c>
      <c r="C107">
        <f>IF($U107="","",INDEX('Per Line'!$B$2:$B$501,$U107)&amp;"")</f>
        <v/>
      </c>
      <c r="D107">
        <f>IF($U107="","",INDEX('Per Line'!$C$2:$C$501,$U107)&amp;"")</f>
        <v/>
      </c>
      <c r="E107">
        <f>IF($U107="","",INDEX('Per Line'!$D$2:$D$501,$U107)&amp;"")</f>
        <v/>
      </c>
      <c r="F107">
        <f>IF($U107="","",INDEX('Per Line'!$E$2:$E$501,$U107))</f>
        <v/>
      </c>
      <c r="G107" s="7">
        <f>IF($U107="","",F107*S107/100)</f>
        <v/>
      </c>
      <c r="H107" s="11">
        <f>IF($U107="","",INDEX('Per Line'!$R$2:$R$501,$U107))</f>
        <v/>
      </c>
      <c r="I107">
        <f>IF($U107="","",INDEX('Per Line'!$Q$2:$Q$501,$U107)&amp;"")</f>
        <v/>
      </c>
      <c r="J107">
        <f>IF($U107="","",INDEX('Per Line'!$P$2:$P$501,$U107)&amp;"")</f>
        <v/>
      </c>
      <c r="K107">
        <f>IF($U107="","",Settings!$C$7)</f>
        <v/>
      </c>
      <c r="L107" s="7">
        <f>IF($U107="","",SUMIFS('Per Line'!$M$2:$M$501,'Per Line'!$A$2:$A$501,$B107,'Per Line'!$AA$2:$AA$501,0))</f>
        <v/>
      </c>
      <c r="M107" s="7">
        <f>IF($U107="","",L107*K107)</f>
        <v/>
      </c>
      <c r="N107">
        <f>IF($U107="","",Settings!$C$6)</f>
        <v/>
      </c>
      <c r="O107" s="7">
        <f>IF($U107="","",SUMIFS('Per Line'!$M$2:$M$501,'Per Line'!$A$2:$A$501,$B107,'Per Line'!$AA$2:$AA$501,1))</f>
        <v/>
      </c>
      <c r="P107" s="7">
        <f>IF($U107="","",O107*N107)</f>
        <v/>
      </c>
      <c r="Q107" s="7">
        <f>IF($U107="","",P107+M107)</f>
        <v/>
      </c>
      <c r="R107" s="7">
        <f>IF($U107="","",S107-Q107)</f>
        <v/>
      </c>
      <c r="S107" s="7">
        <f>IF($U107="","",L107+O107)</f>
        <v/>
      </c>
      <c r="T107" s="7">
        <f>IF($U107="","",S107-Q107-G107)</f>
        <v/>
      </c>
      <c r="U107" s="13">
        <f>IF(ROWS($U$2:$U107)&lt;=MAX('Per Line'!$Z$2:$Z$501),MATCH(ROWS($U$2:$U107),'Per Line'!$Z$2:$Z$501,0),"")</f>
        <v/>
      </c>
    </row>
    <row r="108">
      <c r="A108" s="12" t="n"/>
      <c r="B108">
        <f>IF($U108="","",INDEX('Per Line'!$A$2:$A$501,$U108)&amp;"")</f>
        <v/>
      </c>
      <c r="C108">
        <f>IF($U108="","",INDEX('Per Line'!$B$2:$B$501,$U108)&amp;"")</f>
        <v/>
      </c>
      <c r="D108">
        <f>IF($U108="","",INDEX('Per Line'!$C$2:$C$501,$U108)&amp;"")</f>
        <v/>
      </c>
      <c r="E108">
        <f>IF($U108="","",INDEX('Per Line'!$D$2:$D$501,$U108)&amp;"")</f>
        <v/>
      </c>
      <c r="F108">
        <f>IF($U108="","",INDEX('Per Line'!$E$2:$E$501,$U108))</f>
        <v/>
      </c>
      <c r="G108" s="7">
        <f>IF($U108="","",F108*S108/100)</f>
        <v/>
      </c>
      <c r="H108" s="11">
        <f>IF($U108="","",INDEX('Per Line'!$R$2:$R$501,$U108))</f>
        <v/>
      </c>
      <c r="I108">
        <f>IF($U108="","",INDEX('Per Line'!$Q$2:$Q$501,$U108)&amp;"")</f>
        <v/>
      </c>
      <c r="J108">
        <f>IF($U108="","",INDEX('Per Line'!$P$2:$P$501,$U108)&amp;"")</f>
        <v/>
      </c>
      <c r="K108">
        <f>IF($U108="","",Settings!$C$7)</f>
        <v/>
      </c>
      <c r="L108" s="7">
        <f>IF($U108="","",SUMIFS('Per Line'!$M$2:$M$501,'Per Line'!$A$2:$A$501,$B108,'Per Line'!$AA$2:$AA$501,0))</f>
        <v/>
      </c>
      <c r="M108" s="7">
        <f>IF($U108="","",L108*K108)</f>
        <v/>
      </c>
      <c r="N108">
        <f>IF($U108="","",Settings!$C$6)</f>
        <v/>
      </c>
      <c r="O108" s="7">
        <f>IF($U108="","",SUMIFS('Per Line'!$M$2:$M$501,'Per Line'!$A$2:$A$501,$B108,'Per Line'!$AA$2:$AA$501,1))</f>
        <v/>
      </c>
      <c r="P108" s="7">
        <f>IF($U108="","",O108*N108)</f>
        <v/>
      </c>
      <c r="Q108" s="7">
        <f>IF($U108="","",P108+M108)</f>
        <v/>
      </c>
      <c r="R108" s="7">
        <f>IF($U108="","",S108-Q108)</f>
        <v/>
      </c>
      <c r="S108" s="7">
        <f>IF($U108="","",L108+O108)</f>
        <v/>
      </c>
      <c r="T108" s="7">
        <f>IF($U108="","",S108-Q108-G108)</f>
        <v/>
      </c>
      <c r="U108" s="13">
        <f>IF(ROWS($U$2:$U108)&lt;=MAX('Per Line'!$Z$2:$Z$501),MATCH(ROWS($U$2:$U108),'Per Line'!$Z$2:$Z$501,0),"")</f>
        <v/>
      </c>
    </row>
    <row r="109">
      <c r="A109" s="12" t="n"/>
      <c r="B109">
        <f>IF($U109="","",INDEX('Per Line'!$A$2:$A$501,$U109)&amp;"")</f>
        <v/>
      </c>
      <c r="C109">
        <f>IF($U109="","",INDEX('Per Line'!$B$2:$B$501,$U109)&amp;"")</f>
        <v/>
      </c>
      <c r="D109">
        <f>IF($U109="","",INDEX('Per Line'!$C$2:$C$501,$U109)&amp;"")</f>
        <v/>
      </c>
      <c r="E109">
        <f>IF($U109="","",INDEX('Per Line'!$D$2:$D$501,$U109)&amp;"")</f>
        <v/>
      </c>
      <c r="F109">
        <f>IF($U109="","",INDEX('Per Line'!$E$2:$E$501,$U109))</f>
        <v/>
      </c>
      <c r="G109" s="7">
        <f>IF($U109="","",F109*S109/100)</f>
        <v/>
      </c>
      <c r="H109" s="11">
        <f>IF($U109="","",INDEX('Per Line'!$R$2:$R$501,$U109))</f>
        <v/>
      </c>
      <c r="I109">
        <f>IF($U109="","",INDEX('Per Line'!$Q$2:$Q$501,$U109)&amp;"")</f>
        <v/>
      </c>
      <c r="J109">
        <f>IF($U109="","",INDEX('Per Line'!$P$2:$P$501,$U109)&amp;"")</f>
        <v/>
      </c>
      <c r="K109">
        <f>IF($U109="","",Settings!$C$7)</f>
        <v/>
      </c>
      <c r="L109" s="7">
        <f>IF($U109="","",SUMIFS('Per Line'!$M$2:$M$501,'Per Line'!$A$2:$A$501,$B109,'Per Line'!$AA$2:$AA$501,0))</f>
        <v/>
      </c>
      <c r="M109" s="7">
        <f>IF($U109="","",L109*K109)</f>
        <v/>
      </c>
      <c r="N109">
        <f>IF($U109="","",Settings!$C$6)</f>
        <v/>
      </c>
      <c r="O109" s="7">
        <f>IF($U109="","",SUMIFS('Per Line'!$M$2:$M$501,'Per Line'!$A$2:$A$501,$B109,'Per Line'!$AA$2:$AA$501,1))</f>
        <v/>
      </c>
      <c r="P109" s="7">
        <f>IF($U109="","",O109*N109)</f>
        <v/>
      </c>
      <c r="Q109" s="7">
        <f>IF($U109="","",P109+M109)</f>
        <v/>
      </c>
      <c r="R109" s="7">
        <f>IF($U109="","",S109-Q109)</f>
        <v/>
      </c>
      <c r="S109" s="7">
        <f>IF($U109="","",L109+O109)</f>
        <v/>
      </c>
      <c r="T109" s="7">
        <f>IF($U109="","",S109-Q109-G109)</f>
        <v/>
      </c>
      <c r="U109" s="13">
        <f>IF(ROWS($U$2:$U109)&lt;=MAX('Per Line'!$Z$2:$Z$501),MATCH(ROWS($U$2:$U109),'Per Line'!$Z$2:$Z$501,0),"")</f>
        <v/>
      </c>
    </row>
    <row r="110">
      <c r="A110" s="12" t="n"/>
      <c r="B110">
        <f>IF($U110="","",INDEX('Per Line'!$A$2:$A$501,$U110)&amp;"")</f>
        <v/>
      </c>
      <c r="C110">
        <f>IF($U110="","",INDEX('Per Line'!$B$2:$B$501,$U110)&amp;"")</f>
        <v/>
      </c>
      <c r="D110">
        <f>IF($U110="","",INDEX('Per Line'!$C$2:$C$501,$U110)&amp;"")</f>
        <v/>
      </c>
      <c r="E110">
        <f>IF($U110="","",INDEX('Per Line'!$D$2:$D$501,$U110)&amp;"")</f>
        <v/>
      </c>
      <c r="F110">
        <f>IF($U110="","",INDEX('Per Line'!$E$2:$E$501,$U110))</f>
        <v/>
      </c>
      <c r="G110" s="7">
        <f>IF($U110="","",F110*S110/100)</f>
        <v/>
      </c>
      <c r="H110" s="11">
        <f>IF($U110="","",INDEX('Per Line'!$R$2:$R$501,$U110))</f>
        <v/>
      </c>
      <c r="I110">
        <f>IF($U110="","",INDEX('Per Line'!$Q$2:$Q$501,$U110)&amp;"")</f>
        <v/>
      </c>
      <c r="J110">
        <f>IF($U110="","",INDEX('Per Line'!$P$2:$P$501,$U110)&amp;"")</f>
        <v/>
      </c>
      <c r="K110">
        <f>IF($U110="","",Settings!$C$7)</f>
        <v/>
      </c>
      <c r="L110" s="7">
        <f>IF($U110="","",SUMIFS('Per Line'!$M$2:$M$501,'Per Line'!$A$2:$A$501,$B110,'Per Line'!$AA$2:$AA$501,0))</f>
        <v/>
      </c>
      <c r="M110" s="7">
        <f>IF($U110="","",L110*K110)</f>
        <v/>
      </c>
      <c r="N110">
        <f>IF($U110="","",Settings!$C$6)</f>
        <v/>
      </c>
      <c r="O110" s="7">
        <f>IF($U110="","",SUMIFS('Per Line'!$M$2:$M$501,'Per Line'!$A$2:$A$501,$B110,'Per Line'!$AA$2:$AA$501,1))</f>
        <v/>
      </c>
      <c r="P110" s="7">
        <f>IF($U110="","",O110*N110)</f>
        <v/>
      </c>
      <c r="Q110" s="7">
        <f>IF($U110="","",P110+M110)</f>
        <v/>
      </c>
      <c r="R110" s="7">
        <f>IF($U110="","",S110-Q110)</f>
        <v/>
      </c>
      <c r="S110" s="7">
        <f>IF($U110="","",L110+O110)</f>
        <v/>
      </c>
      <c r="T110" s="7">
        <f>IF($U110="","",S110-Q110-G110)</f>
        <v/>
      </c>
      <c r="U110" s="13">
        <f>IF(ROWS($U$2:$U110)&lt;=MAX('Per Line'!$Z$2:$Z$501),MATCH(ROWS($U$2:$U110),'Per Line'!$Z$2:$Z$501,0),"")</f>
        <v/>
      </c>
    </row>
    <row r="111">
      <c r="A111" s="12" t="n"/>
      <c r="B111">
        <f>IF($U111="","",INDEX('Per Line'!$A$2:$A$501,$U111)&amp;"")</f>
        <v/>
      </c>
      <c r="C111">
        <f>IF($U111="","",INDEX('Per Line'!$B$2:$B$501,$U111)&amp;"")</f>
        <v/>
      </c>
      <c r="D111">
        <f>IF($U111="","",INDEX('Per Line'!$C$2:$C$501,$U111)&amp;"")</f>
        <v/>
      </c>
      <c r="E111">
        <f>IF($U111="","",INDEX('Per Line'!$D$2:$D$501,$U111)&amp;"")</f>
        <v/>
      </c>
      <c r="F111">
        <f>IF($U111="","",INDEX('Per Line'!$E$2:$E$501,$U111))</f>
        <v/>
      </c>
      <c r="G111" s="7">
        <f>IF($U111="","",F111*S111/100)</f>
        <v/>
      </c>
      <c r="H111" s="11">
        <f>IF($U111="","",INDEX('Per Line'!$R$2:$R$501,$U111))</f>
        <v/>
      </c>
      <c r="I111">
        <f>IF($U111="","",INDEX('Per Line'!$Q$2:$Q$501,$U111)&amp;"")</f>
        <v/>
      </c>
      <c r="J111">
        <f>IF($U111="","",INDEX('Per Line'!$P$2:$P$501,$U111)&amp;"")</f>
        <v/>
      </c>
      <c r="K111">
        <f>IF($U111="","",Settings!$C$7)</f>
        <v/>
      </c>
      <c r="L111" s="7">
        <f>IF($U111="","",SUMIFS('Per Line'!$M$2:$M$501,'Per Line'!$A$2:$A$501,$B111,'Per Line'!$AA$2:$AA$501,0))</f>
        <v/>
      </c>
      <c r="M111" s="7">
        <f>IF($U111="","",L111*K111)</f>
        <v/>
      </c>
      <c r="N111">
        <f>IF($U111="","",Settings!$C$6)</f>
        <v/>
      </c>
      <c r="O111" s="7">
        <f>IF($U111="","",SUMIFS('Per Line'!$M$2:$M$501,'Per Line'!$A$2:$A$501,$B111,'Per Line'!$AA$2:$AA$501,1))</f>
        <v/>
      </c>
      <c r="P111" s="7">
        <f>IF($U111="","",O111*N111)</f>
        <v/>
      </c>
      <c r="Q111" s="7">
        <f>IF($U111="","",P111+M111)</f>
        <v/>
      </c>
      <c r="R111" s="7">
        <f>IF($U111="","",S111-Q111)</f>
        <v/>
      </c>
      <c r="S111" s="7">
        <f>IF($U111="","",L111+O111)</f>
        <v/>
      </c>
      <c r="T111" s="7">
        <f>IF($U111="","",S111-Q111-G111)</f>
        <v/>
      </c>
      <c r="U111" s="13">
        <f>IF(ROWS($U$2:$U111)&lt;=MAX('Per Line'!$Z$2:$Z$501),MATCH(ROWS($U$2:$U111),'Per Line'!$Z$2:$Z$501,0),"")</f>
        <v/>
      </c>
    </row>
    <row r="112">
      <c r="A112" s="12" t="n"/>
      <c r="B112">
        <f>IF($U112="","",INDEX('Per Line'!$A$2:$A$501,$U112)&amp;"")</f>
        <v/>
      </c>
      <c r="C112">
        <f>IF($U112="","",INDEX('Per Line'!$B$2:$B$501,$U112)&amp;"")</f>
        <v/>
      </c>
      <c r="D112">
        <f>IF($U112="","",INDEX('Per Line'!$C$2:$C$501,$U112)&amp;"")</f>
        <v/>
      </c>
      <c r="E112">
        <f>IF($U112="","",INDEX('Per Line'!$D$2:$D$501,$U112)&amp;"")</f>
        <v/>
      </c>
      <c r="F112">
        <f>IF($U112="","",INDEX('Per Line'!$E$2:$E$501,$U112))</f>
        <v/>
      </c>
      <c r="G112" s="7">
        <f>IF($U112="","",F112*S112/100)</f>
        <v/>
      </c>
      <c r="H112" s="11">
        <f>IF($U112="","",INDEX('Per Line'!$R$2:$R$501,$U112))</f>
        <v/>
      </c>
      <c r="I112">
        <f>IF($U112="","",INDEX('Per Line'!$Q$2:$Q$501,$U112)&amp;"")</f>
        <v/>
      </c>
      <c r="J112">
        <f>IF($U112="","",INDEX('Per Line'!$P$2:$P$501,$U112)&amp;"")</f>
        <v/>
      </c>
      <c r="K112">
        <f>IF($U112="","",Settings!$C$7)</f>
        <v/>
      </c>
      <c r="L112" s="7">
        <f>IF($U112="","",SUMIFS('Per Line'!$M$2:$M$501,'Per Line'!$A$2:$A$501,$B112,'Per Line'!$AA$2:$AA$501,0))</f>
        <v/>
      </c>
      <c r="M112" s="7">
        <f>IF($U112="","",L112*K112)</f>
        <v/>
      </c>
      <c r="N112">
        <f>IF($U112="","",Settings!$C$6)</f>
        <v/>
      </c>
      <c r="O112" s="7">
        <f>IF($U112="","",SUMIFS('Per Line'!$M$2:$M$501,'Per Line'!$A$2:$A$501,$B112,'Per Line'!$AA$2:$AA$501,1))</f>
        <v/>
      </c>
      <c r="P112" s="7">
        <f>IF($U112="","",O112*N112)</f>
        <v/>
      </c>
      <c r="Q112" s="7">
        <f>IF($U112="","",P112+M112)</f>
        <v/>
      </c>
      <c r="R112" s="7">
        <f>IF($U112="","",S112-Q112)</f>
        <v/>
      </c>
      <c r="S112" s="7">
        <f>IF($U112="","",L112+O112)</f>
        <v/>
      </c>
      <c r="T112" s="7">
        <f>IF($U112="","",S112-Q112-G112)</f>
        <v/>
      </c>
      <c r="U112" s="13">
        <f>IF(ROWS($U$2:$U112)&lt;=MAX('Per Line'!$Z$2:$Z$501),MATCH(ROWS($U$2:$U112),'Per Line'!$Z$2:$Z$501,0),"")</f>
        <v/>
      </c>
    </row>
    <row r="113">
      <c r="A113" s="12" t="n"/>
      <c r="B113">
        <f>IF($U113="","",INDEX('Per Line'!$A$2:$A$501,$U113)&amp;"")</f>
        <v/>
      </c>
      <c r="C113">
        <f>IF($U113="","",INDEX('Per Line'!$B$2:$B$501,$U113)&amp;"")</f>
        <v/>
      </c>
      <c r="D113">
        <f>IF($U113="","",INDEX('Per Line'!$C$2:$C$501,$U113)&amp;"")</f>
        <v/>
      </c>
      <c r="E113">
        <f>IF($U113="","",INDEX('Per Line'!$D$2:$D$501,$U113)&amp;"")</f>
        <v/>
      </c>
      <c r="F113">
        <f>IF($U113="","",INDEX('Per Line'!$E$2:$E$501,$U113))</f>
        <v/>
      </c>
      <c r="G113" s="7">
        <f>IF($U113="","",F113*S113/100)</f>
        <v/>
      </c>
      <c r="H113" s="11">
        <f>IF($U113="","",INDEX('Per Line'!$R$2:$R$501,$U113))</f>
        <v/>
      </c>
      <c r="I113">
        <f>IF($U113="","",INDEX('Per Line'!$Q$2:$Q$501,$U113)&amp;"")</f>
        <v/>
      </c>
      <c r="J113">
        <f>IF($U113="","",INDEX('Per Line'!$P$2:$P$501,$U113)&amp;"")</f>
        <v/>
      </c>
      <c r="K113">
        <f>IF($U113="","",Settings!$C$7)</f>
        <v/>
      </c>
      <c r="L113" s="7">
        <f>IF($U113="","",SUMIFS('Per Line'!$M$2:$M$501,'Per Line'!$A$2:$A$501,$B113,'Per Line'!$AA$2:$AA$501,0))</f>
        <v/>
      </c>
      <c r="M113" s="7">
        <f>IF($U113="","",L113*K113)</f>
        <v/>
      </c>
      <c r="N113">
        <f>IF($U113="","",Settings!$C$6)</f>
        <v/>
      </c>
      <c r="O113" s="7">
        <f>IF($U113="","",SUMIFS('Per Line'!$M$2:$M$501,'Per Line'!$A$2:$A$501,$B113,'Per Line'!$AA$2:$AA$501,1))</f>
        <v/>
      </c>
      <c r="P113" s="7">
        <f>IF($U113="","",O113*N113)</f>
        <v/>
      </c>
      <c r="Q113" s="7">
        <f>IF($U113="","",P113+M113)</f>
        <v/>
      </c>
      <c r="R113" s="7">
        <f>IF($U113="","",S113-Q113)</f>
        <v/>
      </c>
      <c r="S113" s="7">
        <f>IF($U113="","",L113+O113)</f>
        <v/>
      </c>
      <c r="T113" s="7">
        <f>IF($U113="","",S113-Q113-G113)</f>
        <v/>
      </c>
      <c r="U113" s="13">
        <f>IF(ROWS($U$2:$U113)&lt;=MAX('Per Line'!$Z$2:$Z$501),MATCH(ROWS($U$2:$U113),'Per Line'!$Z$2:$Z$501,0),"")</f>
        <v/>
      </c>
    </row>
    <row r="114">
      <c r="A114" s="12" t="n"/>
      <c r="B114">
        <f>IF($U114="","",INDEX('Per Line'!$A$2:$A$501,$U114)&amp;"")</f>
        <v/>
      </c>
      <c r="C114">
        <f>IF($U114="","",INDEX('Per Line'!$B$2:$B$501,$U114)&amp;"")</f>
        <v/>
      </c>
      <c r="D114">
        <f>IF($U114="","",INDEX('Per Line'!$C$2:$C$501,$U114)&amp;"")</f>
        <v/>
      </c>
      <c r="E114">
        <f>IF($U114="","",INDEX('Per Line'!$D$2:$D$501,$U114)&amp;"")</f>
        <v/>
      </c>
      <c r="F114">
        <f>IF($U114="","",INDEX('Per Line'!$E$2:$E$501,$U114))</f>
        <v/>
      </c>
      <c r="G114" s="7">
        <f>IF($U114="","",F114*S114/100)</f>
        <v/>
      </c>
      <c r="H114" s="11">
        <f>IF($U114="","",INDEX('Per Line'!$R$2:$R$501,$U114))</f>
        <v/>
      </c>
      <c r="I114">
        <f>IF($U114="","",INDEX('Per Line'!$Q$2:$Q$501,$U114)&amp;"")</f>
        <v/>
      </c>
      <c r="J114">
        <f>IF($U114="","",INDEX('Per Line'!$P$2:$P$501,$U114)&amp;"")</f>
        <v/>
      </c>
      <c r="K114">
        <f>IF($U114="","",Settings!$C$7)</f>
        <v/>
      </c>
      <c r="L114" s="7">
        <f>IF($U114="","",SUMIFS('Per Line'!$M$2:$M$501,'Per Line'!$A$2:$A$501,$B114,'Per Line'!$AA$2:$AA$501,0))</f>
        <v/>
      </c>
      <c r="M114" s="7">
        <f>IF($U114="","",L114*K114)</f>
        <v/>
      </c>
      <c r="N114">
        <f>IF($U114="","",Settings!$C$6)</f>
        <v/>
      </c>
      <c r="O114" s="7">
        <f>IF($U114="","",SUMIFS('Per Line'!$M$2:$M$501,'Per Line'!$A$2:$A$501,$B114,'Per Line'!$AA$2:$AA$501,1))</f>
        <v/>
      </c>
      <c r="P114" s="7">
        <f>IF($U114="","",O114*N114)</f>
        <v/>
      </c>
      <c r="Q114" s="7">
        <f>IF($U114="","",P114+M114)</f>
        <v/>
      </c>
      <c r="R114" s="7">
        <f>IF($U114="","",S114-Q114)</f>
        <v/>
      </c>
      <c r="S114" s="7">
        <f>IF($U114="","",L114+O114)</f>
        <v/>
      </c>
      <c r="T114" s="7">
        <f>IF($U114="","",S114-Q114-G114)</f>
        <v/>
      </c>
      <c r="U114" s="13">
        <f>IF(ROWS($U$2:$U114)&lt;=MAX('Per Line'!$Z$2:$Z$501),MATCH(ROWS($U$2:$U114),'Per Line'!$Z$2:$Z$501,0),"")</f>
        <v/>
      </c>
    </row>
    <row r="115">
      <c r="A115" s="12" t="n"/>
      <c r="B115">
        <f>IF($U115="","",INDEX('Per Line'!$A$2:$A$501,$U115)&amp;"")</f>
        <v/>
      </c>
      <c r="C115">
        <f>IF($U115="","",INDEX('Per Line'!$B$2:$B$501,$U115)&amp;"")</f>
        <v/>
      </c>
      <c r="D115">
        <f>IF($U115="","",INDEX('Per Line'!$C$2:$C$501,$U115)&amp;"")</f>
        <v/>
      </c>
      <c r="E115">
        <f>IF($U115="","",INDEX('Per Line'!$D$2:$D$501,$U115)&amp;"")</f>
        <v/>
      </c>
      <c r="F115">
        <f>IF($U115="","",INDEX('Per Line'!$E$2:$E$501,$U115))</f>
        <v/>
      </c>
      <c r="G115" s="7">
        <f>IF($U115="","",F115*S115/100)</f>
        <v/>
      </c>
      <c r="H115" s="11">
        <f>IF($U115="","",INDEX('Per Line'!$R$2:$R$501,$U115))</f>
        <v/>
      </c>
      <c r="I115">
        <f>IF($U115="","",INDEX('Per Line'!$Q$2:$Q$501,$U115)&amp;"")</f>
        <v/>
      </c>
      <c r="J115">
        <f>IF($U115="","",INDEX('Per Line'!$P$2:$P$501,$U115)&amp;"")</f>
        <v/>
      </c>
      <c r="K115">
        <f>IF($U115="","",Settings!$C$7)</f>
        <v/>
      </c>
      <c r="L115" s="7">
        <f>IF($U115="","",SUMIFS('Per Line'!$M$2:$M$501,'Per Line'!$A$2:$A$501,$B115,'Per Line'!$AA$2:$AA$501,0))</f>
        <v/>
      </c>
      <c r="M115" s="7">
        <f>IF($U115="","",L115*K115)</f>
        <v/>
      </c>
      <c r="N115">
        <f>IF($U115="","",Settings!$C$6)</f>
        <v/>
      </c>
      <c r="O115" s="7">
        <f>IF($U115="","",SUMIFS('Per Line'!$M$2:$M$501,'Per Line'!$A$2:$A$501,$B115,'Per Line'!$AA$2:$AA$501,1))</f>
        <v/>
      </c>
      <c r="P115" s="7">
        <f>IF($U115="","",O115*N115)</f>
        <v/>
      </c>
      <c r="Q115" s="7">
        <f>IF($U115="","",P115+M115)</f>
        <v/>
      </c>
      <c r="R115" s="7">
        <f>IF($U115="","",S115-Q115)</f>
        <v/>
      </c>
      <c r="S115" s="7">
        <f>IF($U115="","",L115+O115)</f>
        <v/>
      </c>
      <c r="T115" s="7">
        <f>IF($U115="","",S115-Q115-G115)</f>
        <v/>
      </c>
      <c r="U115" s="13">
        <f>IF(ROWS($U$2:$U115)&lt;=MAX('Per Line'!$Z$2:$Z$501),MATCH(ROWS($U$2:$U115),'Per Line'!$Z$2:$Z$501,0),"")</f>
        <v/>
      </c>
    </row>
    <row r="116">
      <c r="A116" s="12" t="n"/>
      <c r="B116">
        <f>IF($U116="","",INDEX('Per Line'!$A$2:$A$501,$U116)&amp;"")</f>
        <v/>
      </c>
      <c r="C116">
        <f>IF($U116="","",INDEX('Per Line'!$B$2:$B$501,$U116)&amp;"")</f>
        <v/>
      </c>
      <c r="D116">
        <f>IF($U116="","",INDEX('Per Line'!$C$2:$C$501,$U116)&amp;"")</f>
        <v/>
      </c>
      <c r="E116">
        <f>IF($U116="","",INDEX('Per Line'!$D$2:$D$501,$U116)&amp;"")</f>
        <v/>
      </c>
      <c r="F116">
        <f>IF($U116="","",INDEX('Per Line'!$E$2:$E$501,$U116))</f>
        <v/>
      </c>
      <c r="G116" s="7">
        <f>IF($U116="","",F116*S116/100)</f>
        <v/>
      </c>
      <c r="H116" s="11">
        <f>IF($U116="","",INDEX('Per Line'!$R$2:$R$501,$U116))</f>
        <v/>
      </c>
      <c r="I116">
        <f>IF($U116="","",INDEX('Per Line'!$Q$2:$Q$501,$U116)&amp;"")</f>
        <v/>
      </c>
      <c r="J116">
        <f>IF($U116="","",INDEX('Per Line'!$P$2:$P$501,$U116)&amp;"")</f>
        <v/>
      </c>
      <c r="K116">
        <f>IF($U116="","",Settings!$C$7)</f>
        <v/>
      </c>
      <c r="L116" s="7">
        <f>IF($U116="","",SUMIFS('Per Line'!$M$2:$M$501,'Per Line'!$A$2:$A$501,$B116,'Per Line'!$AA$2:$AA$501,0))</f>
        <v/>
      </c>
      <c r="M116" s="7">
        <f>IF($U116="","",L116*K116)</f>
        <v/>
      </c>
      <c r="N116">
        <f>IF($U116="","",Settings!$C$6)</f>
        <v/>
      </c>
      <c r="O116" s="7">
        <f>IF($U116="","",SUMIFS('Per Line'!$M$2:$M$501,'Per Line'!$A$2:$A$501,$B116,'Per Line'!$AA$2:$AA$501,1))</f>
        <v/>
      </c>
      <c r="P116" s="7">
        <f>IF($U116="","",O116*N116)</f>
        <v/>
      </c>
      <c r="Q116" s="7">
        <f>IF($U116="","",P116+M116)</f>
        <v/>
      </c>
      <c r="R116" s="7">
        <f>IF($U116="","",S116-Q116)</f>
        <v/>
      </c>
      <c r="S116" s="7">
        <f>IF($U116="","",L116+O116)</f>
        <v/>
      </c>
      <c r="T116" s="7">
        <f>IF($U116="","",S116-Q116-G116)</f>
        <v/>
      </c>
      <c r="U116" s="13">
        <f>IF(ROWS($U$2:$U116)&lt;=MAX('Per Line'!$Z$2:$Z$501),MATCH(ROWS($U$2:$U116),'Per Line'!$Z$2:$Z$501,0),"")</f>
        <v/>
      </c>
    </row>
    <row r="117">
      <c r="A117" s="12" t="n"/>
      <c r="B117">
        <f>IF($U117="","",INDEX('Per Line'!$A$2:$A$501,$U117)&amp;"")</f>
        <v/>
      </c>
      <c r="C117">
        <f>IF($U117="","",INDEX('Per Line'!$B$2:$B$501,$U117)&amp;"")</f>
        <v/>
      </c>
      <c r="D117">
        <f>IF($U117="","",INDEX('Per Line'!$C$2:$C$501,$U117)&amp;"")</f>
        <v/>
      </c>
      <c r="E117">
        <f>IF($U117="","",INDEX('Per Line'!$D$2:$D$501,$U117)&amp;"")</f>
        <v/>
      </c>
      <c r="F117">
        <f>IF($U117="","",INDEX('Per Line'!$E$2:$E$501,$U117))</f>
        <v/>
      </c>
      <c r="G117" s="7">
        <f>IF($U117="","",F117*S117/100)</f>
        <v/>
      </c>
      <c r="H117" s="11">
        <f>IF($U117="","",INDEX('Per Line'!$R$2:$R$501,$U117))</f>
        <v/>
      </c>
      <c r="I117">
        <f>IF($U117="","",INDEX('Per Line'!$Q$2:$Q$501,$U117)&amp;"")</f>
        <v/>
      </c>
      <c r="J117">
        <f>IF($U117="","",INDEX('Per Line'!$P$2:$P$501,$U117)&amp;"")</f>
        <v/>
      </c>
      <c r="K117">
        <f>IF($U117="","",Settings!$C$7)</f>
        <v/>
      </c>
      <c r="L117" s="7">
        <f>IF($U117="","",SUMIFS('Per Line'!$M$2:$M$501,'Per Line'!$A$2:$A$501,$B117,'Per Line'!$AA$2:$AA$501,0))</f>
        <v/>
      </c>
      <c r="M117" s="7">
        <f>IF($U117="","",L117*K117)</f>
        <v/>
      </c>
      <c r="N117">
        <f>IF($U117="","",Settings!$C$6)</f>
        <v/>
      </c>
      <c r="O117" s="7">
        <f>IF($U117="","",SUMIFS('Per Line'!$M$2:$M$501,'Per Line'!$A$2:$A$501,$B117,'Per Line'!$AA$2:$AA$501,1))</f>
        <v/>
      </c>
      <c r="P117" s="7">
        <f>IF($U117="","",O117*N117)</f>
        <v/>
      </c>
      <c r="Q117" s="7">
        <f>IF($U117="","",P117+M117)</f>
        <v/>
      </c>
      <c r="R117" s="7">
        <f>IF($U117="","",S117-Q117)</f>
        <v/>
      </c>
      <c r="S117" s="7">
        <f>IF($U117="","",L117+O117)</f>
        <v/>
      </c>
      <c r="T117" s="7">
        <f>IF($U117="","",S117-Q117-G117)</f>
        <v/>
      </c>
      <c r="U117" s="13">
        <f>IF(ROWS($U$2:$U117)&lt;=MAX('Per Line'!$Z$2:$Z$501),MATCH(ROWS($U$2:$U117),'Per Line'!$Z$2:$Z$501,0),"")</f>
        <v/>
      </c>
    </row>
    <row r="118">
      <c r="A118" s="12" t="n"/>
      <c r="B118">
        <f>IF($U118="","",INDEX('Per Line'!$A$2:$A$501,$U118)&amp;"")</f>
        <v/>
      </c>
      <c r="C118">
        <f>IF($U118="","",INDEX('Per Line'!$B$2:$B$501,$U118)&amp;"")</f>
        <v/>
      </c>
      <c r="D118">
        <f>IF($U118="","",INDEX('Per Line'!$C$2:$C$501,$U118)&amp;"")</f>
        <v/>
      </c>
      <c r="E118">
        <f>IF($U118="","",INDEX('Per Line'!$D$2:$D$501,$U118)&amp;"")</f>
        <v/>
      </c>
      <c r="F118">
        <f>IF($U118="","",INDEX('Per Line'!$E$2:$E$501,$U118))</f>
        <v/>
      </c>
      <c r="G118" s="7">
        <f>IF($U118="","",F118*S118/100)</f>
        <v/>
      </c>
      <c r="H118" s="11">
        <f>IF($U118="","",INDEX('Per Line'!$R$2:$R$501,$U118))</f>
        <v/>
      </c>
      <c r="I118">
        <f>IF($U118="","",INDEX('Per Line'!$Q$2:$Q$501,$U118)&amp;"")</f>
        <v/>
      </c>
      <c r="J118">
        <f>IF($U118="","",INDEX('Per Line'!$P$2:$P$501,$U118)&amp;"")</f>
        <v/>
      </c>
      <c r="K118">
        <f>IF($U118="","",Settings!$C$7)</f>
        <v/>
      </c>
      <c r="L118" s="7">
        <f>IF($U118="","",SUMIFS('Per Line'!$M$2:$M$501,'Per Line'!$A$2:$A$501,$B118,'Per Line'!$AA$2:$AA$501,0))</f>
        <v/>
      </c>
      <c r="M118" s="7">
        <f>IF($U118="","",L118*K118)</f>
        <v/>
      </c>
      <c r="N118">
        <f>IF($U118="","",Settings!$C$6)</f>
        <v/>
      </c>
      <c r="O118" s="7">
        <f>IF($U118="","",SUMIFS('Per Line'!$M$2:$M$501,'Per Line'!$A$2:$A$501,$B118,'Per Line'!$AA$2:$AA$501,1))</f>
        <v/>
      </c>
      <c r="P118" s="7">
        <f>IF($U118="","",O118*N118)</f>
        <v/>
      </c>
      <c r="Q118" s="7">
        <f>IF($U118="","",P118+M118)</f>
        <v/>
      </c>
      <c r="R118" s="7">
        <f>IF($U118="","",S118-Q118)</f>
        <v/>
      </c>
      <c r="S118" s="7">
        <f>IF($U118="","",L118+O118)</f>
        <v/>
      </c>
      <c r="T118" s="7">
        <f>IF($U118="","",S118-Q118-G118)</f>
        <v/>
      </c>
      <c r="U118" s="13">
        <f>IF(ROWS($U$2:$U118)&lt;=MAX('Per Line'!$Z$2:$Z$501),MATCH(ROWS($U$2:$U118),'Per Line'!$Z$2:$Z$501,0),"")</f>
        <v/>
      </c>
    </row>
    <row r="119">
      <c r="A119" s="12" t="n"/>
      <c r="B119">
        <f>IF($U119="","",INDEX('Per Line'!$A$2:$A$501,$U119)&amp;"")</f>
        <v/>
      </c>
      <c r="C119">
        <f>IF($U119="","",INDEX('Per Line'!$B$2:$B$501,$U119)&amp;"")</f>
        <v/>
      </c>
      <c r="D119">
        <f>IF($U119="","",INDEX('Per Line'!$C$2:$C$501,$U119)&amp;"")</f>
        <v/>
      </c>
      <c r="E119">
        <f>IF($U119="","",INDEX('Per Line'!$D$2:$D$501,$U119)&amp;"")</f>
        <v/>
      </c>
      <c r="F119">
        <f>IF($U119="","",INDEX('Per Line'!$E$2:$E$501,$U119))</f>
        <v/>
      </c>
      <c r="G119" s="7">
        <f>IF($U119="","",F119*S119/100)</f>
        <v/>
      </c>
      <c r="H119" s="11">
        <f>IF($U119="","",INDEX('Per Line'!$R$2:$R$501,$U119))</f>
        <v/>
      </c>
      <c r="I119">
        <f>IF($U119="","",INDEX('Per Line'!$Q$2:$Q$501,$U119)&amp;"")</f>
        <v/>
      </c>
      <c r="J119">
        <f>IF($U119="","",INDEX('Per Line'!$P$2:$P$501,$U119)&amp;"")</f>
        <v/>
      </c>
      <c r="K119">
        <f>IF($U119="","",Settings!$C$7)</f>
        <v/>
      </c>
      <c r="L119" s="7">
        <f>IF($U119="","",SUMIFS('Per Line'!$M$2:$M$501,'Per Line'!$A$2:$A$501,$B119,'Per Line'!$AA$2:$AA$501,0))</f>
        <v/>
      </c>
      <c r="M119" s="7">
        <f>IF($U119="","",L119*K119)</f>
        <v/>
      </c>
      <c r="N119">
        <f>IF($U119="","",Settings!$C$6)</f>
        <v/>
      </c>
      <c r="O119" s="7">
        <f>IF($U119="","",SUMIFS('Per Line'!$M$2:$M$501,'Per Line'!$A$2:$A$501,$B119,'Per Line'!$AA$2:$AA$501,1))</f>
        <v/>
      </c>
      <c r="P119" s="7">
        <f>IF($U119="","",O119*N119)</f>
        <v/>
      </c>
      <c r="Q119" s="7">
        <f>IF($U119="","",P119+M119)</f>
        <v/>
      </c>
      <c r="R119" s="7">
        <f>IF($U119="","",S119-Q119)</f>
        <v/>
      </c>
      <c r="S119" s="7">
        <f>IF($U119="","",L119+O119)</f>
        <v/>
      </c>
      <c r="T119" s="7">
        <f>IF($U119="","",S119-Q119-G119)</f>
        <v/>
      </c>
      <c r="U119" s="13">
        <f>IF(ROWS($U$2:$U119)&lt;=MAX('Per Line'!$Z$2:$Z$501),MATCH(ROWS($U$2:$U119),'Per Line'!$Z$2:$Z$501,0),"")</f>
        <v/>
      </c>
    </row>
    <row r="120">
      <c r="A120" s="12" t="n"/>
      <c r="B120">
        <f>IF($U120="","",INDEX('Per Line'!$A$2:$A$501,$U120)&amp;"")</f>
        <v/>
      </c>
      <c r="C120">
        <f>IF($U120="","",INDEX('Per Line'!$B$2:$B$501,$U120)&amp;"")</f>
        <v/>
      </c>
      <c r="D120">
        <f>IF($U120="","",INDEX('Per Line'!$C$2:$C$501,$U120)&amp;"")</f>
        <v/>
      </c>
      <c r="E120">
        <f>IF($U120="","",INDEX('Per Line'!$D$2:$D$501,$U120)&amp;"")</f>
        <v/>
      </c>
      <c r="F120">
        <f>IF($U120="","",INDEX('Per Line'!$E$2:$E$501,$U120))</f>
        <v/>
      </c>
      <c r="G120" s="7">
        <f>IF($U120="","",F120*S120/100)</f>
        <v/>
      </c>
      <c r="H120" s="11">
        <f>IF($U120="","",INDEX('Per Line'!$R$2:$R$501,$U120))</f>
        <v/>
      </c>
      <c r="I120">
        <f>IF($U120="","",INDEX('Per Line'!$Q$2:$Q$501,$U120)&amp;"")</f>
        <v/>
      </c>
      <c r="J120">
        <f>IF($U120="","",INDEX('Per Line'!$P$2:$P$501,$U120)&amp;"")</f>
        <v/>
      </c>
      <c r="K120">
        <f>IF($U120="","",Settings!$C$7)</f>
        <v/>
      </c>
      <c r="L120" s="7">
        <f>IF($U120="","",SUMIFS('Per Line'!$M$2:$M$501,'Per Line'!$A$2:$A$501,$B120,'Per Line'!$AA$2:$AA$501,0))</f>
        <v/>
      </c>
      <c r="M120" s="7">
        <f>IF($U120="","",L120*K120)</f>
        <v/>
      </c>
      <c r="N120">
        <f>IF($U120="","",Settings!$C$6)</f>
        <v/>
      </c>
      <c r="O120" s="7">
        <f>IF($U120="","",SUMIFS('Per Line'!$M$2:$M$501,'Per Line'!$A$2:$A$501,$B120,'Per Line'!$AA$2:$AA$501,1))</f>
        <v/>
      </c>
      <c r="P120" s="7">
        <f>IF($U120="","",O120*N120)</f>
        <v/>
      </c>
      <c r="Q120" s="7">
        <f>IF($U120="","",P120+M120)</f>
        <v/>
      </c>
      <c r="R120" s="7">
        <f>IF($U120="","",S120-Q120)</f>
        <v/>
      </c>
      <c r="S120" s="7">
        <f>IF($U120="","",L120+O120)</f>
        <v/>
      </c>
      <c r="T120" s="7">
        <f>IF($U120="","",S120-Q120-G120)</f>
        <v/>
      </c>
      <c r="U120" s="13">
        <f>IF(ROWS($U$2:$U120)&lt;=MAX('Per Line'!$Z$2:$Z$501),MATCH(ROWS($U$2:$U120),'Per Line'!$Z$2:$Z$501,0),"")</f>
        <v/>
      </c>
    </row>
    <row r="121">
      <c r="A121" s="12" t="n"/>
      <c r="B121">
        <f>IF($U121="","",INDEX('Per Line'!$A$2:$A$501,$U121)&amp;"")</f>
        <v/>
      </c>
      <c r="C121">
        <f>IF($U121="","",INDEX('Per Line'!$B$2:$B$501,$U121)&amp;"")</f>
        <v/>
      </c>
      <c r="D121">
        <f>IF($U121="","",INDEX('Per Line'!$C$2:$C$501,$U121)&amp;"")</f>
        <v/>
      </c>
      <c r="E121">
        <f>IF($U121="","",INDEX('Per Line'!$D$2:$D$501,$U121)&amp;"")</f>
        <v/>
      </c>
      <c r="F121">
        <f>IF($U121="","",INDEX('Per Line'!$E$2:$E$501,$U121))</f>
        <v/>
      </c>
      <c r="G121" s="7">
        <f>IF($U121="","",F121*S121/100)</f>
        <v/>
      </c>
      <c r="H121" s="11">
        <f>IF($U121="","",INDEX('Per Line'!$R$2:$R$501,$U121))</f>
        <v/>
      </c>
      <c r="I121">
        <f>IF($U121="","",INDEX('Per Line'!$Q$2:$Q$501,$U121)&amp;"")</f>
        <v/>
      </c>
      <c r="J121">
        <f>IF($U121="","",INDEX('Per Line'!$P$2:$P$501,$U121)&amp;"")</f>
        <v/>
      </c>
      <c r="K121">
        <f>IF($U121="","",Settings!$C$7)</f>
        <v/>
      </c>
      <c r="L121" s="7">
        <f>IF($U121="","",SUMIFS('Per Line'!$M$2:$M$501,'Per Line'!$A$2:$A$501,$B121,'Per Line'!$AA$2:$AA$501,0))</f>
        <v/>
      </c>
      <c r="M121" s="7">
        <f>IF($U121="","",L121*K121)</f>
        <v/>
      </c>
      <c r="N121">
        <f>IF($U121="","",Settings!$C$6)</f>
        <v/>
      </c>
      <c r="O121" s="7">
        <f>IF($U121="","",SUMIFS('Per Line'!$M$2:$M$501,'Per Line'!$A$2:$A$501,$B121,'Per Line'!$AA$2:$AA$501,1))</f>
        <v/>
      </c>
      <c r="P121" s="7">
        <f>IF($U121="","",O121*N121)</f>
        <v/>
      </c>
      <c r="Q121" s="7">
        <f>IF($U121="","",P121+M121)</f>
        <v/>
      </c>
      <c r="R121" s="7">
        <f>IF($U121="","",S121-Q121)</f>
        <v/>
      </c>
      <c r="S121" s="7">
        <f>IF($U121="","",L121+O121)</f>
        <v/>
      </c>
      <c r="T121" s="7">
        <f>IF($U121="","",S121-Q121-G121)</f>
        <v/>
      </c>
      <c r="U121" s="13">
        <f>IF(ROWS($U$2:$U121)&lt;=MAX('Per Line'!$Z$2:$Z$501),MATCH(ROWS($U$2:$U121),'Per Line'!$Z$2:$Z$501,0),"")</f>
        <v/>
      </c>
    </row>
    <row r="122">
      <c r="A122" s="12" t="n"/>
      <c r="B122">
        <f>IF($U122="","",INDEX('Per Line'!$A$2:$A$501,$U122)&amp;"")</f>
        <v/>
      </c>
      <c r="C122">
        <f>IF($U122="","",INDEX('Per Line'!$B$2:$B$501,$U122)&amp;"")</f>
        <v/>
      </c>
      <c r="D122">
        <f>IF($U122="","",INDEX('Per Line'!$C$2:$C$501,$U122)&amp;"")</f>
        <v/>
      </c>
      <c r="E122">
        <f>IF($U122="","",INDEX('Per Line'!$D$2:$D$501,$U122)&amp;"")</f>
        <v/>
      </c>
      <c r="F122">
        <f>IF($U122="","",INDEX('Per Line'!$E$2:$E$501,$U122))</f>
        <v/>
      </c>
      <c r="G122" s="7">
        <f>IF($U122="","",F122*S122/100)</f>
        <v/>
      </c>
      <c r="H122" s="11">
        <f>IF($U122="","",INDEX('Per Line'!$R$2:$R$501,$U122))</f>
        <v/>
      </c>
      <c r="I122">
        <f>IF($U122="","",INDEX('Per Line'!$Q$2:$Q$501,$U122)&amp;"")</f>
        <v/>
      </c>
      <c r="J122">
        <f>IF($U122="","",INDEX('Per Line'!$P$2:$P$501,$U122)&amp;"")</f>
        <v/>
      </c>
      <c r="K122">
        <f>IF($U122="","",Settings!$C$7)</f>
        <v/>
      </c>
      <c r="L122" s="7">
        <f>IF($U122="","",SUMIFS('Per Line'!$M$2:$M$501,'Per Line'!$A$2:$A$501,$B122,'Per Line'!$AA$2:$AA$501,0))</f>
        <v/>
      </c>
      <c r="M122" s="7">
        <f>IF($U122="","",L122*K122)</f>
        <v/>
      </c>
      <c r="N122">
        <f>IF($U122="","",Settings!$C$6)</f>
        <v/>
      </c>
      <c r="O122" s="7">
        <f>IF($U122="","",SUMIFS('Per Line'!$M$2:$M$501,'Per Line'!$A$2:$A$501,$B122,'Per Line'!$AA$2:$AA$501,1))</f>
        <v/>
      </c>
      <c r="P122" s="7">
        <f>IF($U122="","",O122*N122)</f>
        <v/>
      </c>
      <c r="Q122" s="7">
        <f>IF($U122="","",P122+M122)</f>
        <v/>
      </c>
      <c r="R122" s="7">
        <f>IF($U122="","",S122-Q122)</f>
        <v/>
      </c>
      <c r="S122" s="7">
        <f>IF($U122="","",L122+O122)</f>
        <v/>
      </c>
      <c r="T122" s="7">
        <f>IF($U122="","",S122-Q122-G122)</f>
        <v/>
      </c>
      <c r="U122" s="13">
        <f>IF(ROWS($U$2:$U122)&lt;=MAX('Per Line'!$Z$2:$Z$501),MATCH(ROWS($U$2:$U122),'Per Line'!$Z$2:$Z$501,0),"")</f>
        <v/>
      </c>
    </row>
    <row r="123">
      <c r="A123" s="12" t="n"/>
      <c r="B123">
        <f>IF($U123="","",INDEX('Per Line'!$A$2:$A$501,$U123)&amp;"")</f>
        <v/>
      </c>
      <c r="C123">
        <f>IF($U123="","",INDEX('Per Line'!$B$2:$B$501,$U123)&amp;"")</f>
        <v/>
      </c>
      <c r="D123">
        <f>IF($U123="","",INDEX('Per Line'!$C$2:$C$501,$U123)&amp;"")</f>
        <v/>
      </c>
      <c r="E123">
        <f>IF($U123="","",INDEX('Per Line'!$D$2:$D$501,$U123)&amp;"")</f>
        <v/>
      </c>
      <c r="F123">
        <f>IF($U123="","",INDEX('Per Line'!$E$2:$E$501,$U123))</f>
        <v/>
      </c>
      <c r="G123" s="7">
        <f>IF($U123="","",F123*S123/100)</f>
        <v/>
      </c>
      <c r="H123" s="11">
        <f>IF($U123="","",INDEX('Per Line'!$R$2:$R$501,$U123))</f>
        <v/>
      </c>
      <c r="I123">
        <f>IF($U123="","",INDEX('Per Line'!$Q$2:$Q$501,$U123)&amp;"")</f>
        <v/>
      </c>
      <c r="J123">
        <f>IF($U123="","",INDEX('Per Line'!$P$2:$P$501,$U123)&amp;"")</f>
        <v/>
      </c>
      <c r="K123">
        <f>IF($U123="","",Settings!$C$7)</f>
        <v/>
      </c>
      <c r="L123" s="7">
        <f>IF($U123="","",SUMIFS('Per Line'!$M$2:$M$501,'Per Line'!$A$2:$A$501,$B123,'Per Line'!$AA$2:$AA$501,0))</f>
        <v/>
      </c>
      <c r="M123" s="7">
        <f>IF($U123="","",L123*K123)</f>
        <v/>
      </c>
      <c r="N123">
        <f>IF($U123="","",Settings!$C$6)</f>
        <v/>
      </c>
      <c r="O123" s="7">
        <f>IF($U123="","",SUMIFS('Per Line'!$M$2:$M$501,'Per Line'!$A$2:$A$501,$B123,'Per Line'!$AA$2:$AA$501,1))</f>
        <v/>
      </c>
      <c r="P123" s="7">
        <f>IF($U123="","",O123*N123)</f>
        <v/>
      </c>
      <c r="Q123" s="7">
        <f>IF($U123="","",P123+M123)</f>
        <v/>
      </c>
      <c r="R123" s="7">
        <f>IF($U123="","",S123-Q123)</f>
        <v/>
      </c>
      <c r="S123" s="7">
        <f>IF($U123="","",L123+O123)</f>
        <v/>
      </c>
      <c r="T123" s="7">
        <f>IF($U123="","",S123-Q123-G123)</f>
        <v/>
      </c>
      <c r="U123" s="13">
        <f>IF(ROWS($U$2:$U123)&lt;=MAX('Per Line'!$Z$2:$Z$501),MATCH(ROWS($U$2:$U123),'Per Line'!$Z$2:$Z$501,0),"")</f>
        <v/>
      </c>
    </row>
    <row r="124">
      <c r="A124" s="12" t="n"/>
      <c r="B124">
        <f>IF($U124="","",INDEX('Per Line'!$A$2:$A$501,$U124)&amp;"")</f>
        <v/>
      </c>
      <c r="C124">
        <f>IF($U124="","",INDEX('Per Line'!$B$2:$B$501,$U124)&amp;"")</f>
        <v/>
      </c>
      <c r="D124">
        <f>IF($U124="","",INDEX('Per Line'!$C$2:$C$501,$U124)&amp;"")</f>
        <v/>
      </c>
      <c r="E124">
        <f>IF($U124="","",INDEX('Per Line'!$D$2:$D$501,$U124)&amp;"")</f>
        <v/>
      </c>
      <c r="F124">
        <f>IF($U124="","",INDEX('Per Line'!$E$2:$E$501,$U124))</f>
        <v/>
      </c>
      <c r="G124" s="7">
        <f>IF($U124="","",F124*S124/100)</f>
        <v/>
      </c>
      <c r="H124" s="11">
        <f>IF($U124="","",INDEX('Per Line'!$R$2:$R$501,$U124))</f>
        <v/>
      </c>
      <c r="I124">
        <f>IF($U124="","",INDEX('Per Line'!$Q$2:$Q$501,$U124)&amp;"")</f>
        <v/>
      </c>
      <c r="J124">
        <f>IF($U124="","",INDEX('Per Line'!$P$2:$P$501,$U124)&amp;"")</f>
        <v/>
      </c>
      <c r="K124">
        <f>IF($U124="","",Settings!$C$7)</f>
        <v/>
      </c>
      <c r="L124" s="7">
        <f>IF($U124="","",SUMIFS('Per Line'!$M$2:$M$501,'Per Line'!$A$2:$A$501,$B124,'Per Line'!$AA$2:$AA$501,0))</f>
        <v/>
      </c>
      <c r="M124" s="7">
        <f>IF($U124="","",L124*K124)</f>
        <v/>
      </c>
      <c r="N124">
        <f>IF($U124="","",Settings!$C$6)</f>
        <v/>
      </c>
      <c r="O124" s="7">
        <f>IF($U124="","",SUMIFS('Per Line'!$M$2:$M$501,'Per Line'!$A$2:$A$501,$B124,'Per Line'!$AA$2:$AA$501,1))</f>
        <v/>
      </c>
      <c r="P124" s="7">
        <f>IF($U124="","",O124*N124)</f>
        <v/>
      </c>
      <c r="Q124" s="7">
        <f>IF($U124="","",P124+M124)</f>
        <v/>
      </c>
      <c r="R124" s="7">
        <f>IF($U124="","",S124-Q124)</f>
        <v/>
      </c>
      <c r="S124" s="7">
        <f>IF($U124="","",L124+O124)</f>
        <v/>
      </c>
      <c r="T124" s="7">
        <f>IF($U124="","",S124-Q124-G124)</f>
        <v/>
      </c>
      <c r="U124" s="13">
        <f>IF(ROWS($U$2:$U124)&lt;=MAX('Per Line'!$Z$2:$Z$501),MATCH(ROWS($U$2:$U124),'Per Line'!$Z$2:$Z$501,0),"")</f>
        <v/>
      </c>
    </row>
    <row r="125">
      <c r="A125" s="12" t="n"/>
      <c r="B125">
        <f>IF($U125="","",INDEX('Per Line'!$A$2:$A$501,$U125)&amp;"")</f>
        <v/>
      </c>
      <c r="C125">
        <f>IF($U125="","",INDEX('Per Line'!$B$2:$B$501,$U125)&amp;"")</f>
        <v/>
      </c>
      <c r="D125">
        <f>IF($U125="","",INDEX('Per Line'!$C$2:$C$501,$U125)&amp;"")</f>
        <v/>
      </c>
      <c r="E125">
        <f>IF($U125="","",INDEX('Per Line'!$D$2:$D$501,$U125)&amp;"")</f>
        <v/>
      </c>
      <c r="F125">
        <f>IF($U125="","",INDEX('Per Line'!$E$2:$E$501,$U125))</f>
        <v/>
      </c>
      <c r="G125" s="7">
        <f>IF($U125="","",F125*S125/100)</f>
        <v/>
      </c>
      <c r="H125" s="11">
        <f>IF($U125="","",INDEX('Per Line'!$R$2:$R$501,$U125))</f>
        <v/>
      </c>
      <c r="I125">
        <f>IF($U125="","",INDEX('Per Line'!$Q$2:$Q$501,$U125)&amp;"")</f>
        <v/>
      </c>
      <c r="J125">
        <f>IF($U125="","",INDEX('Per Line'!$P$2:$P$501,$U125)&amp;"")</f>
        <v/>
      </c>
      <c r="K125">
        <f>IF($U125="","",Settings!$C$7)</f>
        <v/>
      </c>
      <c r="L125" s="7">
        <f>IF($U125="","",SUMIFS('Per Line'!$M$2:$M$501,'Per Line'!$A$2:$A$501,$B125,'Per Line'!$AA$2:$AA$501,0))</f>
        <v/>
      </c>
      <c r="M125" s="7">
        <f>IF($U125="","",L125*K125)</f>
        <v/>
      </c>
      <c r="N125">
        <f>IF($U125="","",Settings!$C$6)</f>
        <v/>
      </c>
      <c r="O125" s="7">
        <f>IF($U125="","",SUMIFS('Per Line'!$M$2:$M$501,'Per Line'!$A$2:$A$501,$B125,'Per Line'!$AA$2:$AA$501,1))</f>
        <v/>
      </c>
      <c r="P125" s="7">
        <f>IF($U125="","",O125*N125)</f>
        <v/>
      </c>
      <c r="Q125" s="7">
        <f>IF($U125="","",P125+M125)</f>
        <v/>
      </c>
      <c r="R125" s="7">
        <f>IF($U125="","",S125-Q125)</f>
        <v/>
      </c>
      <c r="S125" s="7">
        <f>IF($U125="","",L125+O125)</f>
        <v/>
      </c>
      <c r="T125" s="7">
        <f>IF($U125="","",S125-Q125-G125)</f>
        <v/>
      </c>
      <c r="U125" s="13">
        <f>IF(ROWS($U$2:$U125)&lt;=MAX('Per Line'!$Z$2:$Z$501),MATCH(ROWS($U$2:$U125),'Per Line'!$Z$2:$Z$501,0),"")</f>
        <v/>
      </c>
    </row>
    <row r="126">
      <c r="A126" s="12" t="n"/>
      <c r="B126">
        <f>IF($U126="","",INDEX('Per Line'!$A$2:$A$501,$U126)&amp;"")</f>
        <v/>
      </c>
      <c r="C126">
        <f>IF($U126="","",INDEX('Per Line'!$B$2:$B$501,$U126)&amp;"")</f>
        <v/>
      </c>
      <c r="D126">
        <f>IF($U126="","",INDEX('Per Line'!$C$2:$C$501,$U126)&amp;"")</f>
        <v/>
      </c>
      <c r="E126">
        <f>IF($U126="","",INDEX('Per Line'!$D$2:$D$501,$U126)&amp;"")</f>
        <v/>
      </c>
      <c r="F126">
        <f>IF($U126="","",INDEX('Per Line'!$E$2:$E$501,$U126))</f>
        <v/>
      </c>
      <c r="G126" s="7">
        <f>IF($U126="","",F126*S126/100)</f>
        <v/>
      </c>
      <c r="H126" s="11">
        <f>IF($U126="","",INDEX('Per Line'!$R$2:$R$501,$U126))</f>
        <v/>
      </c>
      <c r="I126">
        <f>IF($U126="","",INDEX('Per Line'!$Q$2:$Q$501,$U126)&amp;"")</f>
        <v/>
      </c>
      <c r="J126">
        <f>IF($U126="","",INDEX('Per Line'!$P$2:$P$501,$U126)&amp;"")</f>
        <v/>
      </c>
      <c r="K126">
        <f>IF($U126="","",Settings!$C$7)</f>
        <v/>
      </c>
      <c r="L126" s="7">
        <f>IF($U126="","",SUMIFS('Per Line'!$M$2:$M$501,'Per Line'!$A$2:$A$501,$B126,'Per Line'!$AA$2:$AA$501,0))</f>
        <v/>
      </c>
      <c r="M126" s="7">
        <f>IF($U126="","",L126*K126)</f>
        <v/>
      </c>
      <c r="N126">
        <f>IF($U126="","",Settings!$C$6)</f>
        <v/>
      </c>
      <c r="O126" s="7">
        <f>IF($U126="","",SUMIFS('Per Line'!$M$2:$M$501,'Per Line'!$A$2:$A$501,$B126,'Per Line'!$AA$2:$AA$501,1))</f>
        <v/>
      </c>
      <c r="P126" s="7">
        <f>IF($U126="","",O126*N126)</f>
        <v/>
      </c>
      <c r="Q126" s="7">
        <f>IF($U126="","",P126+M126)</f>
        <v/>
      </c>
      <c r="R126" s="7">
        <f>IF($U126="","",S126-Q126)</f>
        <v/>
      </c>
      <c r="S126" s="7">
        <f>IF($U126="","",L126+O126)</f>
        <v/>
      </c>
      <c r="T126" s="7">
        <f>IF($U126="","",S126-Q126-G126)</f>
        <v/>
      </c>
      <c r="U126" s="13">
        <f>IF(ROWS($U$2:$U126)&lt;=MAX('Per Line'!$Z$2:$Z$501),MATCH(ROWS($U$2:$U126),'Per Line'!$Z$2:$Z$501,0),"")</f>
        <v/>
      </c>
    </row>
    <row r="127">
      <c r="A127" s="12" t="n"/>
      <c r="B127">
        <f>IF($U127="","",INDEX('Per Line'!$A$2:$A$501,$U127)&amp;"")</f>
        <v/>
      </c>
      <c r="C127">
        <f>IF($U127="","",INDEX('Per Line'!$B$2:$B$501,$U127)&amp;"")</f>
        <v/>
      </c>
      <c r="D127">
        <f>IF($U127="","",INDEX('Per Line'!$C$2:$C$501,$U127)&amp;"")</f>
        <v/>
      </c>
      <c r="E127">
        <f>IF($U127="","",INDEX('Per Line'!$D$2:$D$501,$U127)&amp;"")</f>
        <v/>
      </c>
      <c r="F127">
        <f>IF($U127="","",INDEX('Per Line'!$E$2:$E$501,$U127))</f>
        <v/>
      </c>
      <c r="G127" s="7">
        <f>IF($U127="","",F127*S127/100)</f>
        <v/>
      </c>
      <c r="H127" s="11">
        <f>IF($U127="","",INDEX('Per Line'!$R$2:$R$501,$U127))</f>
        <v/>
      </c>
      <c r="I127">
        <f>IF($U127="","",INDEX('Per Line'!$Q$2:$Q$501,$U127)&amp;"")</f>
        <v/>
      </c>
      <c r="J127">
        <f>IF($U127="","",INDEX('Per Line'!$P$2:$P$501,$U127)&amp;"")</f>
        <v/>
      </c>
      <c r="K127">
        <f>IF($U127="","",Settings!$C$7)</f>
        <v/>
      </c>
      <c r="L127" s="7">
        <f>IF($U127="","",SUMIFS('Per Line'!$M$2:$M$501,'Per Line'!$A$2:$A$501,$B127,'Per Line'!$AA$2:$AA$501,0))</f>
        <v/>
      </c>
      <c r="M127" s="7">
        <f>IF($U127="","",L127*K127)</f>
        <v/>
      </c>
      <c r="N127">
        <f>IF($U127="","",Settings!$C$6)</f>
        <v/>
      </c>
      <c r="O127" s="7">
        <f>IF($U127="","",SUMIFS('Per Line'!$M$2:$M$501,'Per Line'!$A$2:$A$501,$B127,'Per Line'!$AA$2:$AA$501,1))</f>
        <v/>
      </c>
      <c r="P127" s="7">
        <f>IF($U127="","",O127*N127)</f>
        <v/>
      </c>
      <c r="Q127" s="7">
        <f>IF($U127="","",P127+M127)</f>
        <v/>
      </c>
      <c r="R127" s="7">
        <f>IF($U127="","",S127-Q127)</f>
        <v/>
      </c>
      <c r="S127" s="7">
        <f>IF($U127="","",L127+O127)</f>
        <v/>
      </c>
      <c r="T127" s="7">
        <f>IF($U127="","",S127-Q127-G127)</f>
        <v/>
      </c>
      <c r="U127" s="13">
        <f>IF(ROWS($U$2:$U127)&lt;=MAX('Per Line'!$Z$2:$Z$501),MATCH(ROWS($U$2:$U127),'Per Line'!$Z$2:$Z$501,0),"")</f>
        <v/>
      </c>
    </row>
    <row r="128">
      <c r="A128" s="12" t="n"/>
      <c r="B128">
        <f>IF($U128="","",INDEX('Per Line'!$A$2:$A$501,$U128)&amp;"")</f>
        <v/>
      </c>
      <c r="C128">
        <f>IF($U128="","",INDEX('Per Line'!$B$2:$B$501,$U128)&amp;"")</f>
        <v/>
      </c>
      <c r="D128">
        <f>IF($U128="","",INDEX('Per Line'!$C$2:$C$501,$U128)&amp;"")</f>
        <v/>
      </c>
      <c r="E128">
        <f>IF($U128="","",INDEX('Per Line'!$D$2:$D$501,$U128)&amp;"")</f>
        <v/>
      </c>
      <c r="F128">
        <f>IF($U128="","",INDEX('Per Line'!$E$2:$E$501,$U128))</f>
        <v/>
      </c>
      <c r="G128" s="7">
        <f>IF($U128="","",F128*S128/100)</f>
        <v/>
      </c>
      <c r="H128" s="11">
        <f>IF($U128="","",INDEX('Per Line'!$R$2:$R$501,$U128))</f>
        <v/>
      </c>
      <c r="I128">
        <f>IF($U128="","",INDEX('Per Line'!$Q$2:$Q$501,$U128)&amp;"")</f>
        <v/>
      </c>
      <c r="J128">
        <f>IF($U128="","",INDEX('Per Line'!$P$2:$P$501,$U128)&amp;"")</f>
        <v/>
      </c>
      <c r="K128">
        <f>IF($U128="","",Settings!$C$7)</f>
        <v/>
      </c>
      <c r="L128" s="7">
        <f>IF($U128="","",SUMIFS('Per Line'!$M$2:$M$501,'Per Line'!$A$2:$A$501,$B128,'Per Line'!$AA$2:$AA$501,0))</f>
        <v/>
      </c>
      <c r="M128" s="7">
        <f>IF($U128="","",L128*K128)</f>
        <v/>
      </c>
      <c r="N128">
        <f>IF($U128="","",Settings!$C$6)</f>
        <v/>
      </c>
      <c r="O128" s="7">
        <f>IF($U128="","",SUMIFS('Per Line'!$M$2:$M$501,'Per Line'!$A$2:$A$501,$B128,'Per Line'!$AA$2:$AA$501,1))</f>
        <v/>
      </c>
      <c r="P128" s="7">
        <f>IF($U128="","",O128*N128)</f>
        <v/>
      </c>
      <c r="Q128" s="7">
        <f>IF($U128="","",P128+M128)</f>
        <v/>
      </c>
      <c r="R128" s="7">
        <f>IF($U128="","",S128-Q128)</f>
        <v/>
      </c>
      <c r="S128" s="7">
        <f>IF($U128="","",L128+O128)</f>
        <v/>
      </c>
      <c r="T128" s="7">
        <f>IF($U128="","",S128-Q128-G128)</f>
        <v/>
      </c>
      <c r="U128" s="13">
        <f>IF(ROWS($U$2:$U128)&lt;=MAX('Per Line'!$Z$2:$Z$501),MATCH(ROWS($U$2:$U128),'Per Line'!$Z$2:$Z$501,0),"")</f>
        <v/>
      </c>
    </row>
    <row r="129">
      <c r="A129" s="12" t="n"/>
      <c r="B129">
        <f>IF($U129="","",INDEX('Per Line'!$A$2:$A$501,$U129)&amp;"")</f>
        <v/>
      </c>
      <c r="C129">
        <f>IF($U129="","",INDEX('Per Line'!$B$2:$B$501,$U129)&amp;"")</f>
        <v/>
      </c>
      <c r="D129">
        <f>IF($U129="","",INDEX('Per Line'!$C$2:$C$501,$U129)&amp;"")</f>
        <v/>
      </c>
      <c r="E129">
        <f>IF($U129="","",INDEX('Per Line'!$D$2:$D$501,$U129)&amp;"")</f>
        <v/>
      </c>
      <c r="F129">
        <f>IF($U129="","",INDEX('Per Line'!$E$2:$E$501,$U129))</f>
        <v/>
      </c>
      <c r="G129" s="7">
        <f>IF($U129="","",F129*S129/100)</f>
        <v/>
      </c>
      <c r="H129" s="11">
        <f>IF($U129="","",INDEX('Per Line'!$R$2:$R$501,$U129))</f>
        <v/>
      </c>
      <c r="I129">
        <f>IF($U129="","",INDEX('Per Line'!$Q$2:$Q$501,$U129)&amp;"")</f>
        <v/>
      </c>
      <c r="J129">
        <f>IF($U129="","",INDEX('Per Line'!$P$2:$P$501,$U129)&amp;"")</f>
        <v/>
      </c>
      <c r="K129">
        <f>IF($U129="","",Settings!$C$7)</f>
        <v/>
      </c>
      <c r="L129" s="7">
        <f>IF($U129="","",SUMIFS('Per Line'!$M$2:$M$501,'Per Line'!$A$2:$A$501,$B129,'Per Line'!$AA$2:$AA$501,0))</f>
        <v/>
      </c>
      <c r="M129" s="7">
        <f>IF($U129="","",L129*K129)</f>
        <v/>
      </c>
      <c r="N129">
        <f>IF($U129="","",Settings!$C$6)</f>
        <v/>
      </c>
      <c r="O129" s="7">
        <f>IF($U129="","",SUMIFS('Per Line'!$M$2:$M$501,'Per Line'!$A$2:$A$501,$B129,'Per Line'!$AA$2:$AA$501,1))</f>
        <v/>
      </c>
      <c r="P129" s="7">
        <f>IF($U129="","",O129*N129)</f>
        <v/>
      </c>
      <c r="Q129" s="7">
        <f>IF($U129="","",P129+M129)</f>
        <v/>
      </c>
      <c r="R129" s="7">
        <f>IF($U129="","",S129-Q129)</f>
        <v/>
      </c>
      <c r="S129" s="7">
        <f>IF($U129="","",L129+O129)</f>
        <v/>
      </c>
      <c r="T129" s="7">
        <f>IF($U129="","",S129-Q129-G129)</f>
        <v/>
      </c>
      <c r="U129" s="13">
        <f>IF(ROWS($U$2:$U129)&lt;=MAX('Per Line'!$Z$2:$Z$501),MATCH(ROWS($U$2:$U129),'Per Line'!$Z$2:$Z$501,0),"")</f>
        <v/>
      </c>
    </row>
    <row r="130">
      <c r="A130" s="12" t="n"/>
      <c r="B130">
        <f>IF($U130="","",INDEX('Per Line'!$A$2:$A$501,$U130)&amp;"")</f>
        <v/>
      </c>
      <c r="C130">
        <f>IF($U130="","",INDEX('Per Line'!$B$2:$B$501,$U130)&amp;"")</f>
        <v/>
      </c>
      <c r="D130">
        <f>IF($U130="","",INDEX('Per Line'!$C$2:$C$501,$U130)&amp;"")</f>
        <v/>
      </c>
      <c r="E130">
        <f>IF($U130="","",INDEX('Per Line'!$D$2:$D$501,$U130)&amp;"")</f>
        <v/>
      </c>
      <c r="F130">
        <f>IF($U130="","",INDEX('Per Line'!$E$2:$E$501,$U130))</f>
        <v/>
      </c>
      <c r="G130" s="7">
        <f>IF($U130="","",F130*S130/100)</f>
        <v/>
      </c>
      <c r="H130" s="11">
        <f>IF($U130="","",INDEX('Per Line'!$R$2:$R$501,$U130))</f>
        <v/>
      </c>
      <c r="I130">
        <f>IF($U130="","",INDEX('Per Line'!$Q$2:$Q$501,$U130)&amp;"")</f>
        <v/>
      </c>
      <c r="J130">
        <f>IF($U130="","",INDEX('Per Line'!$P$2:$P$501,$U130)&amp;"")</f>
        <v/>
      </c>
      <c r="K130">
        <f>IF($U130="","",Settings!$C$7)</f>
        <v/>
      </c>
      <c r="L130" s="7">
        <f>IF($U130="","",SUMIFS('Per Line'!$M$2:$M$501,'Per Line'!$A$2:$A$501,$B130,'Per Line'!$AA$2:$AA$501,0))</f>
        <v/>
      </c>
      <c r="M130" s="7">
        <f>IF($U130="","",L130*K130)</f>
        <v/>
      </c>
      <c r="N130">
        <f>IF($U130="","",Settings!$C$6)</f>
        <v/>
      </c>
      <c r="O130" s="7">
        <f>IF($U130="","",SUMIFS('Per Line'!$M$2:$M$501,'Per Line'!$A$2:$A$501,$B130,'Per Line'!$AA$2:$AA$501,1))</f>
        <v/>
      </c>
      <c r="P130" s="7">
        <f>IF($U130="","",O130*N130)</f>
        <v/>
      </c>
      <c r="Q130" s="7">
        <f>IF($U130="","",P130+M130)</f>
        <v/>
      </c>
      <c r="R130" s="7">
        <f>IF($U130="","",S130-Q130)</f>
        <v/>
      </c>
      <c r="S130" s="7">
        <f>IF($U130="","",L130+O130)</f>
        <v/>
      </c>
      <c r="T130" s="7">
        <f>IF($U130="","",S130-Q130-G130)</f>
        <v/>
      </c>
      <c r="U130" s="13">
        <f>IF(ROWS($U$2:$U130)&lt;=MAX('Per Line'!$Z$2:$Z$501),MATCH(ROWS($U$2:$U130),'Per Line'!$Z$2:$Z$501,0),"")</f>
        <v/>
      </c>
    </row>
    <row r="131">
      <c r="A131" s="12" t="n"/>
      <c r="B131">
        <f>IF($U131="","",INDEX('Per Line'!$A$2:$A$501,$U131)&amp;"")</f>
        <v/>
      </c>
      <c r="C131">
        <f>IF($U131="","",INDEX('Per Line'!$B$2:$B$501,$U131)&amp;"")</f>
        <v/>
      </c>
      <c r="D131">
        <f>IF($U131="","",INDEX('Per Line'!$C$2:$C$501,$U131)&amp;"")</f>
        <v/>
      </c>
      <c r="E131">
        <f>IF($U131="","",INDEX('Per Line'!$D$2:$D$501,$U131)&amp;"")</f>
        <v/>
      </c>
      <c r="F131">
        <f>IF($U131="","",INDEX('Per Line'!$E$2:$E$501,$U131))</f>
        <v/>
      </c>
      <c r="G131" s="7">
        <f>IF($U131="","",F131*S131/100)</f>
        <v/>
      </c>
      <c r="H131" s="11">
        <f>IF($U131="","",INDEX('Per Line'!$R$2:$R$501,$U131))</f>
        <v/>
      </c>
      <c r="I131">
        <f>IF($U131="","",INDEX('Per Line'!$Q$2:$Q$501,$U131)&amp;"")</f>
        <v/>
      </c>
      <c r="J131">
        <f>IF($U131="","",INDEX('Per Line'!$P$2:$P$501,$U131)&amp;"")</f>
        <v/>
      </c>
      <c r="K131">
        <f>IF($U131="","",Settings!$C$7)</f>
        <v/>
      </c>
      <c r="L131" s="7">
        <f>IF($U131="","",SUMIFS('Per Line'!$M$2:$M$501,'Per Line'!$A$2:$A$501,$B131,'Per Line'!$AA$2:$AA$501,0))</f>
        <v/>
      </c>
      <c r="M131" s="7">
        <f>IF($U131="","",L131*K131)</f>
        <v/>
      </c>
      <c r="N131">
        <f>IF($U131="","",Settings!$C$6)</f>
        <v/>
      </c>
      <c r="O131" s="7">
        <f>IF($U131="","",SUMIFS('Per Line'!$M$2:$M$501,'Per Line'!$A$2:$A$501,$B131,'Per Line'!$AA$2:$AA$501,1))</f>
        <v/>
      </c>
      <c r="P131" s="7">
        <f>IF($U131="","",O131*N131)</f>
        <v/>
      </c>
      <c r="Q131" s="7">
        <f>IF($U131="","",P131+M131)</f>
        <v/>
      </c>
      <c r="R131" s="7">
        <f>IF($U131="","",S131-Q131)</f>
        <v/>
      </c>
      <c r="S131" s="7">
        <f>IF($U131="","",L131+O131)</f>
        <v/>
      </c>
      <c r="T131" s="7">
        <f>IF($U131="","",S131-Q131-G131)</f>
        <v/>
      </c>
      <c r="U131" s="13">
        <f>IF(ROWS($U$2:$U131)&lt;=MAX('Per Line'!$Z$2:$Z$501),MATCH(ROWS($U$2:$U131),'Per Line'!$Z$2:$Z$501,0),"")</f>
        <v/>
      </c>
    </row>
    <row r="132">
      <c r="A132" s="12" t="n"/>
      <c r="B132">
        <f>IF($U132="","",INDEX('Per Line'!$A$2:$A$501,$U132)&amp;"")</f>
        <v/>
      </c>
      <c r="C132">
        <f>IF($U132="","",INDEX('Per Line'!$B$2:$B$501,$U132)&amp;"")</f>
        <v/>
      </c>
      <c r="D132">
        <f>IF($U132="","",INDEX('Per Line'!$C$2:$C$501,$U132)&amp;"")</f>
        <v/>
      </c>
      <c r="E132">
        <f>IF($U132="","",INDEX('Per Line'!$D$2:$D$501,$U132)&amp;"")</f>
        <v/>
      </c>
      <c r="F132">
        <f>IF($U132="","",INDEX('Per Line'!$E$2:$E$501,$U132))</f>
        <v/>
      </c>
      <c r="G132" s="7">
        <f>IF($U132="","",F132*S132/100)</f>
        <v/>
      </c>
      <c r="H132" s="11">
        <f>IF($U132="","",INDEX('Per Line'!$R$2:$R$501,$U132))</f>
        <v/>
      </c>
      <c r="I132">
        <f>IF($U132="","",INDEX('Per Line'!$Q$2:$Q$501,$U132)&amp;"")</f>
        <v/>
      </c>
      <c r="J132">
        <f>IF($U132="","",INDEX('Per Line'!$P$2:$P$501,$U132)&amp;"")</f>
        <v/>
      </c>
      <c r="K132">
        <f>IF($U132="","",Settings!$C$7)</f>
        <v/>
      </c>
      <c r="L132" s="7">
        <f>IF($U132="","",SUMIFS('Per Line'!$M$2:$M$501,'Per Line'!$A$2:$A$501,$B132,'Per Line'!$AA$2:$AA$501,0))</f>
        <v/>
      </c>
      <c r="M132" s="7">
        <f>IF($U132="","",L132*K132)</f>
        <v/>
      </c>
      <c r="N132">
        <f>IF($U132="","",Settings!$C$6)</f>
        <v/>
      </c>
      <c r="O132" s="7">
        <f>IF($U132="","",SUMIFS('Per Line'!$M$2:$M$501,'Per Line'!$A$2:$A$501,$B132,'Per Line'!$AA$2:$AA$501,1))</f>
        <v/>
      </c>
      <c r="P132" s="7">
        <f>IF($U132="","",O132*N132)</f>
        <v/>
      </c>
      <c r="Q132" s="7">
        <f>IF($U132="","",P132+M132)</f>
        <v/>
      </c>
      <c r="R132" s="7">
        <f>IF($U132="","",S132-Q132)</f>
        <v/>
      </c>
      <c r="S132" s="7">
        <f>IF($U132="","",L132+O132)</f>
        <v/>
      </c>
      <c r="T132" s="7">
        <f>IF($U132="","",S132-Q132-G132)</f>
        <v/>
      </c>
      <c r="U132" s="13">
        <f>IF(ROWS($U$2:$U132)&lt;=MAX('Per Line'!$Z$2:$Z$501),MATCH(ROWS($U$2:$U132),'Per Line'!$Z$2:$Z$501,0),"")</f>
        <v/>
      </c>
    </row>
    <row r="133">
      <c r="A133" s="12" t="n"/>
      <c r="B133">
        <f>IF($U133="","",INDEX('Per Line'!$A$2:$A$501,$U133)&amp;"")</f>
        <v/>
      </c>
      <c r="C133">
        <f>IF($U133="","",INDEX('Per Line'!$B$2:$B$501,$U133)&amp;"")</f>
        <v/>
      </c>
      <c r="D133">
        <f>IF($U133="","",INDEX('Per Line'!$C$2:$C$501,$U133)&amp;"")</f>
        <v/>
      </c>
      <c r="E133">
        <f>IF($U133="","",INDEX('Per Line'!$D$2:$D$501,$U133)&amp;"")</f>
        <v/>
      </c>
      <c r="F133">
        <f>IF($U133="","",INDEX('Per Line'!$E$2:$E$501,$U133))</f>
        <v/>
      </c>
      <c r="G133" s="7">
        <f>IF($U133="","",F133*S133/100)</f>
        <v/>
      </c>
      <c r="H133" s="11">
        <f>IF($U133="","",INDEX('Per Line'!$R$2:$R$501,$U133))</f>
        <v/>
      </c>
      <c r="I133">
        <f>IF($U133="","",INDEX('Per Line'!$Q$2:$Q$501,$U133)&amp;"")</f>
        <v/>
      </c>
      <c r="J133">
        <f>IF($U133="","",INDEX('Per Line'!$P$2:$P$501,$U133)&amp;"")</f>
        <v/>
      </c>
      <c r="K133">
        <f>IF($U133="","",Settings!$C$7)</f>
        <v/>
      </c>
      <c r="L133" s="7">
        <f>IF($U133="","",SUMIFS('Per Line'!$M$2:$M$501,'Per Line'!$A$2:$A$501,$B133,'Per Line'!$AA$2:$AA$501,0))</f>
        <v/>
      </c>
      <c r="M133" s="7">
        <f>IF($U133="","",L133*K133)</f>
        <v/>
      </c>
      <c r="N133">
        <f>IF($U133="","",Settings!$C$6)</f>
        <v/>
      </c>
      <c r="O133" s="7">
        <f>IF($U133="","",SUMIFS('Per Line'!$M$2:$M$501,'Per Line'!$A$2:$A$501,$B133,'Per Line'!$AA$2:$AA$501,1))</f>
        <v/>
      </c>
      <c r="P133" s="7">
        <f>IF($U133="","",O133*N133)</f>
        <v/>
      </c>
      <c r="Q133" s="7">
        <f>IF($U133="","",P133+M133)</f>
        <v/>
      </c>
      <c r="R133" s="7">
        <f>IF($U133="","",S133-Q133)</f>
        <v/>
      </c>
      <c r="S133" s="7">
        <f>IF($U133="","",L133+O133)</f>
        <v/>
      </c>
      <c r="T133" s="7">
        <f>IF($U133="","",S133-Q133-G133)</f>
        <v/>
      </c>
      <c r="U133" s="13">
        <f>IF(ROWS($U$2:$U133)&lt;=MAX('Per Line'!$Z$2:$Z$501),MATCH(ROWS($U$2:$U133),'Per Line'!$Z$2:$Z$501,0),"")</f>
        <v/>
      </c>
    </row>
    <row r="134">
      <c r="A134" s="12" t="n"/>
      <c r="B134">
        <f>IF($U134="","",INDEX('Per Line'!$A$2:$A$501,$U134)&amp;"")</f>
        <v/>
      </c>
      <c r="C134">
        <f>IF($U134="","",INDEX('Per Line'!$B$2:$B$501,$U134)&amp;"")</f>
        <v/>
      </c>
      <c r="D134">
        <f>IF($U134="","",INDEX('Per Line'!$C$2:$C$501,$U134)&amp;"")</f>
        <v/>
      </c>
      <c r="E134">
        <f>IF($U134="","",INDEX('Per Line'!$D$2:$D$501,$U134)&amp;"")</f>
        <v/>
      </c>
      <c r="F134">
        <f>IF($U134="","",INDEX('Per Line'!$E$2:$E$501,$U134))</f>
        <v/>
      </c>
      <c r="G134" s="7">
        <f>IF($U134="","",F134*S134/100)</f>
        <v/>
      </c>
      <c r="H134" s="11">
        <f>IF($U134="","",INDEX('Per Line'!$R$2:$R$501,$U134))</f>
        <v/>
      </c>
      <c r="I134">
        <f>IF($U134="","",INDEX('Per Line'!$Q$2:$Q$501,$U134)&amp;"")</f>
        <v/>
      </c>
      <c r="J134">
        <f>IF($U134="","",INDEX('Per Line'!$P$2:$P$501,$U134)&amp;"")</f>
        <v/>
      </c>
      <c r="K134">
        <f>IF($U134="","",Settings!$C$7)</f>
        <v/>
      </c>
      <c r="L134" s="7">
        <f>IF($U134="","",SUMIFS('Per Line'!$M$2:$M$501,'Per Line'!$A$2:$A$501,$B134,'Per Line'!$AA$2:$AA$501,0))</f>
        <v/>
      </c>
      <c r="M134" s="7">
        <f>IF($U134="","",L134*K134)</f>
        <v/>
      </c>
      <c r="N134">
        <f>IF($U134="","",Settings!$C$6)</f>
        <v/>
      </c>
      <c r="O134" s="7">
        <f>IF($U134="","",SUMIFS('Per Line'!$M$2:$M$501,'Per Line'!$A$2:$A$501,$B134,'Per Line'!$AA$2:$AA$501,1))</f>
        <v/>
      </c>
      <c r="P134" s="7">
        <f>IF($U134="","",O134*N134)</f>
        <v/>
      </c>
      <c r="Q134" s="7">
        <f>IF($U134="","",P134+M134)</f>
        <v/>
      </c>
      <c r="R134" s="7">
        <f>IF($U134="","",S134-Q134)</f>
        <v/>
      </c>
      <c r="S134" s="7">
        <f>IF($U134="","",L134+O134)</f>
        <v/>
      </c>
      <c r="T134" s="7">
        <f>IF($U134="","",S134-Q134-G134)</f>
        <v/>
      </c>
      <c r="U134" s="13">
        <f>IF(ROWS($U$2:$U134)&lt;=MAX('Per Line'!$Z$2:$Z$501),MATCH(ROWS($U$2:$U134),'Per Line'!$Z$2:$Z$501,0),"")</f>
        <v/>
      </c>
    </row>
    <row r="135">
      <c r="A135" s="12" t="n"/>
      <c r="B135">
        <f>IF($U135="","",INDEX('Per Line'!$A$2:$A$501,$U135)&amp;"")</f>
        <v/>
      </c>
      <c r="C135">
        <f>IF($U135="","",INDEX('Per Line'!$B$2:$B$501,$U135)&amp;"")</f>
        <v/>
      </c>
      <c r="D135">
        <f>IF($U135="","",INDEX('Per Line'!$C$2:$C$501,$U135)&amp;"")</f>
        <v/>
      </c>
      <c r="E135">
        <f>IF($U135="","",INDEX('Per Line'!$D$2:$D$501,$U135)&amp;"")</f>
        <v/>
      </c>
      <c r="F135">
        <f>IF($U135="","",INDEX('Per Line'!$E$2:$E$501,$U135))</f>
        <v/>
      </c>
      <c r="G135" s="7">
        <f>IF($U135="","",F135*S135/100)</f>
        <v/>
      </c>
      <c r="H135" s="11">
        <f>IF($U135="","",INDEX('Per Line'!$R$2:$R$501,$U135))</f>
        <v/>
      </c>
      <c r="I135">
        <f>IF($U135="","",INDEX('Per Line'!$Q$2:$Q$501,$U135)&amp;"")</f>
        <v/>
      </c>
      <c r="J135">
        <f>IF($U135="","",INDEX('Per Line'!$P$2:$P$501,$U135)&amp;"")</f>
        <v/>
      </c>
      <c r="K135">
        <f>IF($U135="","",Settings!$C$7)</f>
        <v/>
      </c>
      <c r="L135" s="7">
        <f>IF($U135="","",SUMIFS('Per Line'!$M$2:$M$501,'Per Line'!$A$2:$A$501,$B135,'Per Line'!$AA$2:$AA$501,0))</f>
        <v/>
      </c>
      <c r="M135" s="7">
        <f>IF($U135="","",L135*K135)</f>
        <v/>
      </c>
      <c r="N135">
        <f>IF($U135="","",Settings!$C$6)</f>
        <v/>
      </c>
      <c r="O135" s="7">
        <f>IF($U135="","",SUMIFS('Per Line'!$M$2:$M$501,'Per Line'!$A$2:$A$501,$B135,'Per Line'!$AA$2:$AA$501,1))</f>
        <v/>
      </c>
      <c r="P135" s="7">
        <f>IF($U135="","",O135*N135)</f>
        <v/>
      </c>
      <c r="Q135" s="7">
        <f>IF($U135="","",P135+M135)</f>
        <v/>
      </c>
      <c r="R135" s="7">
        <f>IF($U135="","",S135-Q135)</f>
        <v/>
      </c>
      <c r="S135" s="7">
        <f>IF($U135="","",L135+O135)</f>
        <v/>
      </c>
      <c r="T135" s="7">
        <f>IF($U135="","",S135-Q135-G135)</f>
        <v/>
      </c>
      <c r="U135" s="13">
        <f>IF(ROWS($U$2:$U135)&lt;=MAX('Per Line'!$Z$2:$Z$501),MATCH(ROWS($U$2:$U135),'Per Line'!$Z$2:$Z$501,0),"")</f>
        <v/>
      </c>
    </row>
    <row r="136">
      <c r="A136" s="12" t="n"/>
      <c r="B136">
        <f>IF($U136="","",INDEX('Per Line'!$A$2:$A$501,$U136)&amp;"")</f>
        <v/>
      </c>
      <c r="C136">
        <f>IF($U136="","",INDEX('Per Line'!$B$2:$B$501,$U136)&amp;"")</f>
        <v/>
      </c>
      <c r="D136">
        <f>IF($U136="","",INDEX('Per Line'!$C$2:$C$501,$U136)&amp;"")</f>
        <v/>
      </c>
      <c r="E136">
        <f>IF($U136="","",INDEX('Per Line'!$D$2:$D$501,$U136)&amp;"")</f>
        <v/>
      </c>
      <c r="F136">
        <f>IF($U136="","",INDEX('Per Line'!$E$2:$E$501,$U136))</f>
        <v/>
      </c>
      <c r="G136" s="7">
        <f>IF($U136="","",F136*S136/100)</f>
        <v/>
      </c>
      <c r="H136" s="11">
        <f>IF($U136="","",INDEX('Per Line'!$R$2:$R$501,$U136))</f>
        <v/>
      </c>
      <c r="I136">
        <f>IF($U136="","",INDEX('Per Line'!$Q$2:$Q$501,$U136)&amp;"")</f>
        <v/>
      </c>
      <c r="J136">
        <f>IF($U136="","",INDEX('Per Line'!$P$2:$P$501,$U136)&amp;"")</f>
        <v/>
      </c>
      <c r="K136">
        <f>IF($U136="","",Settings!$C$7)</f>
        <v/>
      </c>
      <c r="L136" s="7">
        <f>IF($U136="","",SUMIFS('Per Line'!$M$2:$M$501,'Per Line'!$A$2:$A$501,$B136,'Per Line'!$AA$2:$AA$501,0))</f>
        <v/>
      </c>
      <c r="M136" s="7">
        <f>IF($U136="","",L136*K136)</f>
        <v/>
      </c>
      <c r="N136">
        <f>IF($U136="","",Settings!$C$6)</f>
        <v/>
      </c>
      <c r="O136" s="7">
        <f>IF($U136="","",SUMIFS('Per Line'!$M$2:$M$501,'Per Line'!$A$2:$A$501,$B136,'Per Line'!$AA$2:$AA$501,1))</f>
        <v/>
      </c>
      <c r="P136" s="7">
        <f>IF($U136="","",O136*N136)</f>
        <v/>
      </c>
      <c r="Q136" s="7">
        <f>IF($U136="","",P136+M136)</f>
        <v/>
      </c>
      <c r="R136" s="7">
        <f>IF($U136="","",S136-Q136)</f>
        <v/>
      </c>
      <c r="S136" s="7">
        <f>IF($U136="","",L136+O136)</f>
        <v/>
      </c>
      <c r="T136" s="7">
        <f>IF($U136="","",S136-Q136-G136)</f>
        <v/>
      </c>
      <c r="U136" s="13">
        <f>IF(ROWS($U$2:$U136)&lt;=MAX('Per Line'!$Z$2:$Z$501),MATCH(ROWS($U$2:$U136),'Per Line'!$Z$2:$Z$501,0),"")</f>
        <v/>
      </c>
    </row>
    <row r="137">
      <c r="A137" s="12" t="n"/>
      <c r="B137">
        <f>IF($U137="","",INDEX('Per Line'!$A$2:$A$501,$U137)&amp;"")</f>
        <v/>
      </c>
      <c r="C137">
        <f>IF($U137="","",INDEX('Per Line'!$B$2:$B$501,$U137)&amp;"")</f>
        <v/>
      </c>
      <c r="D137">
        <f>IF($U137="","",INDEX('Per Line'!$C$2:$C$501,$U137)&amp;"")</f>
        <v/>
      </c>
      <c r="E137">
        <f>IF($U137="","",INDEX('Per Line'!$D$2:$D$501,$U137)&amp;"")</f>
        <v/>
      </c>
      <c r="F137">
        <f>IF($U137="","",INDEX('Per Line'!$E$2:$E$501,$U137))</f>
        <v/>
      </c>
      <c r="G137" s="7">
        <f>IF($U137="","",F137*S137/100)</f>
        <v/>
      </c>
      <c r="H137" s="11">
        <f>IF($U137="","",INDEX('Per Line'!$R$2:$R$501,$U137))</f>
        <v/>
      </c>
      <c r="I137">
        <f>IF($U137="","",INDEX('Per Line'!$Q$2:$Q$501,$U137)&amp;"")</f>
        <v/>
      </c>
      <c r="J137">
        <f>IF($U137="","",INDEX('Per Line'!$P$2:$P$501,$U137)&amp;"")</f>
        <v/>
      </c>
      <c r="K137">
        <f>IF($U137="","",Settings!$C$7)</f>
        <v/>
      </c>
      <c r="L137" s="7">
        <f>IF($U137="","",SUMIFS('Per Line'!$M$2:$M$501,'Per Line'!$A$2:$A$501,$B137,'Per Line'!$AA$2:$AA$501,0))</f>
        <v/>
      </c>
      <c r="M137" s="7">
        <f>IF($U137="","",L137*K137)</f>
        <v/>
      </c>
      <c r="N137">
        <f>IF($U137="","",Settings!$C$6)</f>
        <v/>
      </c>
      <c r="O137" s="7">
        <f>IF($U137="","",SUMIFS('Per Line'!$M$2:$M$501,'Per Line'!$A$2:$A$501,$B137,'Per Line'!$AA$2:$AA$501,1))</f>
        <v/>
      </c>
      <c r="P137" s="7">
        <f>IF($U137="","",O137*N137)</f>
        <v/>
      </c>
      <c r="Q137" s="7">
        <f>IF($U137="","",P137+M137)</f>
        <v/>
      </c>
      <c r="R137" s="7">
        <f>IF($U137="","",S137-Q137)</f>
        <v/>
      </c>
      <c r="S137" s="7">
        <f>IF($U137="","",L137+O137)</f>
        <v/>
      </c>
      <c r="T137" s="7">
        <f>IF($U137="","",S137-Q137-G137)</f>
        <v/>
      </c>
      <c r="U137" s="13">
        <f>IF(ROWS($U$2:$U137)&lt;=MAX('Per Line'!$Z$2:$Z$501),MATCH(ROWS($U$2:$U137),'Per Line'!$Z$2:$Z$501,0),"")</f>
        <v/>
      </c>
    </row>
    <row r="138">
      <c r="A138" s="12" t="n"/>
      <c r="B138">
        <f>IF($U138="","",INDEX('Per Line'!$A$2:$A$501,$U138)&amp;"")</f>
        <v/>
      </c>
      <c r="C138">
        <f>IF($U138="","",INDEX('Per Line'!$B$2:$B$501,$U138)&amp;"")</f>
        <v/>
      </c>
      <c r="D138">
        <f>IF($U138="","",INDEX('Per Line'!$C$2:$C$501,$U138)&amp;"")</f>
        <v/>
      </c>
      <c r="E138">
        <f>IF($U138="","",INDEX('Per Line'!$D$2:$D$501,$U138)&amp;"")</f>
        <v/>
      </c>
      <c r="F138">
        <f>IF($U138="","",INDEX('Per Line'!$E$2:$E$501,$U138))</f>
        <v/>
      </c>
      <c r="G138" s="7">
        <f>IF($U138="","",F138*S138/100)</f>
        <v/>
      </c>
      <c r="H138" s="11">
        <f>IF($U138="","",INDEX('Per Line'!$R$2:$R$501,$U138))</f>
        <v/>
      </c>
      <c r="I138">
        <f>IF($U138="","",INDEX('Per Line'!$Q$2:$Q$501,$U138)&amp;"")</f>
        <v/>
      </c>
      <c r="J138">
        <f>IF($U138="","",INDEX('Per Line'!$P$2:$P$501,$U138)&amp;"")</f>
        <v/>
      </c>
      <c r="K138">
        <f>IF($U138="","",Settings!$C$7)</f>
        <v/>
      </c>
      <c r="L138" s="7">
        <f>IF($U138="","",SUMIFS('Per Line'!$M$2:$M$501,'Per Line'!$A$2:$A$501,$B138,'Per Line'!$AA$2:$AA$501,0))</f>
        <v/>
      </c>
      <c r="M138" s="7">
        <f>IF($U138="","",L138*K138)</f>
        <v/>
      </c>
      <c r="N138">
        <f>IF($U138="","",Settings!$C$6)</f>
        <v/>
      </c>
      <c r="O138" s="7">
        <f>IF($U138="","",SUMIFS('Per Line'!$M$2:$M$501,'Per Line'!$A$2:$A$501,$B138,'Per Line'!$AA$2:$AA$501,1))</f>
        <v/>
      </c>
      <c r="P138" s="7">
        <f>IF($U138="","",O138*N138)</f>
        <v/>
      </c>
      <c r="Q138" s="7">
        <f>IF($U138="","",P138+M138)</f>
        <v/>
      </c>
      <c r="R138" s="7">
        <f>IF($U138="","",S138-Q138)</f>
        <v/>
      </c>
      <c r="S138" s="7">
        <f>IF($U138="","",L138+O138)</f>
        <v/>
      </c>
      <c r="T138" s="7">
        <f>IF($U138="","",S138-Q138-G138)</f>
        <v/>
      </c>
      <c r="U138" s="13">
        <f>IF(ROWS($U$2:$U138)&lt;=MAX('Per Line'!$Z$2:$Z$501),MATCH(ROWS($U$2:$U138),'Per Line'!$Z$2:$Z$501,0),"")</f>
        <v/>
      </c>
    </row>
    <row r="139">
      <c r="A139" s="12" t="n"/>
      <c r="B139">
        <f>IF($U139="","",INDEX('Per Line'!$A$2:$A$501,$U139)&amp;"")</f>
        <v/>
      </c>
      <c r="C139">
        <f>IF($U139="","",INDEX('Per Line'!$B$2:$B$501,$U139)&amp;"")</f>
        <v/>
      </c>
      <c r="D139">
        <f>IF($U139="","",INDEX('Per Line'!$C$2:$C$501,$U139)&amp;"")</f>
        <v/>
      </c>
      <c r="E139">
        <f>IF($U139="","",INDEX('Per Line'!$D$2:$D$501,$U139)&amp;"")</f>
        <v/>
      </c>
      <c r="F139">
        <f>IF($U139="","",INDEX('Per Line'!$E$2:$E$501,$U139))</f>
        <v/>
      </c>
      <c r="G139" s="7">
        <f>IF($U139="","",F139*S139/100)</f>
        <v/>
      </c>
      <c r="H139" s="11">
        <f>IF($U139="","",INDEX('Per Line'!$R$2:$R$501,$U139))</f>
        <v/>
      </c>
      <c r="I139">
        <f>IF($U139="","",INDEX('Per Line'!$Q$2:$Q$501,$U139)&amp;"")</f>
        <v/>
      </c>
      <c r="J139">
        <f>IF($U139="","",INDEX('Per Line'!$P$2:$P$501,$U139)&amp;"")</f>
        <v/>
      </c>
      <c r="K139">
        <f>IF($U139="","",Settings!$C$7)</f>
        <v/>
      </c>
      <c r="L139" s="7">
        <f>IF($U139="","",SUMIFS('Per Line'!$M$2:$M$501,'Per Line'!$A$2:$A$501,$B139,'Per Line'!$AA$2:$AA$501,0))</f>
        <v/>
      </c>
      <c r="M139" s="7">
        <f>IF($U139="","",L139*K139)</f>
        <v/>
      </c>
      <c r="N139">
        <f>IF($U139="","",Settings!$C$6)</f>
        <v/>
      </c>
      <c r="O139" s="7">
        <f>IF($U139="","",SUMIFS('Per Line'!$M$2:$M$501,'Per Line'!$A$2:$A$501,$B139,'Per Line'!$AA$2:$AA$501,1))</f>
        <v/>
      </c>
      <c r="P139" s="7">
        <f>IF($U139="","",O139*N139)</f>
        <v/>
      </c>
      <c r="Q139" s="7">
        <f>IF($U139="","",P139+M139)</f>
        <v/>
      </c>
      <c r="R139" s="7">
        <f>IF($U139="","",S139-Q139)</f>
        <v/>
      </c>
      <c r="S139" s="7">
        <f>IF($U139="","",L139+O139)</f>
        <v/>
      </c>
      <c r="T139" s="7">
        <f>IF($U139="","",S139-Q139-G139)</f>
        <v/>
      </c>
      <c r="U139" s="13">
        <f>IF(ROWS($U$2:$U139)&lt;=MAX('Per Line'!$Z$2:$Z$501),MATCH(ROWS($U$2:$U139),'Per Line'!$Z$2:$Z$501,0),"")</f>
        <v/>
      </c>
    </row>
    <row r="140">
      <c r="A140" s="12" t="n"/>
      <c r="B140">
        <f>IF($U140="","",INDEX('Per Line'!$A$2:$A$501,$U140)&amp;"")</f>
        <v/>
      </c>
      <c r="C140">
        <f>IF($U140="","",INDEX('Per Line'!$B$2:$B$501,$U140)&amp;"")</f>
        <v/>
      </c>
      <c r="D140">
        <f>IF($U140="","",INDEX('Per Line'!$C$2:$C$501,$U140)&amp;"")</f>
        <v/>
      </c>
      <c r="E140">
        <f>IF($U140="","",INDEX('Per Line'!$D$2:$D$501,$U140)&amp;"")</f>
        <v/>
      </c>
      <c r="F140">
        <f>IF($U140="","",INDEX('Per Line'!$E$2:$E$501,$U140))</f>
        <v/>
      </c>
      <c r="G140" s="7">
        <f>IF($U140="","",F140*S140/100)</f>
        <v/>
      </c>
      <c r="H140" s="11">
        <f>IF($U140="","",INDEX('Per Line'!$R$2:$R$501,$U140))</f>
        <v/>
      </c>
      <c r="I140">
        <f>IF($U140="","",INDEX('Per Line'!$Q$2:$Q$501,$U140)&amp;"")</f>
        <v/>
      </c>
      <c r="J140">
        <f>IF($U140="","",INDEX('Per Line'!$P$2:$P$501,$U140)&amp;"")</f>
        <v/>
      </c>
      <c r="K140">
        <f>IF($U140="","",Settings!$C$7)</f>
        <v/>
      </c>
      <c r="L140" s="7">
        <f>IF($U140="","",SUMIFS('Per Line'!$M$2:$M$501,'Per Line'!$A$2:$A$501,$B140,'Per Line'!$AA$2:$AA$501,0))</f>
        <v/>
      </c>
      <c r="M140" s="7">
        <f>IF($U140="","",L140*K140)</f>
        <v/>
      </c>
      <c r="N140">
        <f>IF($U140="","",Settings!$C$6)</f>
        <v/>
      </c>
      <c r="O140" s="7">
        <f>IF($U140="","",SUMIFS('Per Line'!$M$2:$M$501,'Per Line'!$A$2:$A$501,$B140,'Per Line'!$AA$2:$AA$501,1))</f>
        <v/>
      </c>
      <c r="P140" s="7">
        <f>IF($U140="","",O140*N140)</f>
        <v/>
      </c>
      <c r="Q140" s="7">
        <f>IF($U140="","",P140+M140)</f>
        <v/>
      </c>
      <c r="R140" s="7">
        <f>IF($U140="","",S140-Q140)</f>
        <v/>
      </c>
      <c r="S140" s="7">
        <f>IF($U140="","",L140+O140)</f>
        <v/>
      </c>
      <c r="T140" s="7">
        <f>IF($U140="","",S140-Q140-G140)</f>
        <v/>
      </c>
      <c r="U140" s="13">
        <f>IF(ROWS($U$2:$U140)&lt;=MAX('Per Line'!$Z$2:$Z$501),MATCH(ROWS($U$2:$U140),'Per Line'!$Z$2:$Z$501,0),"")</f>
        <v/>
      </c>
    </row>
    <row r="141">
      <c r="A141" s="12" t="n"/>
      <c r="B141">
        <f>IF($U141="","",INDEX('Per Line'!$A$2:$A$501,$U141)&amp;"")</f>
        <v/>
      </c>
      <c r="C141">
        <f>IF($U141="","",INDEX('Per Line'!$B$2:$B$501,$U141)&amp;"")</f>
        <v/>
      </c>
      <c r="D141">
        <f>IF($U141="","",INDEX('Per Line'!$C$2:$C$501,$U141)&amp;"")</f>
        <v/>
      </c>
      <c r="E141">
        <f>IF($U141="","",INDEX('Per Line'!$D$2:$D$501,$U141)&amp;"")</f>
        <v/>
      </c>
      <c r="F141">
        <f>IF($U141="","",INDEX('Per Line'!$E$2:$E$501,$U141))</f>
        <v/>
      </c>
      <c r="G141" s="7">
        <f>IF($U141="","",F141*S141/100)</f>
        <v/>
      </c>
      <c r="H141" s="11">
        <f>IF($U141="","",INDEX('Per Line'!$R$2:$R$501,$U141))</f>
        <v/>
      </c>
      <c r="I141">
        <f>IF($U141="","",INDEX('Per Line'!$Q$2:$Q$501,$U141)&amp;"")</f>
        <v/>
      </c>
      <c r="J141">
        <f>IF($U141="","",INDEX('Per Line'!$P$2:$P$501,$U141)&amp;"")</f>
        <v/>
      </c>
      <c r="K141">
        <f>IF($U141="","",Settings!$C$7)</f>
        <v/>
      </c>
      <c r="L141" s="7">
        <f>IF($U141="","",SUMIFS('Per Line'!$M$2:$M$501,'Per Line'!$A$2:$A$501,$B141,'Per Line'!$AA$2:$AA$501,0))</f>
        <v/>
      </c>
      <c r="M141" s="7">
        <f>IF($U141="","",L141*K141)</f>
        <v/>
      </c>
      <c r="N141">
        <f>IF($U141="","",Settings!$C$6)</f>
        <v/>
      </c>
      <c r="O141" s="7">
        <f>IF($U141="","",SUMIFS('Per Line'!$M$2:$M$501,'Per Line'!$A$2:$A$501,$B141,'Per Line'!$AA$2:$AA$501,1))</f>
        <v/>
      </c>
      <c r="P141" s="7">
        <f>IF($U141="","",O141*N141)</f>
        <v/>
      </c>
      <c r="Q141" s="7">
        <f>IF($U141="","",P141+M141)</f>
        <v/>
      </c>
      <c r="R141" s="7">
        <f>IF($U141="","",S141-Q141)</f>
        <v/>
      </c>
      <c r="S141" s="7">
        <f>IF($U141="","",L141+O141)</f>
        <v/>
      </c>
      <c r="T141" s="7">
        <f>IF($U141="","",S141-Q141-G141)</f>
        <v/>
      </c>
      <c r="U141" s="13">
        <f>IF(ROWS($U$2:$U141)&lt;=MAX('Per Line'!$Z$2:$Z$501),MATCH(ROWS($U$2:$U141),'Per Line'!$Z$2:$Z$501,0),"")</f>
        <v/>
      </c>
    </row>
    <row r="142">
      <c r="A142" s="12" t="n"/>
      <c r="B142">
        <f>IF($U142="","",INDEX('Per Line'!$A$2:$A$501,$U142)&amp;"")</f>
        <v/>
      </c>
      <c r="C142">
        <f>IF($U142="","",INDEX('Per Line'!$B$2:$B$501,$U142)&amp;"")</f>
        <v/>
      </c>
      <c r="D142">
        <f>IF($U142="","",INDEX('Per Line'!$C$2:$C$501,$U142)&amp;"")</f>
        <v/>
      </c>
      <c r="E142">
        <f>IF($U142="","",INDEX('Per Line'!$D$2:$D$501,$U142)&amp;"")</f>
        <v/>
      </c>
      <c r="F142">
        <f>IF($U142="","",INDEX('Per Line'!$E$2:$E$501,$U142))</f>
        <v/>
      </c>
      <c r="G142" s="7">
        <f>IF($U142="","",F142*S142/100)</f>
        <v/>
      </c>
      <c r="H142" s="11">
        <f>IF($U142="","",INDEX('Per Line'!$R$2:$R$501,$U142))</f>
        <v/>
      </c>
      <c r="I142">
        <f>IF($U142="","",INDEX('Per Line'!$Q$2:$Q$501,$U142)&amp;"")</f>
        <v/>
      </c>
      <c r="J142">
        <f>IF($U142="","",INDEX('Per Line'!$P$2:$P$501,$U142)&amp;"")</f>
        <v/>
      </c>
      <c r="K142">
        <f>IF($U142="","",Settings!$C$7)</f>
        <v/>
      </c>
      <c r="L142" s="7">
        <f>IF($U142="","",SUMIFS('Per Line'!$M$2:$M$501,'Per Line'!$A$2:$A$501,$B142,'Per Line'!$AA$2:$AA$501,0))</f>
        <v/>
      </c>
      <c r="M142" s="7">
        <f>IF($U142="","",L142*K142)</f>
        <v/>
      </c>
      <c r="N142">
        <f>IF($U142="","",Settings!$C$6)</f>
        <v/>
      </c>
      <c r="O142" s="7">
        <f>IF($U142="","",SUMIFS('Per Line'!$M$2:$M$501,'Per Line'!$A$2:$A$501,$B142,'Per Line'!$AA$2:$AA$501,1))</f>
        <v/>
      </c>
      <c r="P142" s="7">
        <f>IF($U142="","",O142*N142)</f>
        <v/>
      </c>
      <c r="Q142" s="7">
        <f>IF($U142="","",P142+M142)</f>
        <v/>
      </c>
      <c r="R142" s="7">
        <f>IF($U142="","",S142-Q142)</f>
        <v/>
      </c>
      <c r="S142" s="7">
        <f>IF($U142="","",L142+O142)</f>
        <v/>
      </c>
      <c r="T142" s="7">
        <f>IF($U142="","",S142-Q142-G142)</f>
        <v/>
      </c>
      <c r="U142" s="13">
        <f>IF(ROWS($U$2:$U142)&lt;=MAX('Per Line'!$Z$2:$Z$501),MATCH(ROWS($U$2:$U142),'Per Line'!$Z$2:$Z$501,0),"")</f>
        <v/>
      </c>
    </row>
    <row r="143">
      <c r="A143" s="12" t="n"/>
      <c r="B143">
        <f>IF($U143="","",INDEX('Per Line'!$A$2:$A$501,$U143)&amp;"")</f>
        <v/>
      </c>
      <c r="C143">
        <f>IF($U143="","",INDEX('Per Line'!$B$2:$B$501,$U143)&amp;"")</f>
        <v/>
      </c>
      <c r="D143">
        <f>IF($U143="","",INDEX('Per Line'!$C$2:$C$501,$U143)&amp;"")</f>
        <v/>
      </c>
      <c r="E143">
        <f>IF($U143="","",INDEX('Per Line'!$D$2:$D$501,$U143)&amp;"")</f>
        <v/>
      </c>
      <c r="F143">
        <f>IF($U143="","",INDEX('Per Line'!$E$2:$E$501,$U143))</f>
        <v/>
      </c>
      <c r="G143" s="7">
        <f>IF($U143="","",F143*S143/100)</f>
        <v/>
      </c>
      <c r="H143" s="11">
        <f>IF($U143="","",INDEX('Per Line'!$R$2:$R$501,$U143))</f>
        <v/>
      </c>
      <c r="I143">
        <f>IF($U143="","",INDEX('Per Line'!$Q$2:$Q$501,$U143)&amp;"")</f>
        <v/>
      </c>
      <c r="J143">
        <f>IF($U143="","",INDEX('Per Line'!$P$2:$P$501,$U143)&amp;"")</f>
        <v/>
      </c>
      <c r="K143">
        <f>IF($U143="","",Settings!$C$7)</f>
        <v/>
      </c>
      <c r="L143" s="7">
        <f>IF($U143="","",SUMIFS('Per Line'!$M$2:$M$501,'Per Line'!$A$2:$A$501,$B143,'Per Line'!$AA$2:$AA$501,0))</f>
        <v/>
      </c>
      <c r="M143" s="7">
        <f>IF($U143="","",L143*K143)</f>
        <v/>
      </c>
      <c r="N143">
        <f>IF($U143="","",Settings!$C$6)</f>
        <v/>
      </c>
      <c r="O143" s="7">
        <f>IF($U143="","",SUMIFS('Per Line'!$M$2:$M$501,'Per Line'!$A$2:$A$501,$B143,'Per Line'!$AA$2:$AA$501,1))</f>
        <v/>
      </c>
      <c r="P143" s="7">
        <f>IF($U143="","",O143*N143)</f>
        <v/>
      </c>
      <c r="Q143" s="7">
        <f>IF($U143="","",P143+M143)</f>
        <v/>
      </c>
      <c r="R143" s="7">
        <f>IF($U143="","",S143-Q143)</f>
        <v/>
      </c>
      <c r="S143" s="7">
        <f>IF($U143="","",L143+O143)</f>
        <v/>
      </c>
      <c r="T143" s="7">
        <f>IF($U143="","",S143-Q143-G143)</f>
        <v/>
      </c>
      <c r="U143" s="13">
        <f>IF(ROWS($U$2:$U143)&lt;=MAX('Per Line'!$Z$2:$Z$501),MATCH(ROWS($U$2:$U143),'Per Line'!$Z$2:$Z$501,0),"")</f>
        <v/>
      </c>
    </row>
    <row r="144">
      <c r="A144" s="12" t="n"/>
      <c r="B144">
        <f>IF($U144="","",INDEX('Per Line'!$A$2:$A$501,$U144)&amp;"")</f>
        <v/>
      </c>
      <c r="C144">
        <f>IF($U144="","",INDEX('Per Line'!$B$2:$B$501,$U144)&amp;"")</f>
        <v/>
      </c>
      <c r="D144">
        <f>IF($U144="","",INDEX('Per Line'!$C$2:$C$501,$U144)&amp;"")</f>
        <v/>
      </c>
      <c r="E144">
        <f>IF($U144="","",INDEX('Per Line'!$D$2:$D$501,$U144)&amp;"")</f>
        <v/>
      </c>
      <c r="F144">
        <f>IF($U144="","",INDEX('Per Line'!$E$2:$E$501,$U144))</f>
        <v/>
      </c>
      <c r="G144" s="7">
        <f>IF($U144="","",F144*S144/100)</f>
        <v/>
      </c>
      <c r="H144" s="11">
        <f>IF($U144="","",INDEX('Per Line'!$R$2:$R$501,$U144))</f>
        <v/>
      </c>
      <c r="I144">
        <f>IF($U144="","",INDEX('Per Line'!$Q$2:$Q$501,$U144)&amp;"")</f>
        <v/>
      </c>
      <c r="J144">
        <f>IF($U144="","",INDEX('Per Line'!$P$2:$P$501,$U144)&amp;"")</f>
        <v/>
      </c>
      <c r="K144">
        <f>IF($U144="","",Settings!$C$7)</f>
        <v/>
      </c>
      <c r="L144" s="7">
        <f>IF($U144="","",SUMIFS('Per Line'!$M$2:$M$501,'Per Line'!$A$2:$A$501,$B144,'Per Line'!$AA$2:$AA$501,0))</f>
        <v/>
      </c>
      <c r="M144" s="7">
        <f>IF($U144="","",L144*K144)</f>
        <v/>
      </c>
      <c r="N144">
        <f>IF($U144="","",Settings!$C$6)</f>
        <v/>
      </c>
      <c r="O144" s="7">
        <f>IF($U144="","",SUMIFS('Per Line'!$M$2:$M$501,'Per Line'!$A$2:$A$501,$B144,'Per Line'!$AA$2:$AA$501,1))</f>
        <v/>
      </c>
      <c r="P144" s="7">
        <f>IF($U144="","",O144*N144)</f>
        <v/>
      </c>
      <c r="Q144" s="7">
        <f>IF($U144="","",P144+M144)</f>
        <v/>
      </c>
      <c r="R144" s="7">
        <f>IF($U144="","",S144-Q144)</f>
        <v/>
      </c>
      <c r="S144" s="7">
        <f>IF($U144="","",L144+O144)</f>
        <v/>
      </c>
      <c r="T144" s="7">
        <f>IF($U144="","",S144-Q144-G144)</f>
        <v/>
      </c>
      <c r="U144" s="13">
        <f>IF(ROWS($U$2:$U144)&lt;=MAX('Per Line'!$Z$2:$Z$501),MATCH(ROWS($U$2:$U144),'Per Line'!$Z$2:$Z$501,0),"")</f>
        <v/>
      </c>
    </row>
    <row r="145">
      <c r="A145" s="12" t="n"/>
      <c r="B145">
        <f>IF($U145="","",INDEX('Per Line'!$A$2:$A$501,$U145)&amp;"")</f>
        <v/>
      </c>
      <c r="C145">
        <f>IF($U145="","",INDEX('Per Line'!$B$2:$B$501,$U145)&amp;"")</f>
        <v/>
      </c>
      <c r="D145">
        <f>IF($U145="","",INDEX('Per Line'!$C$2:$C$501,$U145)&amp;"")</f>
        <v/>
      </c>
      <c r="E145">
        <f>IF($U145="","",INDEX('Per Line'!$D$2:$D$501,$U145)&amp;"")</f>
        <v/>
      </c>
      <c r="F145">
        <f>IF($U145="","",INDEX('Per Line'!$E$2:$E$501,$U145))</f>
        <v/>
      </c>
      <c r="G145" s="7">
        <f>IF($U145="","",F145*S145/100)</f>
        <v/>
      </c>
      <c r="H145" s="11">
        <f>IF($U145="","",INDEX('Per Line'!$R$2:$R$501,$U145))</f>
        <v/>
      </c>
      <c r="I145">
        <f>IF($U145="","",INDEX('Per Line'!$Q$2:$Q$501,$U145)&amp;"")</f>
        <v/>
      </c>
      <c r="J145">
        <f>IF($U145="","",INDEX('Per Line'!$P$2:$P$501,$U145)&amp;"")</f>
        <v/>
      </c>
      <c r="K145">
        <f>IF($U145="","",Settings!$C$7)</f>
        <v/>
      </c>
      <c r="L145" s="7">
        <f>IF($U145="","",SUMIFS('Per Line'!$M$2:$M$501,'Per Line'!$A$2:$A$501,$B145,'Per Line'!$AA$2:$AA$501,0))</f>
        <v/>
      </c>
      <c r="M145" s="7">
        <f>IF($U145="","",L145*K145)</f>
        <v/>
      </c>
      <c r="N145">
        <f>IF($U145="","",Settings!$C$6)</f>
        <v/>
      </c>
      <c r="O145" s="7">
        <f>IF($U145="","",SUMIFS('Per Line'!$M$2:$M$501,'Per Line'!$A$2:$A$501,$B145,'Per Line'!$AA$2:$AA$501,1))</f>
        <v/>
      </c>
      <c r="P145" s="7">
        <f>IF($U145="","",O145*N145)</f>
        <v/>
      </c>
      <c r="Q145" s="7">
        <f>IF($U145="","",P145+M145)</f>
        <v/>
      </c>
      <c r="R145" s="7">
        <f>IF($U145="","",S145-Q145)</f>
        <v/>
      </c>
      <c r="S145" s="7">
        <f>IF($U145="","",L145+O145)</f>
        <v/>
      </c>
      <c r="T145" s="7">
        <f>IF($U145="","",S145-Q145-G145)</f>
        <v/>
      </c>
      <c r="U145" s="13">
        <f>IF(ROWS($U$2:$U145)&lt;=MAX('Per Line'!$Z$2:$Z$501),MATCH(ROWS($U$2:$U145),'Per Line'!$Z$2:$Z$501,0),"")</f>
        <v/>
      </c>
    </row>
    <row r="146">
      <c r="A146" s="12" t="n"/>
      <c r="B146">
        <f>IF($U146="","",INDEX('Per Line'!$A$2:$A$501,$U146)&amp;"")</f>
        <v/>
      </c>
      <c r="C146">
        <f>IF($U146="","",INDEX('Per Line'!$B$2:$B$501,$U146)&amp;"")</f>
        <v/>
      </c>
      <c r="D146">
        <f>IF($U146="","",INDEX('Per Line'!$C$2:$C$501,$U146)&amp;"")</f>
        <v/>
      </c>
      <c r="E146">
        <f>IF($U146="","",INDEX('Per Line'!$D$2:$D$501,$U146)&amp;"")</f>
        <v/>
      </c>
      <c r="F146">
        <f>IF($U146="","",INDEX('Per Line'!$E$2:$E$501,$U146))</f>
        <v/>
      </c>
      <c r="G146" s="7">
        <f>IF($U146="","",F146*S146/100)</f>
        <v/>
      </c>
      <c r="H146" s="11">
        <f>IF($U146="","",INDEX('Per Line'!$R$2:$R$501,$U146))</f>
        <v/>
      </c>
      <c r="I146">
        <f>IF($U146="","",INDEX('Per Line'!$Q$2:$Q$501,$U146)&amp;"")</f>
        <v/>
      </c>
      <c r="J146">
        <f>IF($U146="","",INDEX('Per Line'!$P$2:$P$501,$U146)&amp;"")</f>
        <v/>
      </c>
      <c r="K146">
        <f>IF($U146="","",Settings!$C$7)</f>
        <v/>
      </c>
      <c r="L146" s="7">
        <f>IF($U146="","",SUMIFS('Per Line'!$M$2:$M$501,'Per Line'!$A$2:$A$501,$B146,'Per Line'!$AA$2:$AA$501,0))</f>
        <v/>
      </c>
      <c r="M146" s="7">
        <f>IF($U146="","",L146*K146)</f>
        <v/>
      </c>
      <c r="N146">
        <f>IF($U146="","",Settings!$C$6)</f>
        <v/>
      </c>
      <c r="O146" s="7">
        <f>IF($U146="","",SUMIFS('Per Line'!$M$2:$M$501,'Per Line'!$A$2:$A$501,$B146,'Per Line'!$AA$2:$AA$501,1))</f>
        <v/>
      </c>
      <c r="P146" s="7">
        <f>IF($U146="","",O146*N146)</f>
        <v/>
      </c>
      <c r="Q146" s="7">
        <f>IF($U146="","",P146+M146)</f>
        <v/>
      </c>
      <c r="R146" s="7">
        <f>IF($U146="","",S146-Q146)</f>
        <v/>
      </c>
      <c r="S146" s="7">
        <f>IF($U146="","",L146+O146)</f>
        <v/>
      </c>
      <c r="T146" s="7">
        <f>IF($U146="","",S146-Q146-G146)</f>
        <v/>
      </c>
      <c r="U146" s="13">
        <f>IF(ROWS($U$2:$U146)&lt;=MAX('Per Line'!$Z$2:$Z$501),MATCH(ROWS($U$2:$U146),'Per Line'!$Z$2:$Z$501,0),"")</f>
        <v/>
      </c>
    </row>
    <row r="147">
      <c r="A147" s="12" t="n"/>
      <c r="B147">
        <f>IF($U147="","",INDEX('Per Line'!$A$2:$A$501,$U147)&amp;"")</f>
        <v/>
      </c>
      <c r="C147">
        <f>IF($U147="","",INDEX('Per Line'!$B$2:$B$501,$U147)&amp;"")</f>
        <v/>
      </c>
      <c r="D147">
        <f>IF($U147="","",INDEX('Per Line'!$C$2:$C$501,$U147)&amp;"")</f>
        <v/>
      </c>
      <c r="E147">
        <f>IF($U147="","",INDEX('Per Line'!$D$2:$D$501,$U147)&amp;"")</f>
        <v/>
      </c>
      <c r="F147">
        <f>IF($U147="","",INDEX('Per Line'!$E$2:$E$501,$U147))</f>
        <v/>
      </c>
      <c r="G147" s="7">
        <f>IF($U147="","",F147*S147/100)</f>
        <v/>
      </c>
      <c r="H147" s="11">
        <f>IF($U147="","",INDEX('Per Line'!$R$2:$R$501,$U147))</f>
        <v/>
      </c>
      <c r="I147">
        <f>IF($U147="","",INDEX('Per Line'!$Q$2:$Q$501,$U147)&amp;"")</f>
        <v/>
      </c>
      <c r="J147">
        <f>IF($U147="","",INDEX('Per Line'!$P$2:$P$501,$U147)&amp;"")</f>
        <v/>
      </c>
      <c r="K147">
        <f>IF($U147="","",Settings!$C$7)</f>
        <v/>
      </c>
      <c r="L147" s="7">
        <f>IF($U147="","",SUMIFS('Per Line'!$M$2:$M$501,'Per Line'!$A$2:$A$501,$B147,'Per Line'!$AA$2:$AA$501,0))</f>
        <v/>
      </c>
      <c r="M147" s="7">
        <f>IF($U147="","",L147*K147)</f>
        <v/>
      </c>
      <c r="N147">
        <f>IF($U147="","",Settings!$C$6)</f>
        <v/>
      </c>
      <c r="O147" s="7">
        <f>IF($U147="","",SUMIFS('Per Line'!$M$2:$M$501,'Per Line'!$A$2:$A$501,$B147,'Per Line'!$AA$2:$AA$501,1))</f>
        <v/>
      </c>
      <c r="P147" s="7">
        <f>IF($U147="","",O147*N147)</f>
        <v/>
      </c>
      <c r="Q147" s="7">
        <f>IF($U147="","",P147+M147)</f>
        <v/>
      </c>
      <c r="R147" s="7">
        <f>IF($U147="","",S147-Q147)</f>
        <v/>
      </c>
      <c r="S147" s="7">
        <f>IF($U147="","",L147+O147)</f>
        <v/>
      </c>
      <c r="T147" s="7">
        <f>IF($U147="","",S147-Q147-G147)</f>
        <v/>
      </c>
      <c r="U147" s="13">
        <f>IF(ROWS($U$2:$U147)&lt;=MAX('Per Line'!$Z$2:$Z$501),MATCH(ROWS($U$2:$U147),'Per Line'!$Z$2:$Z$501,0),"")</f>
        <v/>
      </c>
    </row>
    <row r="148">
      <c r="A148" s="12" t="n"/>
      <c r="B148">
        <f>IF($U148="","",INDEX('Per Line'!$A$2:$A$501,$U148)&amp;"")</f>
        <v/>
      </c>
      <c r="C148">
        <f>IF($U148="","",INDEX('Per Line'!$B$2:$B$501,$U148)&amp;"")</f>
        <v/>
      </c>
      <c r="D148">
        <f>IF($U148="","",INDEX('Per Line'!$C$2:$C$501,$U148)&amp;"")</f>
        <v/>
      </c>
      <c r="E148">
        <f>IF($U148="","",INDEX('Per Line'!$D$2:$D$501,$U148)&amp;"")</f>
        <v/>
      </c>
      <c r="F148">
        <f>IF($U148="","",INDEX('Per Line'!$E$2:$E$501,$U148))</f>
        <v/>
      </c>
      <c r="G148" s="7">
        <f>IF($U148="","",F148*S148/100)</f>
        <v/>
      </c>
      <c r="H148" s="11">
        <f>IF($U148="","",INDEX('Per Line'!$R$2:$R$501,$U148))</f>
        <v/>
      </c>
      <c r="I148">
        <f>IF($U148="","",INDEX('Per Line'!$Q$2:$Q$501,$U148)&amp;"")</f>
        <v/>
      </c>
      <c r="J148">
        <f>IF($U148="","",INDEX('Per Line'!$P$2:$P$501,$U148)&amp;"")</f>
        <v/>
      </c>
      <c r="K148">
        <f>IF($U148="","",Settings!$C$7)</f>
        <v/>
      </c>
      <c r="L148" s="7">
        <f>IF($U148="","",SUMIFS('Per Line'!$M$2:$M$501,'Per Line'!$A$2:$A$501,$B148,'Per Line'!$AA$2:$AA$501,0))</f>
        <v/>
      </c>
      <c r="M148" s="7">
        <f>IF($U148="","",L148*K148)</f>
        <v/>
      </c>
      <c r="N148">
        <f>IF($U148="","",Settings!$C$6)</f>
        <v/>
      </c>
      <c r="O148" s="7">
        <f>IF($U148="","",SUMIFS('Per Line'!$M$2:$M$501,'Per Line'!$A$2:$A$501,$B148,'Per Line'!$AA$2:$AA$501,1))</f>
        <v/>
      </c>
      <c r="P148" s="7">
        <f>IF($U148="","",O148*N148)</f>
        <v/>
      </c>
      <c r="Q148" s="7">
        <f>IF($U148="","",P148+M148)</f>
        <v/>
      </c>
      <c r="R148" s="7">
        <f>IF($U148="","",S148-Q148)</f>
        <v/>
      </c>
      <c r="S148" s="7">
        <f>IF($U148="","",L148+O148)</f>
        <v/>
      </c>
      <c r="T148" s="7">
        <f>IF($U148="","",S148-Q148-G148)</f>
        <v/>
      </c>
      <c r="U148" s="13">
        <f>IF(ROWS($U$2:$U148)&lt;=MAX('Per Line'!$Z$2:$Z$501),MATCH(ROWS($U$2:$U148),'Per Line'!$Z$2:$Z$501,0),"")</f>
        <v/>
      </c>
    </row>
    <row r="149">
      <c r="A149" s="12" t="n"/>
      <c r="B149">
        <f>IF($U149="","",INDEX('Per Line'!$A$2:$A$501,$U149)&amp;"")</f>
        <v/>
      </c>
      <c r="C149">
        <f>IF($U149="","",INDEX('Per Line'!$B$2:$B$501,$U149)&amp;"")</f>
        <v/>
      </c>
      <c r="D149">
        <f>IF($U149="","",INDEX('Per Line'!$C$2:$C$501,$U149)&amp;"")</f>
        <v/>
      </c>
      <c r="E149">
        <f>IF($U149="","",INDEX('Per Line'!$D$2:$D$501,$U149)&amp;"")</f>
        <v/>
      </c>
      <c r="F149">
        <f>IF($U149="","",INDEX('Per Line'!$E$2:$E$501,$U149))</f>
        <v/>
      </c>
      <c r="G149" s="7">
        <f>IF($U149="","",F149*S149/100)</f>
        <v/>
      </c>
      <c r="H149" s="11">
        <f>IF($U149="","",INDEX('Per Line'!$R$2:$R$501,$U149))</f>
        <v/>
      </c>
      <c r="I149">
        <f>IF($U149="","",INDEX('Per Line'!$Q$2:$Q$501,$U149)&amp;"")</f>
        <v/>
      </c>
      <c r="J149">
        <f>IF($U149="","",INDEX('Per Line'!$P$2:$P$501,$U149)&amp;"")</f>
        <v/>
      </c>
      <c r="K149">
        <f>IF($U149="","",Settings!$C$7)</f>
        <v/>
      </c>
      <c r="L149" s="7">
        <f>IF($U149="","",SUMIFS('Per Line'!$M$2:$M$501,'Per Line'!$A$2:$A$501,$B149,'Per Line'!$AA$2:$AA$501,0))</f>
        <v/>
      </c>
      <c r="M149" s="7">
        <f>IF($U149="","",L149*K149)</f>
        <v/>
      </c>
      <c r="N149">
        <f>IF($U149="","",Settings!$C$6)</f>
        <v/>
      </c>
      <c r="O149" s="7">
        <f>IF($U149="","",SUMIFS('Per Line'!$M$2:$M$501,'Per Line'!$A$2:$A$501,$B149,'Per Line'!$AA$2:$AA$501,1))</f>
        <v/>
      </c>
      <c r="P149" s="7">
        <f>IF($U149="","",O149*N149)</f>
        <v/>
      </c>
      <c r="Q149" s="7">
        <f>IF($U149="","",P149+M149)</f>
        <v/>
      </c>
      <c r="R149" s="7">
        <f>IF($U149="","",S149-Q149)</f>
        <v/>
      </c>
      <c r="S149" s="7">
        <f>IF($U149="","",L149+O149)</f>
        <v/>
      </c>
      <c r="T149" s="7">
        <f>IF($U149="","",S149-Q149-G149)</f>
        <v/>
      </c>
      <c r="U149" s="13">
        <f>IF(ROWS($U$2:$U149)&lt;=MAX('Per Line'!$Z$2:$Z$501),MATCH(ROWS($U$2:$U149),'Per Line'!$Z$2:$Z$501,0),"")</f>
        <v/>
      </c>
    </row>
    <row r="150">
      <c r="A150" s="12" t="n"/>
      <c r="B150">
        <f>IF($U150="","",INDEX('Per Line'!$A$2:$A$501,$U150)&amp;"")</f>
        <v/>
      </c>
      <c r="C150">
        <f>IF($U150="","",INDEX('Per Line'!$B$2:$B$501,$U150)&amp;"")</f>
        <v/>
      </c>
      <c r="D150">
        <f>IF($U150="","",INDEX('Per Line'!$C$2:$C$501,$U150)&amp;"")</f>
        <v/>
      </c>
      <c r="E150">
        <f>IF($U150="","",INDEX('Per Line'!$D$2:$D$501,$U150)&amp;"")</f>
        <v/>
      </c>
      <c r="F150">
        <f>IF($U150="","",INDEX('Per Line'!$E$2:$E$501,$U150))</f>
        <v/>
      </c>
      <c r="G150" s="7">
        <f>IF($U150="","",F150*S150/100)</f>
        <v/>
      </c>
      <c r="H150" s="11">
        <f>IF($U150="","",INDEX('Per Line'!$R$2:$R$501,$U150))</f>
        <v/>
      </c>
      <c r="I150">
        <f>IF($U150="","",INDEX('Per Line'!$Q$2:$Q$501,$U150)&amp;"")</f>
        <v/>
      </c>
      <c r="J150">
        <f>IF($U150="","",INDEX('Per Line'!$P$2:$P$501,$U150)&amp;"")</f>
        <v/>
      </c>
      <c r="K150">
        <f>IF($U150="","",Settings!$C$7)</f>
        <v/>
      </c>
      <c r="L150" s="7">
        <f>IF($U150="","",SUMIFS('Per Line'!$M$2:$M$501,'Per Line'!$A$2:$A$501,$B150,'Per Line'!$AA$2:$AA$501,0))</f>
        <v/>
      </c>
      <c r="M150" s="7">
        <f>IF($U150="","",L150*K150)</f>
        <v/>
      </c>
      <c r="N150">
        <f>IF($U150="","",Settings!$C$6)</f>
        <v/>
      </c>
      <c r="O150" s="7">
        <f>IF($U150="","",SUMIFS('Per Line'!$M$2:$M$501,'Per Line'!$A$2:$A$501,$B150,'Per Line'!$AA$2:$AA$501,1))</f>
        <v/>
      </c>
      <c r="P150" s="7">
        <f>IF($U150="","",O150*N150)</f>
        <v/>
      </c>
      <c r="Q150" s="7">
        <f>IF($U150="","",P150+M150)</f>
        <v/>
      </c>
      <c r="R150" s="7">
        <f>IF($U150="","",S150-Q150)</f>
        <v/>
      </c>
      <c r="S150" s="7">
        <f>IF($U150="","",L150+O150)</f>
        <v/>
      </c>
      <c r="T150" s="7">
        <f>IF($U150="","",S150-Q150-G150)</f>
        <v/>
      </c>
      <c r="U150" s="13">
        <f>IF(ROWS($U$2:$U150)&lt;=MAX('Per Line'!$Z$2:$Z$501),MATCH(ROWS($U$2:$U150),'Per Line'!$Z$2:$Z$501,0),"")</f>
        <v/>
      </c>
    </row>
    <row r="151">
      <c r="A151" s="12" t="n"/>
      <c r="B151">
        <f>IF($U151="","",INDEX('Per Line'!$A$2:$A$501,$U151)&amp;"")</f>
        <v/>
      </c>
      <c r="C151">
        <f>IF($U151="","",INDEX('Per Line'!$B$2:$B$501,$U151)&amp;"")</f>
        <v/>
      </c>
      <c r="D151">
        <f>IF($U151="","",INDEX('Per Line'!$C$2:$C$501,$U151)&amp;"")</f>
        <v/>
      </c>
      <c r="E151">
        <f>IF($U151="","",INDEX('Per Line'!$D$2:$D$501,$U151)&amp;"")</f>
        <v/>
      </c>
      <c r="F151">
        <f>IF($U151="","",INDEX('Per Line'!$E$2:$E$501,$U151))</f>
        <v/>
      </c>
      <c r="G151" s="7">
        <f>IF($U151="","",F151*S151/100)</f>
        <v/>
      </c>
      <c r="H151" s="11">
        <f>IF($U151="","",INDEX('Per Line'!$R$2:$R$501,$U151))</f>
        <v/>
      </c>
      <c r="I151">
        <f>IF($U151="","",INDEX('Per Line'!$Q$2:$Q$501,$U151)&amp;"")</f>
        <v/>
      </c>
      <c r="J151">
        <f>IF($U151="","",INDEX('Per Line'!$P$2:$P$501,$U151)&amp;"")</f>
        <v/>
      </c>
      <c r="K151">
        <f>IF($U151="","",Settings!$C$7)</f>
        <v/>
      </c>
      <c r="L151" s="7">
        <f>IF($U151="","",SUMIFS('Per Line'!$M$2:$M$501,'Per Line'!$A$2:$A$501,$B151,'Per Line'!$AA$2:$AA$501,0))</f>
        <v/>
      </c>
      <c r="M151" s="7">
        <f>IF($U151="","",L151*K151)</f>
        <v/>
      </c>
      <c r="N151">
        <f>IF($U151="","",Settings!$C$6)</f>
        <v/>
      </c>
      <c r="O151" s="7">
        <f>IF($U151="","",SUMIFS('Per Line'!$M$2:$M$501,'Per Line'!$A$2:$A$501,$B151,'Per Line'!$AA$2:$AA$501,1))</f>
        <v/>
      </c>
      <c r="P151" s="7">
        <f>IF($U151="","",O151*N151)</f>
        <v/>
      </c>
      <c r="Q151" s="7">
        <f>IF($U151="","",P151+M151)</f>
        <v/>
      </c>
      <c r="R151" s="7">
        <f>IF($U151="","",S151-Q151)</f>
        <v/>
      </c>
      <c r="S151" s="7">
        <f>IF($U151="","",L151+O151)</f>
        <v/>
      </c>
      <c r="T151" s="7">
        <f>IF($U151="","",S151-Q151-G151)</f>
        <v/>
      </c>
      <c r="U151" s="13">
        <f>IF(ROWS($U$2:$U151)&lt;=MAX('Per Line'!$Z$2:$Z$501),MATCH(ROWS($U$2:$U151),'Per Line'!$Z$2:$Z$501,0),"")</f>
        <v/>
      </c>
    </row>
    <row r="152">
      <c r="A152" s="12" t="n"/>
      <c r="B152">
        <f>IF($U152="","",INDEX('Per Line'!$A$2:$A$501,$U152)&amp;"")</f>
        <v/>
      </c>
      <c r="C152">
        <f>IF($U152="","",INDEX('Per Line'!$B$2:$B$501,$U152)&amp;"")</f>
        <v/>
      </c>
      <c r="D152">
        <f>IF($U152="","",INDEX('Per Line'!$C$2:$C$501,$U152)&amp;"")</f>
        <v/>
      </c>
      <c r="E152">
        <f>IF($U152="","",INDEX('Per Line'!$D$2:$D$501,$U152)&amp;"")</f>
        <v/>
      </c>
      <c r="F152">
        <f>IF($U152="","",INDEX('Per Line'!$E$2:$E$501,$U152))</f>
        <v/>
      </c>
      <c r="G152" s="7">
        <f>IF($U152="","",F152*S152/100)</f>
        <v/>
      </c>
      <c r="H152" s="11">
        <f>IF($U152="","",INDEX('Per Line'!$R$2:$R$501,$U152))</f>
        <v/>
      </c>
      <c r="I152">
        <f>IF($U152="","",INDEX('Per Line'!$Q$2:$Q$501,$U152)&amp;"")</f>
        <v/>
      </c>
      <c r="J152">
        <f>IF($U152="","",INDEX('Per Line'!$P$2:$P$501,$U152)&amp;"")</f>
        <v/>
      </c>
      <c r="K152">
        <f>IF($U152="","",Settings!$C$7)</f>
        <v/>
      </c>
      <c r="L152" s="7">
        <f>IF($U152="","",SUMIFS('Per Line'!$M$2:$M$501,'Per Line'!$A$2:$A$501,$B152,'Per Line'!$AA$2:$AA$501,0))</f>
        <v/>
      </c>
      <c r="M152" s="7">
        <f>IF($U152="","",L152*K152)</f>
        <v/>
      </c>
      <c r="N152">
        <f>IF($U152="","",Settings!$C$6)</f>
        <v/>
      </c>
      <c r="O152" s="7">
        <f>IF($U152="","",SUMIFS('Per Line'!$M$2:$M$501,'Per Line'!$A$2:$A$501,$B152,'Per Line'!$AA$2:$AA$501,1))</f>
        <v/>
      </c>
      <c r="P152" s="7">
        <f>IF($U152="","",O152*N152)</f>
        <v/>
      </c>
      <c r="Q152" s="7">
        <f>IF($U152="","",P152+M152)</f>
        <v/>
      </c>
      <c r="R152" s="7">
        <f>IF($U152="","",S152-Q152)</f>
        <v/>
      </c>
      <c r="S152" s="7">
        <f>IF($U152="","",L152+O152)</f>
        <v/>
      </c>
      <c r="T152" s="7">
        <f>IF($U152="","",S152-Q152-G152)</f>
        <v/>
      </c>
      <c r="U152" s="13">
        <f>IF(ROWS($U$2:$U152)&lt;=MAX('Per Line'!$Z$2:$Z$501),MATCH(ROWS($U$2:$U152),'Per Line'!$Z$2:$Z$501,0),"")</f>
        <v/>
      </c>
    </row>
    <row r="153">
      <c r="A153" s="12" t="n"/>
      <c r="B153">
        <f>IF($U153="","",INDEX('Per Line'!$A$2:$A$501,$U153)&amp;"")</f>
        <v/>
      </c>
      <c r="C153">
        <f>IF($U153="","",INDEX('Per Line'!$B$2:$B$501,$U153)&amp;"")</f>
        <v/>
      </c>
      <c r="D153">
        <f>IF($U153="","",INDEX('Per Line'!$C$2:$C$501,$U153)&amp;"")</f>
        <v/>
      </c>
      <c r="E153">
        <f>IF($U153="","",INDEX('Per Line'!$D$2:$D$501,$U153)&amp;"")</f>
        <v/>
      </c>
      <c r="F153">
        <f>IF($U153="","",INDEX('Per Line'!$E$2:$E$501,$U153))</f>
        <v/>
      </c>
      <c r="G153" s="7">
        <f>IF($U153="","",F153*S153/100)</f>
        <v/>
      </c>
      <c r="H153" s="11">
        <f>IF($U153="","",INDEX('Per Line'!$R$2:$R$501,$U153))</f>
        <v/>
      </c>
      <c r="I153">
        <f>IF($U153="","",INDEX('Per Line'!$Q$2:$Q$501,$U153)&amp;"")</f>
        <v/>
      </c>
      <c r="J153">
        <f>IF($U153="","",INDEX('Per Line'!$P$2:$P$501,$U153)&amp;"")</f>
        <v/>
      </c>
      <c r="K153">
        <f>IF($U153="","",Settings!$C$7)</f>
        <v/>
      </c>
      <c r="L153" s="7">
        <f>IF($U153="","",SUMIFS('Per Line'!$M$2:$M$501,'Per Line'!$A$2:$A$501,$B153,'Per Line'!$AA$2:$AA$501,0))</f>
        <v/>
      </c>
      <c r="M153" s="7">
        <f>IF($U153="","",L153*K153)</f>
        <v/>
      </c>
      <c r="N153">
        <f>IF($U153="","",Settings!$C$6)</f>
        <v/>
      </c>
      <c r="O153" s="7">
        <f>IF($U153="","",SUMIFS('Per Line'!$M$2:$M$501,'Per Line'!$A$2:$A$501,$B153,'Per Line'!$AA$2:$AA$501,1))</f>
        <v/>
      </c>
      <c r="P153" s="7">
        <f>IF($U153="","",O153*N153)</f>
        <v/>
      </c>
      <c r="Q153" s="7">
        <f>IF($U153="","",P153+M153)</f>
        <v/>
      </c>
      <c r="R153" s="7">
        <f>IF($U153="","",S153-Q153)</f>
        <v/>
      </c>
      <c r="S153" s="7">
        <f>IF($U153="","",L153+O153)</f>
        <v/>
      </c>
      <c r="T153" s="7">
        <f>IF($U153="","",S153-Q153-G153)</f>
        <v/>
      </c>
      <c r="U153" s="13">
        <f>IF(ROWS($U$2:$U153)&lt;=MAX('Per Line'!$Z$2:$Z$501),MATCH(ROWS($U$2:$U153),'Per Line'!$Z$2:$Z$501,0),"")</f>
        <v/>
      </c>
    </row>
    <row r="154">
      <c r="A154" s="12" t="n"/>
      <c r="B154">
        <f>IF($U154="","",INDEX('Per Line'!$A$2:$A$501,$U154)&amp;"")</f>
        <v/>
      </c>
      <c r="C154">
        <f>IF($U154="","",INDEX('Per Line'!$B$2:$B$501,$U154)&amp;"")</f>
        <v/>
      </c>
      <c r="D154">
        <f>IF($U154="","",INDEX('Per Line'!$C$2:$C$501,$U154)&amp;"")</f>
        <v/>
      </c>
      <c r="E154">
        <f>IF($U154="","",INDEX('Per Line'!$D$2:$D$501,$U154)&amp;"")</f>
        <v/>
      </c>
      <c r="F154">
        <f>IF($U154="","",INDEX('Per Line'!$E$2:$E$501,$U154))</f>
        <v/>
      </c>
      <c r="G154" s="7">
        <f>IF($U154="","",F154*S154/100)</f>
        <v/>
      </c>
      <c r="H154" s="11">
        <f>IF($U154="","",INDEX('Per Line'!$R$2:$R$501,$U154))</f>
        <v/>
      </c>
      <c r="I154">
        <f>IF($U154="","",INDEX('Per Line'!$Q$2:$Q$501,$U154)&amp;"")</f>
        <v/>
      </c>
      <c r="J154">
        <f>IF($U154="","",INDEX('Per Line'!$P$2:$P$501,$U154)&amp;"")</f>
        <v/>
      </c>
      <c r="K154">
        <f>IF($U154="","",Settings!$C$7)</f>
        <v/>
      </c>
      <c r="L154" s="7">
        <f>IF($U154="","",SUMIFS('Per Line'!$M$2:$M$501,'Per Line'!$A$2:$A$501,$B154,'Per Line'!$AA$2:$AA$501,0))</f>
        <v/>
      </c>
      <c r="M154" s="7">
        <f>IF($U154="","",L154*K154)</f>
        <v/>
      </c>
      <c r="N154">
        <f>IF($U154="","",Settings!$C$6)</f>
        <v/>
      </c>
      <c r="O154" s="7">
        <f>IF($U154="","",SUMIFS('Per Line'!$M$2:$M$501,'Per Line'!$A$2:$A$501,$B154,'Per Line'!$AA$2:$AA$501,1))</f>
        <v/>
      </c>
      <c r="P154" s="7">
        <f>IF($U154="","",O154*N154)</f>
        <v/>
      </c>
      <c r="Q154" s="7">
        <f>IF($U154="","",P154+M154)</f>
        <v/>
      </c>
      <c r="R154" s="7">
        <f>IF($U154="","",S154-Q154)</f>
        <v/>
      </c>
      <c r="S154" s="7">
        <f>IF($U154="","",L154+O154)</f>
        <v/>
      </c>
      <c r="T154" s="7">
        <f>IF($U154="","",S154-Q154-G154)</f>
        <v/>
      </c>
      <c r="U154" s="13">
        <f>IF(ROWS($U$2:$U154)&lt;=MAX('Per Line'!$Z$2:$Z$501),MATCH(ROWS($U$2:$U154),'Per Line'!$Z$2:$Z$501,0),"")</f>
        <v/>
      </c>
    </row>
    <row r="155">
      <c r="A155" s="12" t="n"/>
      <c r="B155">
        <f>IF($U155="","",INDEX('Per Line'!$A$2:$A$501,$U155)&amp;"")</f>
        <v/>
      </c>
      <c r="C155">
        <f>IF($U155="","",INDEX('Per Line'!$B$2:$B$501,$U155)&amp;"")</f>
        <v/>
      </c>
      <c r="D155">
        <f>IF($U155="","",INDEX('Per Line'!$C$2:$C$501,$U155)&amp;"")</f>
        <v/>
      </c>
      <c r="E155">
        <f>IF($U155="","",INDEX('Per Line'!$D$2:$D$501,$U155)&amp;"")</f>
        <v/>
      </c>
      <c r="F155">
        <f>IF($U155="","",INDEX('Per Line'!$E$2:$E$501,$U155))</f>
        <v/>
      </c>
      <c r="G155" s="7">
        <f>IF($U155="","",F155*S155/100)</f>
        <v/>
      </c>
      <c r="H155" s="11">
        <f>IF($U155="","",INDEX('Per Line'!$R$2:$R$501,$U155))</f>
        <v/>
      </c>
      <c r="I155">
        <f>IF($U155="","",INDEX('Per Line'!$Q$2:$Q$501,$U155)&amp;"")</f>
        <v/>
      </c>
      <c r="J155">
        <f>IF($U155="","",INDEX('Per Line'!$P$2:$P$501,$U155)&amp;"")</f>
        <v/>
      </c>
      <c r="K155">
        <f>IF($U155="","",Settings!$C$7)</f>
        <v/>
      </c>
      <c r="L155" s="7">
        <f>IF($U155="","",SUMIFS('Per Line'!$M$2:$M$501,'Per Line'!$A$2:$A$501,$B155,'Per Line'!$AA$2:$AA$501,0))</f>
        <v/>
      </c>
      <c r="M155" s="7">
        <f>IF($U155="","",L155*K155)</f>
        <v/>
      </c>
      <c r="N155">
        <f>IF($U155="","",Settings!$C$6)</f>
        <v/>
      </c>
      <c r="O155" s="7">
        <f>IF($U155="","",SUMIFS('Per Line'!$M$2:$M$501,'Per Line'!$A$2:$A$501,$B155,'Per Line'!$AA$2:$AA$501,1))</f>
        <v/>
      </c>
      <c r="P155" s="7">
        <f>IF($U155="","",O155*N155)</f>
        <v/>
      </c>
      <c r="Q155" s="7">
        <f>IF($U155="","",P155+M155)</f>
        <v/>
      </c>
      <c r="R155" s="7">
        <f>IF($U155="","",S155-Q155)</f>
        <v/>
      </c>
      <c r="S155" s="7">
        <f>IF($U155="","",L155+O155)</f>
        <v/>
      </c>
      <c r="T155" s="7">
        <f>IF($U155="","",S155-Q155-G155)</f>
        <v/>
      </c>
      <c r="U155" s="13">
        <f>IF(ROWS($U$2:$U155)&lt;=MAX('Per Line'!$Z$2:$Z$501),MATCH(ROWS($U$2:$U155),'Per Line'!$Z$2:$Z$501,0),"")</f>
        <v/>
      </c>
    </row>
    <row r="156">
      <c r="A156" s="12" t="n"/>
      <c r="B156">
        <f>IF($U156="","",INDEX('Per Line'!$A$2:$A$501,$U156)&amp;"")</f>
        <v/>
      </c>
      <c r="C156">
        <f>IF($U156="","",INDEX('Per Line'!$B$2:$B$501,$U156)&amp;"")</f>
        <v/>
      </c>
      <c r="D156">
        <f>IF($U156="","",INDEX('Per Line'!$C$2:$C$501,$U156)&amp;"")</f>
        <v/>
      </c>
      <c r="E156">
        <f>IF($U156="","",INDEX('Per Line'!$D$2:$D$501,$U156)&amp;"")</f>
        <v/>
      </c>
      <c r="F156">
        <f>IF($U156="","",INDEX('Per Line'!$E$2:$E$501,$U156))</f>
        <v/>
      </c>
      <c r="G156" s="7">
        <f>IF($U156="","",F156*S156/100)</f>
        <v/>
      </c>
      <c r="H156" s="11">
        <f>IF($U156="","",INDEX('Per Line'!$R$2:$R$501,$U156))</f>
        <v/>
      </c>
      <c r="I156">
        <f>IF($U156="","",INDEX('Per Line'!$Q$2:$Q$501,$U156)&amp;"")</f>
        <v/>
      </c>
      <c r="J156">
        <f>IF($U156="","",INDEX('Per Line'!$P$2:$P$501,$U156)&amp;"")</f>
        <v/>
      </c>
      <c r="K156">
        <f>IF($U156="","",Settings!$C$7)</f>
        <v/>
      </c>
      <c r="L156" s="7">
        <f>IF($U156="","",SUMIFS('Per Line'!$M$2:$M$501,'Per Line'!$A$2:$A$501,$B156,'Per Line'!$AA$2:$AA$501,0))</f>
        <v/>
      </c>
      <c r="M156" s="7">
        <f>IF($U156="","",L156*K156)</f>
        <v/>
      </c>
      <c r="N156">
        <f>IF($U156="","",Settings!$C$6)</f>
        <v/>
      </c>
      <c r="O156" s="7">
        <f>IF($U156="","",SUMIFS('Per Line'!$M$2:$M$501,'Per Line'!$A$2:$A$501,$B156,'Per Line'!$AA$2:$AA$501,1))</f>
        <v/>
      </c>
      <c r="P156" s="7">
        <f>IF($U156="","",O156*N156)</f>
        <v/>
      </c>
      <c r="Q156" s="7">
        <f>IF($U156="","",P156+M156)</f>
        <v/>
      </c>
      <c r="R156" s="7">
        <f>IF($U156="","",S156-Q156)</f>
        <v/>
      </c>
      <c r="S156" s="7">
        <f>IF($U156="","",L156+O156)</f>
        <v/>
      </c>
      <c r="T156" s="7">
        <f>IF($U156="","",S156-Q156-G156)</f>
        <v/>
      </c>
      <c r="U156" s="13">
        <f>IF(ROWS($U$2:$U156)&lt;=MAX('Per Line'!$Z$2:$Z$501),MATCH(ROWS($U$2:$U156),'Per Line'!$Z$2:$Z$501,0),"")</f>
        <v/>
      </c>
    </row>
    <row r="157">
      <c r="A157" s="12" t="n"/>
      <c r="B157">
        <f>IF($U157="","",INDEX('Per Line'!$A$2:$A$501,$U157)&amp;"")</f>
        <v/>
      </c>
      <c r="C157">
        <f>IF($U157="","",INDEX('Per Line'!$B$2:$B$501,$U157)&amp;"")</f>
        <v/>
      </c>
      <c r="D157">
        <f>IF($U157="","",INDEX('Per Line'!$C$2:$C$501,$U157)&amp;"")</f>
        <v/>
      </c>
      <c r="E157">
        <f>IF($U157="","",INDEX('Per Line'!$D$2:$D$501,$U157)&amp;"")</f>
        <v/>
      </c>
      <c r="F157">
        <f>IF($U157="","",INDEX('Per Line'!$E$2:$E$501,$U157))</f>
        <v/>
      </c>
      <c r="G157" s="7">
        <f>IF($U157="","",F157*S157/100)</f>
        <v/>
      </c>
      <c r="H157" s="11">
        <f>IF($U157="","",INDEX('Per Line'!$R$2:$R$501,$U157))</f>
        <v/>
      </c>
      <c r="I157">
        <f>IF($U157="","",INDEX('Per Line'!$Q$2:$Q$501,$U157)&amp;"")</f>
        <v/>
      </c>
      <c r="J157">
        <f>IF($U157="","",INDEX('Per Line'!$P$2:$P$501,$U157)&amp;"")</f>
        <v/>
      </c>
      <c r="K157">
        <f>IF($U157="","",Settings!$C$7)</f>
        <v/>
      </c>
      <c r="L157" s="7">
        <f>IF($U157="","",SUMIFS('Per Line'!$M$2:$M$501,'Per Line'!$A$2:$A$501,$B157,'Per Line'!$AA$2:$AA$501,0))</f>
        <v/>
      </c>
      <c r="M157" s="7">
        <f>IF($U157="","",L157*K157)</f>
        <v/>
      </c>
      <c r="N157">
        <f>IF($U157="","",Settings!$C$6)</f>
        <v/>
      </c>
      <c r="O157" s="7">
        <f>IF($U157="","",SUMIFS('Per Line'!$M$2:$M$501,'Per Line'!$A$2:$A$501,$B157,'Per Line'!$AA$2:$AA$501,1))</f>
        <v/>
      </c>
      <c r="P157" s="7">
        <f>IF($U157="","",O157*N157)</f>
        <v/>
      </c>
      <c r="Q157" s="7">
        <f>IF($U157="","",P157+M157)</f>
        <v/>
      </c>
      <c r="R157" s="7">
        <f>IF($U157="","",S157-Q157)</f>
        <v/>
      </c>
      <c r="S157" s="7">
        <f>IF($U157="","",L157+O157)</f>
        <v/>
      </c>
      <c r="T157" s="7">
        <f>IF($U157="","",S157-Q157-G157)</f>
        <v/>
      </c>
      <c r="U157" s="13">
        <f>IF(ROWS($U$2:$U157)&lt;=MAX('Per Line'!$Z$2:$Z$501),MATCH(ROWS($U$2:$U157),'Per Line'!$Z$2:$Z$501,0),"")</f>
        <v/>
      </c>
    </row>
    <row r="158">
      <c r="A158" s="12" t="n"/>
      <c r="B158">
        <f>IF($U158="","",INDEX('Per Line'!$A$2:$A$501,$U158)&amp;"")</f>
        <v/>
      </c>
      <c r="C158">
        <f>IF($U158="","",INDEX('Per Line'!$B$2:$B$501,$U158)&amp;"")</f>
        <v/>
      </c>
      <c r="D158">
        <f>IF($U158="","",INDEX('Per Line'!$C$2:$C$501,$U158)&amp;"")</f>
        <v/>
      </c>
      <c r="E158">
        <f>IF($U158="","",INDEX('Per Line'!$D$2:$D$501,$U158)&amp;"")</f>
        <v/>
      </c>
      <c r="F158">
        <f>IF($U158="","",INDEX('Per Line'!$E$2:$E$501,$U158))</f>
        <v/>
      </c>
      <c r="G158" s="7">
        <f>IF($U158="","",F158*S158/100)</f>
        <v/>
      </c>
      <c r="H158" s="11">
        <f>IF($U158="","",INDEX('Per Line'!$R$2:$R$501,$U158))</f>
        <v/>
      </c>
      <c r="I158">
        <f>IF($U158="","",INDEX('Per Line'!$Q$2:$Q$501,$U158)&amp;"")</f>
        <v/>
      </c>
      <c r="J158">
        <f>IF($U158="","",INDEX('Per Line'!$P$2:$P$501,$U158)&amp;"")</f>
        <v/>
      </c>
      <c r="K158">
        <f>IF($U158="","",Settings!$C$7)</f>
        <v/>
      </c>
      <c r="L158" s="7">
        <f>IF($U158="","",SUMIFS('Per Line'!$M$2:$M$501,'Per Line'!$A$2:$A$501,$B158,'Per Line'!$AA$2:$AA$501,0))</f>
        <v/>
      </c>
      <c r="M158" s="7">
        <f>IF($U158="","",L158*K158)</f>
        <v/>
      </c>
      <c r="N158">
        <f>IF($U158="","",Settings!$C$6)</f>
        <v/>
      </c>
      <c r="O158" s="7">
        <f>IF($U158="","",SUMIFS('Per Line'!$M$2:$M$501,'Per Line'!$A$2:$A$501,$B158,'Per Line'!$AA$2:$AA$501,1))</f>
        <v/>
      </c>
      <c r="P158" s="7">
        <f>IF($U158="","",O158*N158)</f>
        <v/>
      </c>
      <c r="Q158" s="7">
        <f>IF($U158="","",P158+M158)</f>
        <v/>
      </c>
      <c r="R158" s="7">
        <f>IF($U158="","",S158-Q158)</f>
        <v/>
      </c>
      <c r="S158" s="7">
        <f>IF($U158="","",L158+O158)</f>
        <v/>
      </c>
      <c r="T158" s="7">
        <f>IF($U158="","",S158-Q158-G158)</f>
        <v/>
      </c>
      <c r="U158" s="13">
        <f>IF(ROWS($U$2:$U158)&lt;=MAX('Per Line'!$Z$2:$Z$501),MATCH(ROWS($U$2:$U158),'Per Line'!$Z$2:$Z$501,0),"")</f>
        <v/>
      </c>
    </row>
    <row r="159">
      <c r="A159" s="12" t="n"/>
      <c r="B159">
        <f>IF($U159="","",INDEX('Per Line'!$A$2:$A$501,$U159)&amp;"")</f>
        <v/>
      </c>
      <c r="C159">
        <f>IF($U159="","",INDEX('Per Line'!$B$2:$B$501,$U159)&amp;"")</f>
        <v/>
      </c>
      <c r="D159">
        <f>IF($U159="","",INDEX('Per Line'!$C$2:$C$501,$U159)&amp;"")</f>
        <v/>
      </c>
      <c r="E159">
        <f>IF($U159="","",INDEX('Per Line'!$D$2:$D$501,$U159)&amp;"")</f>
        <v/>
      </c>
      <c r="F159">
        <f>IF($U159="","",INDEX('Per Line'!$E$2:$E$501,$U159))</f>
        <v/>
      </c>
      <c r="G159" s="7">
        <f>IF($U159="","",F159*S159/100)</f>
        <v/>
      </c>
      <c r="H159" s="11">
        <f>IF($U159="","",INDEX('Per Line'!$R$2:$R$501,$U159))</f>
        <v/>
      </c>
      <c r="I159">
        <f>IF($U159="","",INDEX('Per Line'!$Q$2:$Q$501,$U159)&amp;"")</f>
        <v/>
      </c>
      <c r="J159">
        <f>IF($U159="","",INDEX('Per Line'!$P$2:$P$501,$U159)&amp;"")</f>
        <v/>
      </c>
      <c r="K159">
        <f>IF($U159="","",Settings!$C$7)</f>
        <v/>
      </c>
      <c r="L159" s="7">
        <f>IF($U159="","",SUMIFS('Per Line'!$M$2:$M$501,'Per Line'!$A$2:$A$501,$B159,'Per Line'!$AA$2:$AA$501,0))</f>
        <v/>
      </c>
      <c r="M159" s="7">
        <f>IF($U159="","",L159*K159)</f>
        <v/>
      </c>
      <c r="N159">
        <f>IF($U159="","",Settings!$C$6)</f>
        <v/>
      </c>
      <c r="O159" s="7">
        <f>IF($U159="","",SUMIFS('Per Line'!$M$2:$M$501,'Per Line'!$A$2:$A$501,$B159,'Per Line'!$AA$2:$AA$501,1))</f>
        <v/>
      </c>
      <c r="P159" s="7">
        <f>IF($U159="","",O159*N159)</f>
        <v/>
      </c>
      <c r="Q159" s="7">
        <f>IF($U159="","",P159+M159)</f>
        <v/>
      </c>
      <c r="R159" s="7">
        <f>IF($U159="","",S159-Q159)</f>
        <v/>
      </c>
      <c r="S159" s="7">
        <f>IF($U159="","",L159+O159)</f>
        <v/>
      </c>
      <c r="T159" s="7">
        <f>IF($U159="","",S159-Q159-G159)</f>
        <v/>
      </c>
      <c r="U159" s="13">
        <f>IF(ROWS($U$2:$U159)&lt;=MAX('Per Line'!$Z$2:$Z$501),MATCH(ROWS($U$2:$U159),'Per Line'!$Z$2:$Z$501,0),"")</f>
        <v/>
      </c>
    </row>
    <row r="160">
      <c r="A160" s="12" t="n"/>
      <c r="B160">
        <f>IF($U160="","",INDEX('Per Line'!$A$2:$A$501,$U160)&amp;"")</f>
        <v/>
      </c>
      <c r="C160">
        <f>IF($U160="","",INDEX('Per Line'!$B$2:$B$501,$U160)&amp;"")</f>
        <v/>
      </c>
      <c r="D160">
        <f>IF($U160="","",INDEX('Per Line'!$C$2:$C$501,$U160)&amp;"")</f>
        <v/>
      </c>
      <c r="E160">
        <f>IF($U160="","",INDEX('Per Line'!$D$2:$D$501,$U160)&amp;"")</f>
        <v/>
      </c>
      <c r="F160">
        <f>IF($U160="","",INDEX('Per Line'!$E$2:$E$501,$U160))</f>
        <v/>
      </c>
      <c r="G160" s="7">
        <f>IF($U160="","",F160*S160/100)</f>
        <v/>
      </c>
      <c r="H160" s="11">
        <f>IF($U160="","",INDEX('Per Line'!$R$2:$R$501,$U160))</f>
        <v/>
      </c>
      <c r="I160">
        <f>IF($U160="","",INDEX('Per Line'!$Q$2:$Q$501,$U160)&amp;"")</f>
        <v/>
      </c>
      <c r="J160">
        <f>IF($U160="","",INDEX('Per Line'!$P$2:$P$501,$U160)&amp;"")</f>
        <v/>
      </c>
      <c r="K160">
        <f>IF($U160="","",Settings!$C$7)</f>
        <v/>
      </c>
      <c r="L160" s="7">
        <f>IF($U160="","",SUMIFS('Per Line'!$M$2:$M$501,'Per Line'!$A$2:$A$501,$B160,'Per Line'!$AA$2:$AA$501,0))</f>
        <v/>
      </c>
      <c r="M160" s="7">
        <f>IF($U160="","",L160*K160)</f>
        <v/>
      </c>
      <c r="N160">
        <f>IF($U160="","",Settings!$C$6)</f>
        <v/>
      </c>
      <c r="O160" s="7">
        <f>IF($U160="","",SUMIFS('Per Line'!$M$2:$M$501,'Per Line'!$A$2:$A$501,$B160,'Per Line'!$AA$2:$AA$501,1))</f>
        <v/>
      </c>
      <c r="P160" s="7">
        <f>IF($U160="","",O160*N160)</f>
        <v/>
      </c>
      <c r="Q160" s="7">
        <f>IF($U160="","",P160+M160)</f>
        <v/>
      </c>
      <c r="R160" s="7">
        <f>IF($U160="","",S160-Q160)</f>
        <v/>
      </c>
      <c r="S160" s="7">
        <f>IF($U160="","",L160+O160)</f>
        <v/>
      </c>
      <c r="T160" s="7">
        <f>IF($U160="","",S160-Q160-G160)</f>
        <v/>
      </c>
      <c r="U160" s="13">
        <f>IF(ROWS($U$2:$U160)&lt;=MAX('Per Line'!$Z$2:$Z$501),MATCH(ROWS($U$2:$U160),'Per Line'!$Z$2:$Z$501,0),"")</f>
        <v/>
      </c>
    </row>
    <row r="161">
      <c r="A161" s="12" t="n"/>
      <c r="B161">
        <f>IF($U161="","",INDEX('Per Line'!$A$2:$A$501,$U161)&amp;"")</f>
        <v/>
      </c>
      <c r="C161">
        <f>IF($U161="","",INDEX('Per Line'!$B$2:$B$501,$U161)&amp;"")</f>
        <v/>
      </c>
      <c r="D161">
        <f>IF($U161="","",INDEX('Per Line'!$C$2:$C$501,$U161)&amp;"")</f>
        <v/>
      </c>
      <c r="E161">
        <f>IF($U161="","",INDEX('Per Line'!$D$2:$D$501,$U161)&amp;"")</f>
        <v/>
      </c>
      <c r="F161">
        <f>IF($U161="","",INDEX('Per Line'!$E$2:$E$501,$U161))</f>
        <v/>
      </c>
      <c r="G161" s="7">
        <f>IF($U161="","",F161*S161/100)</f>
        <v/>
      </c>
      <c r="H161" s="11">
        <f>IF($U161="","",INDEX('Per Line'!$R$2:$R$501,$U161))</f>
        <v/>
      </c>
      <c r="I161">
        <f>IF($U161="","",INDEX('Per Line'!$Q$2:$Q$501,$U161)&amp;"")</f>
        <v/>
      </c>
      <c r="J161">
        <f>IF($U161="","",INDEX('Per Line'!$P$2:$P$501,$U161)&amp;"")</f>
        <v/>
      </c>
      <c r="K161">
        <f>IF($U161="","",Settings!$C$7)</f>
        <v/>
      </c>
      <c r="L161" s="7">
        <f>IF($U161="","",SUMIFS('Per Line'!$M$2:$M$501,'Per Line'!$A$2:$A$501,$B161,'Per Line'!$AA$2:$AA$501,0))</f>
        <v/>
      </c>
      <c r="M161" s="7">
        <f>IF($U161="","",L161*K161)</f>
        <v/>
      </c>
      <c r="N161">
        <f>IF($U161="","",Settings!$C$6)</f>
        <v/>
      </c>
      <c r="O161" s="7">
        <f>IF($U161="","",SUMIFS('Per Line'!$M$2:$M$501,'Per Line'!$A$2:$A$501,$B161,'Per Line'!$AA$2:$AA$501,1))</f>
        <v/>
      </c>
      <c r="P161" s="7">
        <f>IF($U161="","",O161*N161)</f>
        <v/>
      </c>
      <c r="Q161" s="7">
        <f>IF($U161="","",P161+M161)</f>
        <v/>
      </c>
      <c r="R161" s="7">
        <f>IF($U161="","",S161-Q161)</f>
        <v/>
      </c>
      <c r="S161" s="7">
        <f>IF($U161="","",L161+O161)</f>
        <v/>
      </c>
      <c r="T161" s="7">
        <f>IF($U161="","",S161-Q161-G161)</f>
        <v/>
      </c>
      <c r="U161" s="13">
        <f>IF(ROWS($U$2:$U161)&lt;=MAX('Per Line'!$Z$2:$Z$501),MATCH(ROWS($U$2:$U161),'Per Line'!$Z$2:$Z$501,0),"")</f>
        <v/>
      </c>
    </row>
    <row r="162">
      <c r="A162" s="12" t="n"/>
      <c r="B162">
        <f>IF($U162="","",INDEX('Per Line'!$A$2:$A$501,$U162)&amp;"")</f>
        <v/>
      </c>
      <c r="C162">
        <f>IF($U162="","",INDEX('Per Line'!$B$2:$B$501,$U162)&amp;"")</f>
        <v/>
      </c>
      <c r="D162">
        <f>IF($U162="","",INDEX('Per Line'!$C$2:$C$501,$U162)&amp;"")</f>
        <v/>
      </c>
      <c r="E162">
        <f>IF($U162="","",INDEX('Per Line'!$D$2:$D$501,$U162)&amp;"")</f>
        <v/>
      </c>
      <c r="F162">
        <f>IF($U162="","",INDEX('Per Line'!$E$2:$E$501,$U162))</f>
        <v/>
      </c>
      <c r="G162" s="7">
        <f>IF($U162="","",F162*S162/100)</f>
        <v/>
      </c>
      <c r="H162" s="11">
        <f>IF($U162="","",INDEX('Per Line'!$R$2:$R$501,$U162))</f>
        <v/>
      </c>
      <c r="I162">
        <f>IF($U162="","",INDEX('Per Line'!$Q$2:$Q$501,$U162)&amp;"")</f>
        <v/>
      </c>
      <c r="J162">
        <f>IF($U162="","",INDEX('Per Line'!$P$2:$P$501,$U162)&amp;"")</f>
        <v/>
      </c>
      <c r="K162">
        <f>IF($U162="","",Settings!$C$7)</f>
        <v/>
      </c>
      <c r="L162" s="7">
        <f>IF($U162="","",SUMIFS('Per Line'!$M$2:$M$501,'Per Line'!$A$2:$A$501,$B162,'Per Line'!$AA$2:$AA$501,0))</f>
        <v/>
      </c>
      <c r="M162" s="7">
        <f>IF($U162="","",L162*K162)</f>
        <v/>
      </c>
      <c r="N162">
        <f>IF($U162="","",Settings!$C$6)</f>
        <v/>
      </c>
      <c r="O162" s="7">
        <f>IF($U162="","",SUMIFS('Per Line'!$M$2:$M$501,'Per Line'!$A$2:$A$501,$B162,'Per Line'!$AA$2:$AA$501,1))</f>
        <v/>
      </c>
      <c r="P162" s="7">
        <f>IF($U162="","",O162*N162)</f>
        <v/>
      </c>
      <c r="Q162" s="7">
        <f>IF($U162="","",P162+M162)</f>
        <v/>
      </c>
      <c r="R162" s="7">
        <f>IF($U162="","",S162-Q162)</f>
        <v/>
      </c>
      <c r="S162" s="7">
        <f>IF($U162="","",L162+O162)</f>
        <v/>
      </c>
      <c r="T162" s="7">
        <f>IF($U162="","",S162-Q162-G162)</f>
        <v/>
      </c>
      <c r="U162" s="13">
        <f>IF(ROWS($U$2:$U162)&lt;=MAX('Per Line'!$Z$2:$Z$501),MATCH(ROWS($U$2:$U162),'Per Line'!$Z$2:$Z$501,0),"")</f>
        <v/>
      </c>
    </row>
    <row r="163">
      <c r="A163" s="12" t="n"/>
      <c r="B163">
        <f>IF($U163="","",INDEX('Per Line'!$A$2:$A$501,$U163)&amp;"")</f>
        <v/>
      </c>
      <c r="C163">
        <f>IF($U163="","",INDEX('Per Line'!$B$2:$B$501,$U163)&amp;"")</f>
        <v/>
      </c>
      <c r="D163">
        <f>IF($U163="","",INDEX('Per Line'!$C$2:$C$501,$U163)&amp;"")</f>
        <v/>
      </c>
      <c r="E163">
        <f>IF($U163="","",INDEX('Per Line'!$D$2:$D$501,$U163)&amp;"")</f>
        <v/>
      </c>
      <c r="F163">
        <f>IF($U163="","",INDEX('Per Line'!$E$2:$E$501,$U163))</f>
        <v/>
      </c>
      <c r="G163" s="7">
        <f>IF($U163="","",F163*S163/100)</f>
        <v/>
      </c>
      <c r="H163" s="11">
        <f>IF($U163="","",INDEX('Per Line'!$R$2:$R$501,$U163))</f>
        <v/>
      </c>
      <c r="I163">
        <f>IF($U163="","",INDEX('Per Line'!$Q$2:$Q$501,$U163)&amp;"")</f>
        <v/>
      </c>
      <c r="J163">
        <f>IF($U163="","",INDEX('Per Line'!$P$2:$P$501,$U163)&amp;"")</f>
        <v/>
      </c>
      <c r="K163">
        <f>IF($U163="","",Settings!$C$7)</f>
        <v/>
      </c>
      <c r="L163" s="7">
        <f>IF($U163="","",SUMIFS('Per Line'!$M$2:$M$501,'Per Line'!$A$2:$A$501,$B163,'Per Line'!$AA$2:$AA$501,0))</f>
        <v/>
      </c>
      <c r="M163" s="7">
        <f>IF($U163="","",L163*K163)</f>
        <v/>
      </c>
      <c r="N163">
        <f>IF($U163="","",Settings!$C$6)</f>
        <v/>
      </c>
      <c r="O163" s="7">
        <f>IF($U163="","",SUMIFS('Per Line'!$M$2:$M$501,'Per Line'!$A$2:$A$501,$B163,'Per Line'!$AA$2:$AA$501,1))</f>
        <v/>
      </c>
      <c r="P163" s="7">
        <f>IF($U163="","",O163*N163)</f>
        <v/>
      </c>
      <c r="Q163" s="7">
        <f>IF($U163="","",P163+M163)</f>
        <v/>
      </c>
      <c r="R163" s="7">
        <f>IF($U163="","",S163-Q163)</f>
        <v/>
      </c>
      <c r="S163" s="7">
        <f>IF($U163="","",L163+O163)</f>
        <v/>
      </c>
      <c r="T163" s="7">
        <f>IF($U163="","",S163-Q163-G163)</f>
        <v/>
      </c>
      <c r="U163" s="13">
        <f>IF(ROWS($U$2:$U163)&lt;=MAX('Per Line'!$Z$2:$Z$501),MATCH(ROWS($U$2:$U163),'Per Line'!$Z$2:$Z$501,0),"")</f>
        <v/>
      </c>
    </row>
    <row r="164">
      <c r="A164" s="12" t="n"/>
      <c r="B164">
        <f>IF($U164="","",INDEX('Per Line'!$A$2:$A$501,$U164)&amp;"")</f>
        <v/>
      </c>
      <c r="C164">
        <f>IF($U164="","",INDEX('Per Line'!$B$2:$B$501,$U164)&amp;"")</f>
        <v/>
      </c>
      <c r="D164">
        <f>IF($U164="","",INDEX('Per Line'!$C$2:$C$501,$U164)&amp;"")</f>
        <v/>
      </c>
      <c r="E164">
        <f>IF($U164="","",INDEX('Per Line'!$D$2:$D$501,$U164)&amp;"")</f>
        <v/>
      </c>
      <c r="F164">
        <f>IF($U164="","",INDEX('Per Line'!$E$2:$E$501,$U164))</f>
        <v/>
      </c>
      <c r="G164" s="7">
        <f>IF($U164="","",F164*S164/100)</f>
        <v/>
      </c>
      <c r="H164" s="11">
        <f>IF($U164="","",INDEX('Per Line'!$R$2:$R$501,$U164))</f>
        <v/>
      </c>
      <c r="I164">
        <f>IF($U164="","",INDEX('Per Line'!$Q$2:$Q$501,$U164)&amp;"")</f>
        <v/>
      </c>
      <c r="J164">
        <f>IF($U164="","",INDEX('Per Line'!$P$2:$P$501,$U164)&amp;"")</f>
        <v/>
      </c>
      <c r="K164">
        <f>IF($U164="","",Settings!$C$7)</f>
        <v/>
      </c>
      <c r="L164" s="7">
        <f>IF($U164="","",SUMIFS('Per Line'!$M$2:$M$501,'Per Line'!$A$2:$A$501,$B164,'Per Line'!$AA$2:$AA$501,0))</f>
        <v/>
      </c>
      <c r="M164" s="7">
        <f>IF($U164="","",L164*K164)</f>
        <v/>
      </c>
      <c r="N164">
        <f>IF($U164="","",Settings!$C$6)</f>
        <v/>
      </c>
      <c r="O164" s="7">
        <f>IF($U164="","",SUMIFS('Per Line'!$M$2:$M$501,'Per Line'!$A$2:$A$501,$B164,'Per Line'!$AA$2:$AA$501,1))</f>
        <v/>
      </c>
      <c r="P164" s="7">
        <f>IF($U164="","",O164*N164)</f>
        <v/>
      </c>
      <c r="Q164" s="7">
        <f>IF($U164="","",P164+M164)</f>
        <v/>
      </c>
      <c r="R164" s="7">
        <f>IF($U164="","",S164-Q164)</f>
        <v/>
      </c>
      <c r="S164" s="7">
        <f>IF($U164="","",L164+O164)</f>
        <v/>
      </c>
      <c r="T164" s="7">
        <f>IF($U164="","",S164-Q164-G164)</f>
        <v/>
      </c>
      <c r="U164" s="13">
        <f>IF(ROWS($U$2:$U164)&lt;=MAX('Per Line'!$Z$2:$Z$501),MATCH(ROWS($U$2:$U164),'Per Line'!$Z$2:$Z$501,0),"")</f>
        <v/>
      </c>
    </row>
    <row r="165">
      <c r="A165" s="12" t="n"/>
      <c r="B165">
        <f>IF($U165="","",INDEX('Per Line'!$A$2:$A$501,$U165)&amp;"")</f>
        <v/>
      </c>
      <c r="C165">
        <f>IF($U165="","",INDEX('Per Line'!$B$2:$B$501,$U165)&amp;"")</f>
        <v/>
      </c>
      <c r="D165">
        <f>IF($U165="","",INDEX('Per Line'!$C$2:$C$501,$U165)&amp;"")</f>
        <v/>
      </c>
      <c r="E165">
        <f>IF($U165="","",INDEX('Per Line'!$D$2:$D$501,$U165)&amp;"")</f>
        <v/>
      </c>
      <c r="F165">
        <f>IF($U165="","",INDEX('Per Line'!$E$2:$E$501,$U165))</f>
        <v/>
      </c>
      <c r="G165" s="7">
        <f>IF($U165="","",F165*S165/100)</f>
        <v/>
      </c>
      <c r="H165" s="11">
        <f>IF($U165="","",INDEX('Per Line'!$R$2:$R$501,$U165))</f>
        <v/>
      </c>
      <c r="I165">
        <f>IF($U165="","",INDEX('Per Line'!$Q$2:$Q$501,$U165)&amp;"")</f>
        <v/>
      </c>
      <c r="J165">
        <f>IF($U165="","",INDEX('Per Line'!$P$2:$P$501,$U165)&amp;"")</f>
        <v/>
      </c>
      <c r="K165">
        <f>IF($U165="","",Settings!$C$7)</f>
        <v/>
      </c>
      <c r="L165" s="7">
        <f>IF($U165="","",SUMIFS('Per Line'!$M$2:$M$501,'Per Line'!$A$2:$A$501,$B165,'Per Line'!$AA$2:$AA$501,0))</f>
        <v/>
      </c>
      <c r="M165" s="7">
        <f>IF($U165="","",L165*K165)</f>
        <v/>
      </c>
      <c r="N165">
        <f>IF($U165="","",Settings!$C$6)</f>
        <v/>
      </c>
      <c r="O165" s="7">
        <f>IF($U165="","",SUMIFS('Per Line'!$M$2:$M$501,'Per Line'!$A$2:$A$501,$B165,'Per Line'!$AA$2:$AA$501,1))</f>
        <v/>
      </c>
      <c r="P165" s="7">
        <f>IF($U165="","",O165*N165)</f>
        <v/>
      </c>
      <c r="Q165" s="7">
        <f>IF($U165="","",P165+M165)</f>
        <v/>
      </c>
      <c r="R165" s="7">
        <f>IF($U165="","",S165-Q165)</f>
        <v/>
      </c>
      <c r="S165" s="7">
        <f>IF($U165="","",L165+O165)</f>
        <v/>
      </c>
      <c r="T165" s="7">
        <f>IF($U165="","",S165-Q165-G165)</f>
        <v/>
      </c>
      <c r="U165" s="13">
        <f>IF(ROWS($U$2:$U165)&lt;=MAX('Per Line'!$Z$2:$Z$501),MATCH(ROWS($U$2:$U165),'Per Line'!$Z$2:$Z$501,0),"")</f>
        <v/>
      </c>
    </row>
    <row r="166">
      <c r="A166" s="12" t="n"/>
      <c r="B166">
        <f>IF($U166="","",INDEX('Per Line'!$A$2:$A$501,$U166)&amp;"")</f>
        <v/>
      </c>
      <c r="C166">
        <f>IF($U166="","",INDEX('Per Line'!$B$2:$B$501,$U166)&amp;"")</f>
        <v/>
      </c>
      <c r="D166">
        <f>IF($U166="","",INDEX('Per Line'!$C$2:$C$501,$U166)&amp;"")</f>
        <v/>
      </c>
      <c r="E166">
        <f>IF($U166="","",INDEX('Per Line'!$D$2:$D$501,$U166)&amp;"")</f>
        <v/>
      </c>
      <c r="F166">
        <f>IF($U166="","",INDEX('Per Line'!$E$2:$E$501,$U166))</f>
        <v/>
      </c>
      <c r="G166" s="7">
        <f>IF($U166="","",F166*S166/100)</f>
        <v/>
      </c>
      <c r="H166" s="11">
        <f>IF($U166="","",INDEX('Per Line'!$R$2:$R$501,$U166))</f>
        <v/>
      </c>
      <c r="I166">
        <f>IF($U166="","",INDEX('Per Line'!$Q$2:$Q$501,$U166)&amp;"")</f>
        <v/>
      </c>
      <c r="J166">
        <f>IF($U166="","",INDEX('Per Line'!$P$2:$P$501,$U166)&amp;"")</f>
        <v/>
      </c>
      <c r="K166">
        <f>IF($U166="","",Settings!$C$7)</f>
        <v/>
      </c>
      <c r="L166" s="7">
        <f>IF($U166="","",SUMIFS('Per Line'!$M$2:$M$501,'Per Line'!$A$2:$A$501,$B166,'Per Line'!$AA$2:$AA$501,0))</f>
        <v/>
      </c>
      <c r="M166" s="7">
        <f>IF($U166="","",L166*K166)</f>
        <v/>
      </c>
      <c r="N166">
        <f>IF($U166="","",Settings!$C$6)</f>
        <v/>
      </c>
      <c r="O166" s="7">
        <f>IF($U166="","",SUMIFS('Per Line'!$M$2:$M$501,'Per Line'!$A$2:$A$501,$B166,'Per Line'!$AA$2:$AA$501,1))</f>
        <v/>
      </c>
      <c r="P166" s="7">
        <f>IF($U166="","",O166*N166)</f>
        <v/>
      </c>
      <c r="Q166" s="7">
        <f>IF($U166="","",P166+M166)</f>
        <v/>
      </c>
      <c r="R166" s="7">
        <f>IF($U166="","",S166-Q166)</f>
        <v/>
      </c>
      <c r="S166" s="7">
        <f>IF($U166="","",L166+O166)</f>
        <v/>
      </c>
      <c r="T166" s="7">
        <f>IF($U166="","",S166-Q166-G166)</f>
        <v/>
      </c>
      <c r="U166" s="13">
        <f>IF(ROWS($U$2:$U166)&lt;=MAX('Per Line'!$Z$2:$Z$501),MATCH(ROWS($U$2:$U166),'Per Line'!$Z$2:$Z$501,0),"")</f>
        <v/>
      </c>
    </row>
    <row r="167">
      <c r="A167" s="12" t="n"/>
      <c r="B167">
        <f>IF($U167="","",INDEX('Per Line'!$A$2:$A$501,$U167)&amp;"")</f>
        <v/>
      </c>
      <c r="C167">
        <f>IF($U167="","",INDEX('Per Line'!$B$2:$B$501,$U167)&amp;"")</f>
        <v/>
      </c>
      <c r="D167">
        <f>IF($U167="","",INDEX('Per Line'!$C$2:$C$501,$U167)&amp;"")</f>
        <v/>
      </c>
      <c r="E167">
        <f>IF($U167="","",INDEX('Per Line'!$D$2:$D$501,$U167)&amp;"")</f>
        <v/>
      </c>
      <c r="F167">
        <f>IF($U167="","",INDEX('Per Line'!$E$2:$E$501,$U167))</f>
        <v/>
      </c>
      <c r="G167" s="7">
        <f>IF($U167="","",F167*S167/100)</f>
        <v/>
      </c>
      <c r="H167" s="11">
        <f>IF($U167="","",INDEX('Per Line'!$R$2:$R$501,$U167))</f>
        <v/>
      </c>
      <c r="I167">
        <f>IF($U167="","",INDEX('Per Line'!$Q$2:$Q$501,$U167)&amp;"")</f>
        <v/>
      </c>
      <c r="J167">
        <f>IF($U167="","",INDEX('Per Line'!$P$2:$P$501,$U167)&amp;"")</f>
        <v/>
      </c>
      <c r="K167">
        <f>IF($U167="","",Settings!$C$7)</f>
        <v/>
      </c>
      <c r="L167" s="7">
        <f>IF($U167="","",SUMIFS('Per Line'!$M$2:$M$501,'Per Line'!$A$2:$A$501,$B167,'Per Line'!$AA$2:$AA$501,0))</f>
        <v/>
      </c>
      <c r="M167" s="7">
        <f>IF($U167="","",L167*K167)</f>
        <v/>
      </c>
      <c r="N167">
        <f>IF($U167="","",Settings!$C$6)</f>
        <v/>
      </c>
      <c r="O167" s="7">
        <f>IF($U167="","",SUMIFS('Per Line'!$M$2:$M$501,'Per Line'!$A$2:$A$501,$B167,'Per Line'!$AA$2:$AA$501,1))</f>
        <v/>
      </c>
      <c r="P167" s="7">
        <f>IF($U167="","",O167*N167)</f>
        <v/>
      </c>
      <c r="Q167" s="7">
        <f>IF($U167="","",P167+M167)</f>
        <v/>
      </c>
      <c r="R167" s="7">
        <f>IF($U167="","",S167-Q167)</f>
        <v/>
      </c>
      <c r="S167" s="7">
        <f>IF($U167="","",L167+O167)</f>
        <v/>
      </c>
      <c r="T167" s="7">
        <f>IF($U167="","",S167-Q167-G167)</f>
        <v/>
      </c>
      <c r="U167" s="13">
        <f>IF(ROWS($U$2:$U167)&lt;=MAX('Per Line'!$Z$2:$Z$501),MATCH(ROWS($U$2:$U167),'Per Line'!$Z$2:$Z$501,0),"")</f>
        <v/>
      </c>
    </row>
    <row r="168">
      <c r="A168" s="12" t="n"/>
      <c r="B168">
        <f>IF($U168="","",INDEX('Per Line'!$A$2:$A$501,$U168)&amp;"")</f>
        <v/>
      </c>
      <c r="C168">
        <f>IF($U168="","",INDEX('Per Line'!$B$2:$B$501,$U168)&amp;"")</f>
        <v/>
      </c>
      <c r="D168">
        <f>IF($U168="","",INDEX('Per Line'!$C$2:$C$501,$U168)&amp;"")</f>
        <v/>
      </c>
      <c r="E168">
        <f>IF($U168="","",INDEX('Per Line'!$D$2:$D$501,$U168)&amp;"")</f>
        <v/>
      </c>
      <c r="F168">
        <f>IF($U168="","",INDEX('Per Line'!$E$2:$E$501,$U168))</f>
        <v/>
      </c>
      <c r="G168" s="7">
        <f>IF($U168="","",F168*S168/100)</f>
        <v/>
      </c>
      <c r="H168" s="11">
        <f>IF($U168="","",INDEX('Per Line'!$R$2:$R$501,$U168))</f>
        <v/>
      </c>
      <c r="I168">
        <f>IF($U168="","",INDEX('Per Line'!$Q$2:$Q$501,$U168)&amp;"")</f>
        <v/>
      </c>
      <c r="J168">
        <f>IF($U168="","",INDEX('Per Line'!$P$2:$P$501,$U168)&amp;"")</f>
        <v/>
      </c>
      <c r="K168">
        <f>IF($U168="","",Settings!$C$7)</f>
        <v/>
      </c>
      <c r="L168" s="7">
        <f>IF($U168="","",SUMIFS('Per Line'!$M$2:$M$501,'Per Line'!$A$2:$A$501,$B168,'Per Line'!$AA$2:$AA$501,0))</f>
        <v/>
      </c>
      <c r="M168" s="7">
        <f>IF($U168="","",L168*K168)</f>
        <v/>
      </c>
      <c r="N168">
        <f>IF($U168="","",Settings!$C$6)</f>
        <v/>
      </c>
      <c r="O168" s="7">
        <f>IF($U168="","",SUMIFS('Per Line'!$M$2:$M$501,'Per Line'!$A$2:$A$501,$B168,'Per Line'!$AA$2:$AA$501,1))</f>
        <v/>
      </c>
      <c r="P168" s="7">
        <f>IF($U168="","",O168*N168)</f>
        <v/>
      </c>
      <c r="Q168" s="7">
        <f>IF($U168="","",P168+M168)</f>
        <v/>
      </c>
      <c r="R168" s="7">
        <f>IF($U168="","",S168-Q168)</f>
        <v/>
      </c>
      <c r="S168" s="7">
        <f>IF($U168="","",L168+O168)</f>
        <v/>
      </c>
      <c r="T168" s="7">
        <f>IF($U168="","",S168-Q168-G168)</f>
        <v/>
      </c>
      <c r="U168" s="13">
        <f>IF(ROWS($U$2:$U168)&lt;=MAX('Per Line'!$Z$2:$Z$501),MATCH(ROWS($U$2:$U168),'Per Line'!$Z$2:$Z$501,0),"")</f>
        <v/>
      </c>
    </row>
    <row r="169">
      <c r="A169" s="12" t="n"/>
      <c r="B169">
        <f>IF($U169="","",INDEX('Per Line'!$A$2:$A$501,$U169)&amp;"")</f>
        <v/>
      </c>
      <c r="C169">
        <f>IF($U169="","",INDEX('Per Line'!$B$2:$B$501,$U169)&amp;"")</f>
        <v/>
      </c>
      <c r="D169">
        <f>IF($U169="","",INDEX('Per Line'!$C$2:$C$501,$U169)&amp;"")</f>
        <v/>
      </c>
      <c r="E169">
        <f>IF($U169="","",INDEX('Per Line'!$D$2:$D$501,$U169)&amp;"")</f>
        <v/>
      </c>
      <c r="F169">
        <f>IF($U169="","",INDEX('Per Line'!$E$2:$E$501,$U169))</f>
        <v/>
      </c>
      <c r="G169" s="7">
        <f>IF($U169="","",F169*S169/100)</f>
        <v/>
      </c>
      <c r="H169" s="11">
        <f>IF($U169="","",INDEX('Per Line'!$R$2:$R$501,$U169))</f>
        <v/>
      </c>
      <c r="I169">
        <f>IF($U169="","",INDEX('Per Line'!$Q$2:$Q$501,$U169)&amp;"")</f>
        <v/>
      </c>
      <c r="J169">
        <f>IF($U169="","",INDEX('Per Line'!$P$2:$P$501,$U169)&amp;"")</f>
        <v/>
      </c>
      <c r="K169">
        <f>IF($U169="","",Settings!$C$7)</f>
        <v/>
      </c>
      <c r="L169" s="7">
        <f>IF($U169="","",SUMIFS('Per Line'!$M$2:$M$501,'Per Line'!$A$2:$A$501,$B169,'Per Line'!$AA$2:$AA$501,0))</f>
        <v/>
      </c>
      <c r="M169" s="7">
        <f>IF($U169="","",L169*K169)</f>
        <v/>
      </c>
      <c r="N169">
        <f>IF($U169="","",Settings!$C$6)</f>
        <v/>
      </c>
      <c r="O169" s="7">
        <f>IF($U169="","",SUMIFS('Per Line'!$M$2:$M$501,'Per Line'!$A$2:$A$501,$B169,'Per Line'!$AA$2:$AA$501,1))</f>
        <v/>
      </c>
      <c r="P169" s="7">
        <f>IF($U169="","",O169*N169)</f>
        <v/>
      </c>
      <c r="Q169" s="7">
        <f>IF($U169="","",P169+M169)</f>
        <v/>
      </c>
      <c r="R169" s="7">
        <f>IF($U169="","",S169-Q169)</f>
        <v/>
      </c>
      <c r="S169" s="7">
        <f>IF($U169="","",L169+O169)</f>
        <v/>
      </c>
      <c r="T169" s="7">
        <f>IF($U169="","",S169-Q169-G169)</f>
        <v/>
      </c>
      <c r="U169" s="13">
        <f>IF(ROWS($U$2:$U169)&lt;=MAX('Per Line'!$Z$2:$Z$501),MATCH(ROWS($U$2:$U169),'Per Line'!$Z$2:$Z$501,0),"")</f>
        <v/>
      </c>
    </row>
    <row r="170">
      <c r="A170" s="12" t="n"/>
      <c r="B170">
        <f>IF($U170="","",INDEX('Per Line'!$A$2:$A$501,$U170)&amp;"")</f>
        <v/>
      </c>
      <c r="C170">
        <f>IF($U170="","",INDEX('Per Line'!$B$2:$B$501,$U170)&amp;"")</f>
        <v/>
      </c>
      <c r="D170">
        <f>IF($U170="","",INDEX('Per Line'!$C$2:$C$501,$U170)&amp;"")</f>
        <v/>
      </c>
      <c r="E170">
        <f>IF($U170="","",INDEX('Per Line'!$D$2:$D$501,$U170)&amp;"")</f>
        <v/>
      </c>
      <c r="F170">
        <f>IF($U170="","",INDEX('Per Line'!$E$2:$E$501,$U170))</f>
        <v/>
      </c>
      <c r="G170" s="7">
        <f>IF($U170="","",F170*S170/100)</f>
        <v/>
      </c>
      <c r="H170" s="11">
        <f>IF($U170="","",INDEX('Per Line'!$R$2:$R$501,$U170))</f>
        <v/>
      </c>
      <c r="I170">
        <f>IF($U170="","",INDEX('Per Line'!$Q$2:$Q$501,$U170)&amp;"")</f>
        <v/>
      </c>
      <c r="J170">
        <f>IF($U170="","",INDEX('Per Line'!$P$2:$P$501,$U170)&amp;"")</f>
        <v/>
      </c>
      <c r="K170">
        <f>IF($U170="","",Settings!$C$7)</f>
        <v/>
      </c>
      <c r="L170" s="7">
        <f>IF($U170="","",SUMIFS('Per Line'!$M$2:$M$501,'Per Line'!$A$2:$A$501,$B170,'Per Line'!$AA$2:$AA$501,0))</f>
        <v/>
      </c>
      <c r="M170" s="7">
        <f>IF($U170="","",L170*K170)</f>
        <v/>
      </c>
      <c r="N170">
        <f>IF($U170="","",Settings!$C$6)</f>
        <v/>
      </c>
      <c r="O170" s="7">
        <f>IF($U170="","",SUMIFS('Per Line'!$M$2:$M$501,'Per Line'!$A$2:$A$501,$B170,'Per Line'!$AA$2:$AA$501,1))</f>
        <v/>
      </c>
      <c r="P170" s="7">
        <f>IF($U170="","",O170*N170)</f>
        <v/>
      </c>
      <c r="Q170" s="7">
        <f>IF($U170="","",P170+M170)</f>
        <v/>
      </c>
      <c r="R170" s="7">
        <f>IF($U170="","",S170-Q170)</f>
        <v/>
      </c>
      <c r="S170" s="7">
        <f>IF($U170="","",L170+O170)</f>
        <v/>
      </c>
      <c r="T170" s="7">
        <f>IF($U170="","",S170-Q170-G170)</f>
        <v/>
      </c>
      <c r="U170" s="13">
        <f>IF(ROWS($U$2:$U170)&lt;=MAX('Per Line'!$Z$2:$Z$501),MATCH(ROWS($U$2:$U170),'Per Line'!$Z$2:$Z$501,0),"")</f>
        <v/>
      </c>
    </row>
    <row r="171">
      <c r="A171" s="12" t="n"/>
      <c r="B171">
        <f>IF($U171="","",INDEX('Per Line'!$A$2:$A$501,$U171)&amp;"")</f>
        <v/>
      </c>
      <c r="C171">
        <f>IF($U171="","",INDEX('Per Line'!$B$2:$B$501,$U171)&amp;"")</f>
        <v/>
      </c>
      <c r="D171">
        <f>IF($U171="","",INDEX('Per Line'!$C$2:$C$501,$U171)&amp;"")</f>
        <v/>
      </c>
      <c r="E171">
        <f>IF($U171="","",INDEX('Per Line'!$D$2:$D$501,$U171)&amp;"")</f>
        <v/>
      </c>
      <c r="F171">
        <f>IF($U171="","",INDEX('Per Line'!$E$2:$E$501,$U171))</f>
        <v/>
      </c>
      <c r="G171" s="7">
        <f>IF($U171="","",F171*S171/100)</f>
        <v/>
      </c>
      <c r="H171" s="11">
        <f>IF($U171="","",INDEX('Per Line'!$R$2:$R$501,$U171))</f>
        <v/>
      </c>
      <c r="I171">
        <f>IF($U171="","",INDEX('Per Line'!$Q$2:$Q$501,$U171)&amp;"")</f>
        <v/>
      </c>
      <c r="J171">
        <f>IF($U171="","",INDEX('Per Line'!$P$2:$P$501,$U171)&amp;"")</f>
        <v/>
      </c>
      <c r="K171">
        <f>IF($U171="","",Settings!$C$7)</f>
        <v/>
      </c>
      <c r="L171" s="7">
        <f>IF($U171="","",SUMIFS('Per Line'!$M$2:$M$501,'Per Line'!$A$2:$A$501,$B171,'Per Line'!$AA$2:$AA$501,0))</f>
        <v/>
      </c>
      <c r="M171" s="7">
        <f>IF($U171="","",L171*K171)</f>
        <v/>
      </c>
      <c r="N171">
        <f>IF($U171="","",Settings!$C$6)</f>
        <v/>
      </c>
      <c r="O171" s="7">
        <f>IF($U171="","",SUMIFS('Per Line'!$M$2:$M$501,'Per Line'!$A$2:$A$501,$B171,'Per Line'!$AA$2:$AA$501,1))</f>
        <v/>
      </c>
      <c r="P171" s="7">
        <f>IF($U171="","",O171*N171)</f>
        <v/>
      </c>
      <c r="Q171" s="7">
        <f>IF($U171="","",P171+M171)</f>
        <v/>
      </c>
      <c r="R171" s="7">
        <f>IF($U171="","",S171-Q171)</f>
        <v/>
      </c>
      <c r="S171" s="7">
        <f>IF($U171="","",L171+O171)</f>
        <v/>
      </c>
      <c r="T171" s="7">
        <f>IF($U171="","",S171-Q171-G171)</f>
        <v/>
      </c>
      <c r="U171" s="13">
        <f>IF(ROWS($U$2:$U171)&lt;=MAX('Per Line'!$Z$2:$Z$501),MATCH(ROWS($U$2:$U171),'Per Line'!$Z$2:$Z$501,0),"")</f>
        <v/>
      </c>
    </row>
    <row r="172">
      <c r="A172" s="12" t="n"/>
      <c r="B172">
        <f>IF($U172="","",INDEX('Per Line'!$A$2:$A$501,$U172)&amp;"")</f>
        <v/>
      </c>
      <c r="C172">
        <f>IF($U172="","",INDEX('Per Line'!$B$2:$B$501,$U172)&amp;"")</f>
        <v/>
      </c>
      <c r="D172">
        <f>IF($U172="","",INDEX('Per Line'!$C$2:$C$501,$U172)&amp;"")</f>
        <v/>
      </c>
      <c r="E172">
        <f>IF($U172="","",INDEX('Per Line'!$D$2:$D$501,$U172)&amp;"")</f>
        <v/>
      </c>
      <c r="F172">
        <f>IF($U172="","",INDEX('Per Line'!$E$2:$E$501,$U172))</f>
        <v/>
      </c>
      <c r="G172" s="7">
        <f>IF($U172="","",F172*S172/100)</f>
        <v/>
      </c>
      <c r="H172" s="11">
        <f>IF($U172="","",INDEX('Per Line'!$R$2:$R$501,$U172))</f>
        <v/>
      </c>
      <c r="I172">
        <f>IF($U172="","",INDEX('Per Line'!$Q$2:$Q$501,$U172)&amp;"")</f>
        <v/>
      </c>
      <c r="J172">
        <f>IF($U172="","",INDEX('Per Line'!$P$2:$P$501,$U172)&amp;"")</f>
        <v/>
      </c>
      <c r="K172">
        <f>IF($U172="","",Settings!$C$7)</f>
        <v/>
      </c>
      <c r="L172" s="7">
        <f>IF($U172="","",SUMIFS('Per Line'!$M$2:$M$501,'Per Line'!$A$2:$A$501,$B172,'Per Line'!$AA$2:$AA$501,0))</f>
        <v/>
      </c>
      <c r="M172" s="7">
        <f>IF($U172="","",L172*K172)</f>
        <v/>
      </c>
      <c r="N172">
        <f>IF($U172="","",Settings!$C$6)</f>
        <v/>
      </c>
      <c r="O172" s="7">
        <f>IF($U172="","",SUMIFS('Per Line'!$M$2:$M$501,'Per Line'!$A$2:$A$501,$B172,'Per Line'!$AA$2:$AA$501,1))</f>
        <v/>
      </c>
      <c r="P172" s="7">
        <f>IF($U172="","",O172*N172)</f>
        <v/>
      </c>
      <c r="Q172" s="7">
        <f>IF($U172="","",P172+M172)</f>
        <v/>
      </c>
      <c r="R172" s="7">
        <f>IF($U172="","",S172-Q172)</f>
        <v/>
      </c>
      <c r="S172" s="7">
        <f>IF($U172="","",L172+O172)</f>
        <v/>
      </c>
      <c r="T172" s="7">
        <f>IF($U172="","",S172-Q172-G172)</f>
        <v/>
      </c>
      <c r="U172" s="13">
        <f>IF(ROWS($U$2:$U172)&lt;=MAX('Per Line'!$Z$2:$Z$501),MATCH(ROWS($U$2:$U172),'Per Line'!$Z$2:$Z$501,0),"")</f>
        <v/>
      </c>
    </row>
    <row r="173">
      <c r="A173" s="12" t="n"/>
      <c r="B173">
        <f>IF($U173="","",INDEX('Per Line'!$A$2:$A$501,$U173)&amp;"")</f>
        <v/>
      </c>
      <c r="C173">
        <f>IF($U173="","",INDEX('Per Line'!$B$2:$B$501,$U173)&amp;"")</f>
        <v/>
      </c>
      <c r="D173">
        <f>IF($U173="","",INDEX('Per Line'!$C$2:$C$501,$U173)&amp;"")</f>
        <v/>
      </c>
      <c r="E173">
        <f>IF($U173="","",INDEX('Per Line'!$D$2:$D$501,$U173)&amp;"")</f>
        <v/>
      </c>
      <c r="F173">
        <f>IF($U173="","",INDEX('Per Line'!$E$2:$E$501,$U173))</f>
        <v/>
      </c>
      <c r="G173" s="7">
        <f>IF($U173="","",F173*S173/100)</f>
        <v/>
      </c>
      <c r="H173" s="11">
        <f>IF($U173="","",INDEX('Per Line'!$R$2:$R$501,$U173))</f>
        <v/>
      </c>
      <c r="I173">
        <f>IF($U173="","",INDEX('Per Line'!$Q$2:$Q$501,$U173)&amp;"")</f>
        <v/>
      </c>
      <c r="J173">
        <f>IF($U173="","",INDEX('Per Line'!$P$2:$P$501,$U173)&amp;"")</f>
        <v/>
      </c>
      <c r="K173">
        <f>IF($U173="","",Settings!$C$7)</f>
        <v/>
      </c>
      <c r="L173" s="7">
        <f>IF($U173="","",SUMIFS('Per Line'!$M$2:$M$501,'Per Line'!$A$2:$A$501,$B173,'Per Line'!$AA$2:$AA$501,0))</f>
        <v/>
      </c>
      <c r="M173" s="7">
        <f>IF($U173="","",L173*K173)</f>
        <v/>
      </c>
      <c r="N173">
        <f>IF($U173="","",Settings!$C$6)</f>
        <v/>
      </c>
      <c r="O173" s="7">
        <f>IF($U173="","",SUMIFS('Per Line'!$M$2:$M$501,'Per Line'!$A$2:$A$501,$B173,'Per Line'!$AA$2:$AA$501,1))</f>
        <v/>
      </c>
      <c r="P173" s="7">
        <f>IF($U173="","",O173*N173)</f>
        <v/>
      </c>
      <c r="Q173" s="7">
        <f>IF($U173="","",P173+M173)</f>
        <v/>
      </c>
      <c r="R173" s="7">
        <f>IF($U173="","",S173-Q173)</f>
        <v/>
      </c>
      <c r="S173" s="7">
        <f>IF($U173="","",L173+O173)</f>
        <v/>
      </c>
      <c r="T173" s="7">
        <f>IF($U173="","",S173-Q173-G173)</f>
        <v/>
      </c>
      <c r="U173" s="13">
        <f>IF(ROWS($U$2:$U173)&lt;=MAX('Per Line'!$Z$2:$Z$501),MATCH(ROWS($U$2:$U173),'Per Line'!$Z$2:$Z$501,0),"")</f>
        <v/>
      </c>
    </row>
    <row r="174">
      <c r="A174" s="12" t="n"/>
      <c r="B174">
        <f>IF($U174="","",INDEX('Per Line'!$A$2:$A$501,$U174)&amp;"")</f>
        <v/>
      </c>
      <c r="C174">
        <f>IF($U174="","",INDEX('Per Line'!$B$2:$B$501,$U174)&amp;"")</f>
        <v/>
      </c>
      <c r="D174">
        <f>IF($U174="","",INDEX('Per Line'!$C$2:$C$501,$U174)&amp;"")</f>
        <v/>
      </c>
      <c r="E174">
        <f>IF($U174="","",INDEX('Per Line'!$D$2:$D$501,$U174)&amp;"")</f>
        <v/>
      </c>
      <c r="F174">
        <f>IF($U174="","",INDEX('Per Line'!$E$2:$E$501,$U174))</f>
        <v/>
      </c>
      <c r="G174" s="7">
        <f>IF($U174="","",F174*S174/100)</f>
        <v/>
      </c>
      <c r="H174" s="11">
        <f>IF($U174="","",INDEX('Per Line'!$R$2:$R$501,$U174))</f>
        <v/>
      </c>
      <c r="I174">
        <f>IF($U174="","",INDEX('Per Line'!$Q$2:$Q$501,$U174)&amp;"")</f>
        <v/>
      </c>
      <c r="J174">
        <f>IF($U174="","",INDEX('Per Line'!$P$2:$P$501,$U174)&amp;"")</f>
        <v/>
      </c>
      <c r="K174">
        <f>IF($U174="","",Settings!$C$7)</f>
        <v/>
      </c>
      <c r="L174" s="7">
        <f>IF($U174="","",SUMIFS('Per Line'!$M$2:$M$501,'Per Line'!$A$2:$A$501,$B174,'Per Line'!$AA$2:$AA$501,0))</f>
        <v/>
      </c>
      <c r="M174" s="7">
        <f>IF($U174="","",L174*K174)</f>
        <v/>
      </c>
      <c r="N174">
        <f>IF($U174="","",Settings!$C$6)</f>
        <v/>
      </c>
      <c r="O174" s="7">
        <f>IF($U174="","",SUMIFS('Per Line'!$M$2:$M$501,'Per Line'!$A$2:$A$501,$B174,'Per Line'!$AA$2:$AA$501,1))</f>
        <v/>
      </c>
      <c r="P174" s="7">
        <f>IF($U174="","",O174*N174)</f>
        <v/>
      </c>
      <c r="Q174" s="7">
        <f>IF($U174="","",P174+M174)</f>
        <v/>
      </c>
      <c r="R174" s="7">
        <f>IF($U174="","",S174-Q174)</f>
        <v/>
      </c>
      <c r="S174" s="7">
        <f>IF($U174="","",L174+O174)</f>
        <v/>
      </c>
      <c r="T174" s="7">
        <f>IF($U174="","",S174-Q174-G174)</f>
        <v/>
      </c>
      <c r="U174" s="13">
        <f>IF(ROWS($U$2:$U174)&lt;=MAX('Per Line'!$Z$2:$Z$501),MATCH(ROWS($U$2:$U174),'Per Line'!$Z$2:$Z$501,0),"")</f>
        <v/>
      </c>
    </row>
    <row r="175">
      <c r="A175" s="12" t="n"/>
      <c r="B175">
        <f>IF($U175="","",INDEX('Per Line'!$A$2:$A$501,$U175)&amp;"")</f>
        <v/>
      </c>
      <c r="C175">
        <f>IF($U175="","",INDEX('Per Line'!$B$2:$B$501,$U175)&amp;"")</f>
        <v/>
      </c>
      <c r="D175">
        <f>IF($U175="","",INDEX('Per Line'!$C$2:$C$501,$U175)&amp;"")</f>
        <v/>
      </c>
      <c r="E175">
        <f>IF($U175="","",INDEX('Per Line'!$D$2:$D$501,$U175)&amp;"")</f>
        <v/>
      </c>
      <c r="F175">
        <f>IF($U175="","",INDEX('Per Line'!$E$2:$E$501,$U175))</f>
        <v/>
      </c>
      <c r="G175" s="7">
        <f>IF($U175="","",F175*S175/100)</f>
        <v/>
      </c>
      <c r="H175" s="11">
        <f>IF($U175="","",INDEX('Per Line'!$R$2:$R$501,$U175))</f>
        <v/>
      </c>
      <c r="I175">
        <f>IF($U175="","",INDEX('Per Line'!$Q$2:$Q$501,$U175)&amp;"")</f>
        <v/>
      </c>
      <c r="J175">
        <f>IF($U175="","",INDEX('Per Line'!$P$2:$P$501,$U175)&amp;"")</f>
        <v/>
      </c>
      <c r="K175">
        <f>IF($U175="","",Settings!$C$7)</f>
        <v/>
      </c>
      <c r="L175" s="7">
        <f>IF($U175="","",SUMIFS('Per Line'!$M$2:$M$501,'Per Line'!$A$2:$A$501,$B175,'Per Line'!$AA$2:$AA$501,0))</f>
        <v/>
      </c>
      <c r="M175" s="7">
        <f>IF($U175="","",L175*K175)</f>
        <v/>
      </c>
      <c r="N175">
        <f>IF($U175="","",Settings!$C$6)</f>
        <v/>
      </c>
      <c r="O175" s="7">
        <f>IF($U175="","",SUMIFS('Per Line'!$M$2:$M$501,'Per Line'!$A$2:$A$501,$B175,'Per Line'!$AA$2:$AA$501,1))</f>
        <v/>
      </c>
      <c r="P175" s="7">
        <f>IF($U175="","",O175*N175)</f>
        <v/>
      </c>
      <c r="Q175" s="7">
        <f>IF($U175="","",P175+M175)</f>
        <v/>
      </c>
      <c r="R175" s="7">
        <f>IF($U175="","",S175-Q175)</f>
        <v/>
      </c>
      <c r="S175" s="7">
        <f>IF($U175="","",L175+O175)</f>
        <v/>
      </c>
      <c r="T175" s="7">
        <f>IF($U175="","",S175-Q175-G175)</f>
        <v/>
      </c>
      <c r="U175" s="13">
        <f>IF(ROWS($U$2:$U175)&lt;=MAX('Per Line'!$Z$2:$Z$501),MATCH(ROWS($U$2:$U175),'Per Line'!$Z$2:$Z$501,0),"")</f>
        <v/>
      </c>
    </row>
    <row r="176">
      <c r="A176" s="12" t="n"/>
      <c r="B176">
        <f>IF($U176="","",INDEX('Per Line'!$A$2:$A$501,$U176)&amp;"")</f>
        <v/>
      </c>
      <c r="C176">
        <f>IF($U176="","",INDEX('Per Line'!$B$2:$B$501,$U176)&amp;"")</f>
        <v/>
      </c>
      <c r="D176">
        <f>IF($U176="","",INDEX('Per Line'!$C$2:$C$501,$U176)&amp;"")</f>
        <v/>
      </c>
      <c r="E176">
        <f>IF($U176="","",INDEX('Per Line'!$D$2:$D$501,$U176)&amp;"")</f>
        <v/>
      </c>
      <c r="F176">
        <f>IF($U176="","",INDEX('Per Line'!$E$2:$E$501,$U176))</f>
        <v/>
      </c>
      <c r="G176" s="7">
        <f>IF($U176="","",F176*S176/100)</f>
        <v/>
      </c>
      <c r="H176" s="11">
        <f>IF($U176="","",INDEX('Per Line'!$R$2:$R$501,$U176))</f>
        <v/>
      </c>
      <c r="I176">
        <f>IF($U176="","",INDEX('Per Line'!$Q$2:$Q$501,$U176)&amp;"")</f>
        <v/>
      </c>
      <c r="J176">
        <f>IF($U176="","",INDEX('Per Line'!$P$2:$P$501,$U176)&amp;"")</f>
        <v/>
      </c>
      <c r="K176">
        <f>IF($U176="","",Settings!$C$7)</f>
        <v/>
      </c>
      <c r="L176" s="7">
        <f>IF($U176="","",SUMIFS('Per Line'!$M$2:$M$501,'Per Line'!$A$2:$A$501,$B176,'Per Line'!$AA$2:$AA$501,0))</f>
        <v/>
      </c>
      <c r="M176" s="7">
        <f>IF($U176="","",L176*K176)</f>
        <v/>
      </c>
      <c r="N176">
        <f>IF($U176="","",Settings!$C$6)</f>
        <v/>
      </c>
      <c r="O176" s="7">
        <f>IF($U176="","",SUMIFS('Per Line'!$M$2:$M$501,'Per Line'!$A$2:$A$501,$B176,'Per Line'!$AA$2:$AA$501,1))</f>
        <v/>
      </c>
      <c r="P176" s="7">
        <f>IF($U176="","",O176*N176)</f>
        <v/>
      </c>
      <c r="Q176" s="7">
        <f>IF($U176="","",P176+M176)</f>
        <v/>
      </c>
      <c r="R176" s="7">
        <f>IF($U176="","",S176-Q176)</f>
        <v/>
      </c>
      <c r="S176" s="7">
        <f>IF($U176="","",L176+O176)</f>
        <v/>
      </c>
      <c r="T176" s="7">
        <f>IF($U176="","",S176-Q176-G176)</f>
        <v/>
      </c>
      <c r="U176" s="13">
        <f>IF(ROWS($U$2:$U176)&lt;=MAX('Per Line'!$Z$2:$Z$501),MATCH(ROWS($U$2:$U176),'Per Line'!$Z$2:$Z$501,0),"")</f>
        <v/>
      </c>
    </row>
    <row r="177">
      <c r="A177" s="12" t="n"/>
      <c r="B177">
        <f>IF($U177="","",INDEX('Per Line'!$A$2:$A$501,$U177)&amp;"")</f>
        <v/>
      </c>
      <c r="C177">
        <f>IF($U177="","",INDEX('Per Line'!$B$2:$B$501,$U177)&amp;"")</f>
        <v/>
      </c>
      <c r="D177">
        <f>IF($U177="","",INDEX('Per Line'!$C$2:$C$501,$U177)&amp;"")</f>
        <v/>
      </c>
      <c r="E177">
        <f>IF($U177="","",INDEX('Per Line'!$D$2:$D$501,$U177)&amp;"")</f>
        <v/>
      </c>
      <c r="F177">
        <f>IF($U177="","",INDEX('Per Line'!$E$2:$E$501,$U177))</f>
        <v/>
      </c>
      <c r="G177" s="7">
        <f>IF($U177="","",F177*S177/100)</f>
        <v/>
      </c>
      <c r="H177" s="11">
        <f>IF($U177="","",INDEX('Per Line'!$R$2:$R$501,$U177))</f>
        <v/>
      </c>
      <c r="I177">
        <f>IF($U177="","",INDEX('Per Line'!$Q$2:$Q$501,$U177)&amp;"")</f>
        <v/>
      </c>
      <c r="J177">
        <f>IF($U177="","",INDEX('Per Line'!$P$2:$P$501,$U177)&amp;"")</f>
        <v/>
      </c>
      <c r="K177">
        <f>IF($U177="","",Settings!$C$7)</f>
        <v/>
      </c>
      <c r="L177" s="7">
        <f>IF($U177="","",SUMIFS('Per Line'!$M$2:$M$501,'Per Line'!$A$2:$A$501,$B177,'Per Line'!$AA$2:$AA$501,0))</f>
        <v/>
      </c>
      <c r="M177" s="7">
        <f>IF($U177="","",L177*K177)</f>
        <v/>
      </c>
      <c r="N177">
        <f>IF($U177="","",Settings!$C$6)</f>
        <v/>
      </c>
      <c r="O177" s="7">
        <f>IF($U177="","",SUMIFS('Per Line'!$M$2:$M$501,'Per Line'!$A$2:$A$501,$B177,'Per Line'!$AA$2:$AA$501,1))</f>
        <v/>
      </c>
      <c r="P177" s="7">
        <f>IF($U177="","",O177*N177)</f>
        <v/>
      </c>
      <c r="Q177" s="7">
        <f>IF($U177="","",P177+M177)</f>
        <v/>
      </c>
      <c r="R177" s="7">
        <f>IF($U177="","",S177-Q177)</f>
        <v/>
      </c>
      <c r="S177" s="7">
        <f>IF($U177="","",L177+O177)</f>
        <v/>
      </c>
      <c r="T177" s="7">
        <f>IF($U177="","",S177-Q177-G177)</f>
        <v/>
      </c>
      <c r="U177" s="13">
        <f>IF(ROWS($U$2:$U177)&lt;=MAX('Per Line'!$Z$2:$Z$501),MATCH(ROWS($U$2:$U177),'Per Line'!$Z$2:$Z$501,0),"")</f>
        <v/>
      </c>
    </row>
    <row r="178">
      <c r="A178" s="12" t="n"/>
      <c r="B178">
        <f>IF($U178="","",INDEX('Per Line'!$A$2:$A$501,$U178)&amp;"")</f>
        <v/>
      </c>
      <c r="C178">
        <f>IF($U178="","",INDEX('Per Line'!$B$2:$B$501,$U178)&amp;"")</f>
        <v/>
      </c>
      <c r="D178">
        <f>IF($U178="","",INDEX('Per Line'!$C$2:$C$501,$U178)&amp;"")</f>
        <v/>
      </c>
      <c r="E178">
        <f>IF($U178="","",INDEX('Per Line'!$D$2:$D$501,$U178)&amp;"")</f>
        <v/>
      </c>
      <c r="F178">
        <f>IF($U178="","",INDEX('Per Line'!$E$2:$E$501,$U178))</f>
        <v/>
      </c>
      <c r="G178" s="7">
        <f>IF($U178="","",F178*S178/100)</f>
        <v/>
      </c>
      <c r="H178" s="11">
        <f>IF($U178="","",INDEX('Per Line'!$R$2:$R$501,$U178))</f>
        <v/>
      </c>
      <c r="I178">
        <f>IF($U178="","",INDEX('Per Line'!$Q$2:$Q$501,$U178)&amp;"")</f>
        <v/>
      </c>
      <c r="J178">
        <f>IF($U178="","",INDEX('Per Line'!$P$2:$P$501,$U178)&amp;"")</f>
        <v/>
      </c>
      <c r="K178">
        <f>IF($U178="","",Settings!$C$7)</f>
        <v/>
      </c>
      <c r="L178" s="7">
        <f>IF($U178="","",SUMIFS('Per Line'!$M$2:$M$501,'Per Line'!$A$2:$A$501,$B178,'Per Line'!$AA$2:$AA$501,0))</f>
        <v/>
      </c>
      <c r="M178" s="7">
        <f>IF($U178="","",L178*K178)</f>
        <v/>
      </c>
      <c r="N178">
        <f>IF($U178="","",Settings!$C$6)</f>
        <v/>
      </c>
      <c r="O178" s="7">
        <f>IF($U178="","",SUMIFS('Per Line'!$M$2:$M$501,'Per Line'!$A$2:$A$501,$B178,'Per Line'!$AA$2:$AA$501,1))</f>
        <v/>
      </c>
      <c r="P178" s="7">
        <f>IF($U178="","",O178*N178)</f>
        <v/>
      </c>
      <c r="Q178" s="7">
        <f>IF($U178="","",P178+M178)</f>
        <v/>
      </c>
      <c r="R178" s="7">
        <f>IF($U178="","",S178-Q178)</f>
        <v/>
      </c>
      <c r="S178" s="7">
        <f>IF($U178="","",L178+O178)</f>
        <v/>
      </c>
      <c r="T178" s="7">
        <f>IF($U178="","",S178-Q178-G178)</f>
        <v/>
      </c>
      <c r="U178" s="13">
        <f>IF(ROWS($U$2:$U178)&lt;=MAX('Per Line'!$Z$2:$Z$501),MATCH(ROWS($U$2:$U178),'Per Line'!$Z$2:$Z$501,0),"")</f>
        <v/>
      </c>
    </row>
    <row r="179">
      <c r="A179" s="12" t="n"/>
      <c r="B179">
        <f>IF($U179="","",INDEX('Per Line'!$A$2:$A$501,$U179)&amp;"")</f>
        <v/>
      </c>
      <c r="C179">
        <f>IF($U179="","",INDEX('Per Line'!$B$2:$B$501,$U179)&amp;"")</f>
        <v/>
      </c>
      <c r="D179">
        <f>IF($U179="","",INDEX('Per Line'!$C$2:$C$501,$U179)&amp;"")</f>
        <v/>
      </c>
      <c r="E179">
        <f>IF($U179="","",INDEX('Per Line'!$D$2:$D$501,$U179)&amp;"")</f>
        <v/>
      </c>
      <c r="F179">
        <f>IF($U179="","",INDEX('Per Line'!$E$2:$E$501,$U179))</f>
        <v/>
      </c>
      <c r="G179" s="7">
        <f>IF($U179="","",F179*S179/100)</f>
        <v/>
      </c>
      <c r="H179" s="11">
        <f>IF($U179="","",INDEX('Per Line'!$R$2:$R$501,$U179))</f>
        <v/>
      </c>
      <c r="I179">
        <f>IF($U179="","",INDEX('Per Line'!$Q$2:$Q$501,$U179)&amp;"")</f>
        <v/>
      </c>
      <c r="J179">
        <f>IF($U179="","",INDEX('Per Line'!$P$2:$P$501,$U179)&amp;"")</f>
        <v/>
      </c>
      <c r="K179">
        <f>IF($U179="","",Settings!$C$7)</f>
        <v/>
      </c>
      <c r="L179" s="7">
        <f>IF($U179="","",SUMIFS('Per Line'!$M$2:$M$501,'Per Line'!$A$2:$A$501,$B179,'Per Line'!$AA$2:$AA$501,0))</f>
        <v/>
      </c>
      <c r="M179" s="7">
        <f>IF($U179="","",L179*K179)</f>
        <v/>
      </c>
      <c r="N179">
        <f>IF($U179="","",Settings!$C$6)</f>
        <v/>
      </c>
      <c r="O179" s="7">
        <f>IF($U179="","",SUMIFS('Per Line'!$M$2:$M$501,'Per Line'!$A$2:$A$501,$B179,'Per Line'!$AA$2:$AA$501,1))</f>
        <v/>
      </c>
      <c r="P179" s="7">
        <f>IF($U179="","",O179*N179)</f>
        <v/>
      </c>
      <c r="Q179" s="7">
        <f>IF($U179="","",P179+M179)</f>
        <v/>
      </c>
      <c r="R179" s="7">
        <f>IF($U179="","",S179-Q179)</f>
        <v/>
      </c>
      <c r="S179" s="7">
        <f>IF($U179="","",L179+O179)</f>
        <v/>
      </c>
      <c r="T179" s="7">
        <f>IF($U179="","",S179-Q179-G179)</f>
        <v/>
      </c>
      <c r="U179" s="13">
        <f>IF(ROWS($U$2:$U179)&lt;=MAX('Per Line'!$Z$2:$Z$501),MATCH(ROWS($U$2:$U179),'Per Line'!$Z$2:$Z$501,0),"")</f>
        <v/>
      </c>
    </row>
    <row r="180">
      <c r="A180" s="12" t="n"/>
      <c r="B180">
        <f>IF($U180="","",INDEX('Per Line'!$A$2:$A$501,$U180)&amp;"")</f>
        <v/>
      </c>
      <c r="C180">
        <f>IF($U180="","",INDEX('Per Line'!$B$2:$B$501,$U180)&amp;"")</f>
        <v/>
      </c>
      <c r="D180">
        <f>IF($U180="","",INDEX('Per Line'!$C$2:$C$501,$U180)&amp;"")</f>
        <v/>
      </c>
      <c r="E180">
        <f>IF($U180="","",INDEX('Per Line'!$D$2:$D$501,$U180)&amp;"")</f>
        <v/>
      </c>
      <c r="F180">
        <f>IF($U180="","",INDEX('Per Line'!$E$2:$E$501,$U180))</f>
        <v/>
      </c>
      <c r="G180" s="7">
        <f>IF($U180="","",F180*S180/100)</f>
        <v/>
      </c>
      <c r="H180" s="11">
        <f>IF($U180="","",INDEX('Per Line'!$R$2:$R$501,$U180))</f>
        <v/>
      </c>
      <c r="I180">
        <f>IF($U180="","",INDEX('Per Line'!$Q$2:$Q$501,$U180)&amp;"")</f>
        <v/>
      </c>
      <c r="J180">
        <f>IF($U180="","",INDEX('Per Line'!$P$2:$P$501,$U180)&amp;"")</f>
        <v/>
      </c>
      <c r="K180">
        <f>IF($U180="","",Settings!$C$7)</f>
        <v/>
      </c>
      <c r="L180" s="7">
        <f>IF($U180="","",SUMIFS('Per Line'!$M$2:$M$501,'Per Line'!$A$2:$A$501,$B180,'Per Line'!$AA$2:$AA$501,0))</f>
        <v/>
      </c>
      <c r="M180" s="7">
        <f>IF($U180="","",L180*K180)</f>
        <v/>
      </c>
      <c r="N180">
        <f>IF($U180="","",Settings!$C$6)</f>
        <v/>
      </c>
      <c r="O180" s="7">
        <f>IF($U180="","",SUMIFS('Per Line'!$M$2:$M$501,'Per Line'!$A$2:$A$501,$B180,'Per Line'!$AA$2:$AA$501,1))</f>
        <v/>
      </c>
      <c r="P180" s="7">
        <f>IF($U180="","",O180*N180)</f>
        <v/>
      </c>
      <c r="Q180" s="7">
        <f>IF($U180="","",P180+M180)</f>
        <v/>
      </c>
      <c r="R180" s="7">
        <f>IF($U180="","",S180-Q180)</f>
        <v/>
      </c>
      <c r="S180" s="7">
        <f>IF($U180="","",L180+O180)</f>
        <v/>
      </c>
      <c r="T180" s="7">
        <f>IF($U180="","",S180-Q180-G180)</f>
        <v/>
      </c>
      <c r="U180" s="13">
        <f>IF(ROWS($U$2:$U180)&lt;=MAX('Per Line'!$Z$2:$Z$501),MATCH(ROWS($U$2:$U180),'Per Line'!$Z$2:$Z$501,0),"")</f>
        <v/>
      </c>
    </row>
    <row r="181">
      <c r="A181" s="12" t="n"/>
      <c r="B181">
        <f>IF($U181="","",INDEX('Per Line'!$A$2:$A$501,$U181)&amp;"")</f>
        <v/>
      </c>
      <c r="C181">
        <f>IF($U181="","",INDEX('Per Line'!$B$2:$B$501,$U181)&amp;"")</f>
        <v/>
      </c>
      <c r="D181">
        <f>IF($U181="","",INDEX('Per Line'!$C$2:$C$501,$U181)&amp;"")</f>
        <v/>
      </c>
      <c r="E181">
        <f>IF($U181="","",INDEX('Per Line'!$D$2:$D$501,$U181)&amp;"")</f>
        <v/>
      </c>
      <c r="F181">
        <f>IF($U181="","",INDEX('Per Line'!$E$2:$E$501,$U181))</f>
        <v/>
      </c>
      <c r="G181" s="7">
        <f>IF($U181="","",F181*S181/100)</f>
        <v/>
      </c>
      <c r="H181" s="11">
        <f>IF($U181="","",INDEX('Per Line'!$R$2:$R$501,$U181))</f>
        <v/>
      </c>
      <c r="I181">
        <f>IF($U181="","",INDEX('Per Line'!$Q$2:$Q$501,$U181)&amp;"")</f>
        <v/>
      </c>
      <c r="J181">
        <f>IF($U181="","",INDEX('Per Line'!$P$2:$P$501,$U181)&amp;"")</f>
        <v/>
      </c>
      <c r="K181">
        <f>IF($U181="","",Settings!$C$7)</f>
        <v/>
      </c>
      <c r="L181" s="7">
        <f>IF($U181="","",SUMIFS('Per Line'!$M$2:$M$501,'Per Line'!$A$2:$A$501,$B181,'Per Line'!$AA$2:$AA$501,0))</f>
        <v/>
      </c>
      <c r="M181" s="7">
        <f>IF($U181="","",L181*K181)</f>
        <v/>
      </c>
      <c r="N181">
        <f>IF($U181="","",Settings!$C$6)</f>
        <v/>
      </c>
      <c r="O181" s="7">
        <f>IF($U181="","",SUMIFS('Per Line'!$M$2:$M$501,'Per Line'!$A$2:$A$501,$B181,'Per Line'!$AA$2:$AA$501,1))</f>
        <v/>
      </c>
      <c r="P181" s="7">
        <f>IF($U181="","",O181*N181)</f>
        <v/>
      </c>
      <c r="Q181" s="7">
        <f>IF($U181="","",P181+M181)</f>
        <v/>
      </c>
      <c r="R181" s="7">
        <f>IF($U181="","",S181-Q181)</f>
        <v/>
      </c>
      <c r="S181" s="7">
        <f>IF($U181="","",L181+O181)</f>
        <v/>
      </c>
      <c r="T181" s="7">
        <f>IF($U181="","",S181-Q181-G181)</f>
        <v/>
      </c>
      <c r="U181" s="13">
        <f>IF(ROWS($U$2:$U181)&lt;=MAX('Per Line'!$Z$2:$Z$501),MATCH(ROWS($U$2:$U181),'Per Line'!$Z$2:$Z$501,0),"")</f>
        <v/>
      </c>
    </row>
    <row r="182">
      <c r="A182" s="12" t="n"/>
      <c r="B182">
        <f>IF($U182="","",INDEX('Per Line'!$A$2:$A$501,$U182)&amp;"")</f>
        <v/>
      </c>
      <c r="C182">
        <f>IF($U182="","",INDEX('Per Line'!$B$2:$B$501,$U182)&amp;"")</f>
        <v/>
      </c>
      <c r="D182">
        <f>IF($U182="","",INDEX('Per Line'!$C$2:$C$501,$U182)&amp;"")</f>
        <v/>
      </c>
      <c r="E182">
        <f>IF($U182="","",INDEX('Per Line'!$D$2:$D$501,$U182)&amp;"")</f>
        <v/>
      </c>
      <c r="F182">
        <f>IF($U182="","",INDEX('Per Line'!$E$2:$E$501,$U182))</f>
        <v/>
      </c>
      <c r="G182" s="7">
        <f>IF($U182="","",F182*S182/100)</f>
        <v/>
      </c>
      <c r="H182" s="11">
        <f>IF($U182="","",INDEX('Per Line'!$R$2:$R$501,$U182))</f>
        <v/>
      </c>
      <c r="I182">
        <f>IF($U182="","",INDEX('Per Line'!$Q$2:$Q$501,$U182)&amp;"")</f>
        <v/>
      </c>
      <c r="J182">
        <f>IF($U182="","",INDEX('Per Line'!$P$2:$P$501,$U182)&amp;"")</f>
        <v/>
      </c>
      <c r="K182">
        <f>IF($U182="","",Settings!$C$7)</f>
        <v/>
      </c>
      <c r="L182" s="7">
        <f>IF($U182="","",SUMIFS('Per Line'!$M$2:$M$501,'Per Line'!$A$2:$A$501,$B182,'Per Line'!$AA$2:$AA$501,0))</f>
        <v/>
      </c>
      <c r="M182" s="7">
        <f>IF($U182="","",L182*K182)</f>
        <v/>
      </c>
      <c r="N182">
        <f>IF($U182="","",Settings!$C$6)</f>
        <v/>
      </c>
      <c r="O182" s="7">
        <f>IF($U182="","",SUMIFS('Per Line'!$M$2:$M$501,'Per Line'!$A$2:$A$501,$B182,'Per Line'!$AA$2:$AA$501,1))</f>
        <v/>
      </c>
      <c r="P182" s="7">
        <f>IF($U182="","",O182*N182)</f>
        <v/>
      </c>
      <c r="Q182" s="7">
        <f>IF($U182="","",P182+M182)</f>
        <v/>
      </c>
      <c r="R182" s="7">
        <f>IF($U182="","",S182-Q182)</f>
        <v/>
      </c>
      <c r="S182" s="7">
        <f>IF($U182="","",L182+O182)</f>
        <v/>
      </c>
      <c r="T182" s="7">
        <f>IF($U182="","",S182-Q182-G182)</f>
        <v/>
      </c>
      <c r="U182" s="13">
        <f>IF(ROWS($U$2:$U182)&lt;=MAX('Per Line'!$Z$2:$Z$501),MATCH(ROWS($U$2:$U182),'Per Line'!$Z$2:$Z$501,0),"")</f>
        <v/>
      </c>
    </row>
    <row r="183">
      <c r="A183" s="12" t="n"/>
      <c r="B183">
        <f>IF($U183="","",INDEX('Per Line'!$A$2:$A$501,$U183)&amp;"")</f>
        <v/>
      </c>
      <c r="C183">
        <f>IF($U183="","",INDEX('Per Line'!$B$2:$B$501,$U183)&amp;"")</f>
        <v/>
      </c>
      <c r="D183">
        <f>IF($U183="","",INDEX('Per Line'!$C$2:$C$501,$U183)&amp;"")</f>
        <v/>
      </c>
      <c r="E183">
        <f>IF($U183="","",INDEX('Per Line'!$D$2:$D$501,$U183)&amp;"")</f>
        <v/>
      </c>
      <c r="F183">
        <f>IF($U183="","",INDEX('Per Line'!$E$2:$E$501,$U183))</f>
        <v/>
      </c>
      <c r="G183" s="7">
        <f>IF($U183="","",F183*S183/100)</f>
        <v/>
      </c>
      <c r="H183" s="11">
        <f>IF($U183="","",INDEX('Per Line'!$R$2:$R$501,$U183))</f>
        <v/>
      </c>
      <c r="I183">
        <f>IF($U183="","",INDEX('Per Line'!$Q$2:$Q$501,$U183)&amp;"")</f>
        <v/>
      </c>
      <c r="J183">
        <f>IF($U183="","",INDEX('Per Line'!$P$2:$P$501,$U183)&amp;"")</f>
        <v/>
      </c>
      <c r="K183">
        <f>IF($U183="","",Settings!$C$7)</f>
        <v/>
      </c>
      <c r="L183" s="7">
        <f>IF($U183="","",SUMIFS('Per Line'!$M$2:$M$501,'Per Line'!$A$2:$A$501,$B183,'Per Line'!$AA$2:$AA$501,0))</f>
        <v/>
      </c>
      <c r="M183" s="7">
        <f>IF($U183="","",L183*K183)</f>
        <v/>
      </c>
      <c r="N183">
        <f>IF($U183="","",Settings!$C$6)</f>
        <v/>
      </c>
      <c r="O183" s="7">
        <f>IF($U183="","",SUMIFS('Per Line'!$M$2:$M$501,'Per Line'!$A$2:$A$501,$B183,'Per Line'!$AA$2:$AA$501,1))</f>
        <v/>
      </c>
      <c r="P183" s="7">
        <f>IF($U183="","",O183*N183)</f>
        <v/>
      </c>
      <c r="Q183" s="7">
        <f>IF($U183="","",P183+M183)</f>
        <v/>
      </c>
      <c r="R183" s="7">
        <f>IF($U183="","",S183-Q183)</f>
        <v/>
      </c>
      <c r="S183" s="7">
        <f>IF($U183="","",L183+O183)</f>
        <v/>
      </c>
      <c r="T183" s="7">
        <f>IF($U183="","",S183-Q183-G183)</f>
        <v/>
      </c>
      <c r="U183" s="13">
        <f>IF(ROWS($U$2:$U183)&lt;=MAX('Per Line'!$Z$2:$Z$501),MATCH(ROWS($U$2:$U183),'Per Line'!$Z$2:$Z$501,0),"")</f>
        <v/>
      </c>
    </row>
    <row r="184">
      <c r="A184" s="12" t="n"/>
      <c r="B184">
        <f>IF($U184="","",INDEX('Per Line'!$A$2:$A$501,$U184)&amp;"")</f>
        <v/>
      </c>
      <c r="C184">
        <f>IF($U184="","",INDEX('Per Line'!$B$2:$B$501,$U184)&amp;"")</f>
        <v/>
      </c>
      <c r="D184">
        <f>IF($U184="","",INDEX('Per Line'!$C$2:$C$501,$U184)&amp;"")</f>
        <v/>
      </c>
      <c r="E184">
        <f>IF($U184="","",INDEX('Per Line'!$D$2:$D$501,$U184)&amp;"")</f>
        <v/>
      </c>
      <c r="F184">
        <f>IF($U184="","",INDEX('Per Line'!$E$2:$E$501,$U184))</f>
        <v/>
      </c>
      <c r="G184" s="7">
        <f>IF($U184="","",F184*S184/100)</f>
        <v/>
      </c>
      <c r="H184" s="11">
        <f>IF($U184="","",INDEX('Per Line'!$R$2:$R$501,$U184))</f>
        <v/>
      </c>
      <c r="I184">
        <f>IF($U184="","",INDEX('Per Line'!$Q$2:$Q$501,$U184)&amp;"")</f>
        <v/>
      </c>
      <c r="J184">
        <f>IF($U184="","",INDEX('Per Line'!$P$2:$P$501,$U184)&amp;"")</f>
        <v/>
      </c>
      <c r="K184">
        <f>IF($U184="","",Settings!$C$7)</f>
        <v/>
      </c>
      <c r="L184" s="7">
        <f>IF($U184="","",SUMIFS('Per Line'!$M$2:$M$501,'Per Line'!$A$2:$A$501,$B184,'Per Line'!$AA$2:$AA$501,0))</f>
        <v/>
      </c>
      <c r="M184" s="7">
        <f>IF($U184="","",L184*K184)</f>
        <v/>
      </c>
      <c r="N184">
        <f>IF($U184="","",Settings!$C$6)</f>
        <v/>
      </c>
      <c r="O184" s="7">
        <f>IF($U184="","",SUMIFS('Per Line'!$M$2:$M$501,'Per Line'!$A$2:$A$501,$B184,'Per Line'!$AA$2:$AA$501,1))</f>
        <v/>
      </c>
      <c r="P184" s="7">
        <f>IF($U184="","",O184*N184)</f>
        <v/>
      </c>
      <c r="Q184" s="7">
        <f>IF($U184="","",P184+M184)</f>
        <v/>
      </c>
      <c r="R184" s="7">
        <f>IF($U184="","",S184-Q184)</f>
        <v/>
      </c>
      <c r="S184" s="7">
        <f>IF($U184="","",L184+O184)</f>
        <v/>
      </c>
      <c r="T184" s="7">
        <f>IF($U184="","",S184-Q184-G184)</f>
        <v/>
      </c>
      <c r="U184" s="13">
        <f>IF(ROWS($U$2:$U184)&lt;=MAX('Per Line'!$Z$2:$Z$501),MATCH(ROWS($U$2:$U184),'Per Line'!$Z$2:$Z$501,0),"")</f>
        <v/>
      </c>
    </row>
    <row r="185">
      <c r="A185" s="12" t="n"/>
      <c r="B185">
        <f>IF($U185="","",INDEX('Per Line'!$A$2:$A$501,$U185)&amp;"")</f>
        <v/>
      </c>
      <c r="C185">
        <f>IF($U185="","",INDEX('Per Line'!$B$2:$B$501,$U185)&amp;"")</f>
        <v/>
      </c>
      <c r="D185">
        <f>IF($U185="","",INDEX('Per Line'!$C$2:$C$501,$U185)&amp;"")</f>
        <v/>
      </c>
      <c r="E185">
        <f>IF($U185="","",INDEX('Per Line'!$D$2:$D$501,$U185)&amp;"")</f>
        <v/>
      </c>
      <c r="F185">
        <f>IF($U185="","",INDEX('Per Line'!$E$2:$E$501,$U185))</f>
        <v/>
      </c>
      <c r="G185" s="7">
        <f>IF($U185="","",F185*S185/100)</f>
        <v/>
      </c>
      <c r="H185" s="11">
        <f>IF($U185="","",INDEX('Per Line'!$R$2:$R$501,$U185))</f>
        <v/>
      </c>
      <c r="I185">
        <f>IF($U185="","",INDEX('Per Line'!$Q$2:$Q$501,$U185)&amp;"")</f>
        <v/>
      </c>
      <c r="J185">
        <f>IF($U185="","",INDEX('Per Line'!$P$2:$P$501,$U185)&amp;"")</f>
        <v/>
      </c>
      <c r="K185">
        <f>IF($U185="","",Settings!$C$7)</f>
        <v/>
      </c>
      <c r="L185" s="7">
        <f>IF($U185="","",SUMIFS('Per Line'!$M$2:$M$501,'Per Line'!$A$2:$A$501,$B185,'Per Line'!$AA$2:$AA$501,0))</f>
        <v/>
      </c>
      <c r="M185" s="7">
        <f>IF($U185="","",L185*K185)</f>
        <v/>
      </c>
      <c r="N185">
        <f>IF($U185="","",Settings!$C$6)</f>
        <v/>
      </c>
      <c r="O185" s="7">
        <f>IF($U185="","",SUMIFS('Per Line'!$M$2:$M$501,'Per Line'!$A$2:$A$501,$B185,'Per Line'!$AA$2:$AA$501,1))</f>
        <v/>
      </c>
      <c r="P185" s="7">
        <f>IF($U185="","",O185*N185)</f>
        <v/>
      </c>
      <c r="Q185" s="7">
        <f>IF($U185="","",P185+M185)</f>
        <v/>
      </c>
      <c r="R185" s="7">
        <f>IF($U185="","",S185-Q185)</f>
        <v/>
      </c>
      <c r="S185" s="7">
        <f>IF($U185="","",L185+O185)</f>
        <v/>
      </c>
      <c r="T185" s="7">
        <f>IF($U185="","",S185-Q185-G185)</f>
        <v/>
      </c>
      <c r="U185" s="13">
        <f>IF(ROWS($U$2:$U185)&lt;=MAX('Per Line'!$Z$2:$Z$501),MATCH(ROWS($U$2:$U185),'Per Line'!$Z$2:$Z$501,0),"")</f>
        <v/>
      </c>
    </row>
    <row r="186">
      <c r="A186" s="12" t="n"/>
      <c r="B186">
        <f>IF($U186="","",INDEX('Per Line'!$A$2:$A$501,$U186)&amp;"")</f>
        <v/>
      </c>
      <c r="C186">
        <f>IF($U186="","",INDEX('Per Line'!$B$2:$B$501,$U186)&amp;"")</f>
        <v/>
      </c>
      <c r="D186">
        <f>IF($U186="","",INDEX('Per Line'!$C$2:$C$501,$U186)&amp;"")</f>
        <v/>
      </c>
      <c r="E186">
        <f>IF($U186="","",INDEX('Per Line'!$D$2:$D$501,$U186)&amp;"")</f>
        <v/>
      </c>
      <c r="F186">
        <f>IF($U186="","",INDEX('Per Line'!$E$2:$E$501,$U186))</f>
        <v/>
      </c>
      <c r="G186" s="7">
        <f>IF($U186="","",F186*S186/100)</f>
        <v/>
      </c>
      <c r="H186" s="11">
        <f>IF($U186="","",INDEX('Per Line'!$R$2:$R$501,$U186))</f>
        <v/>
      </c>
      <c r="I186">
        <f>IF($U186="","",INDEX('Per Line'!$Q$2:$Q$501,$U186)&amp;"")</f>
        <v/>
      </c>
      <c r="J186">
        <f>IF($U186="","",INDEX('Per Line'!$P$2:$P$501,$U186)&amp;"")</f>
        <v/>
      </c>
      <c r="K186">
        <f>IF($U186="","",Settings!$C$7)</f>
        <v/>
      </c>
      <c r="L186" s="7">
        <f>IF($U186="","",SUMIFS('Per Line'!$M$2:$M$501,'Per Line'!$A$2:$A$501,$B186,'Per Line'!$AA$2:$AA$501,0))</f>
        <v/>
      </c>
      <c r="M186" s="7">
        <f>IF($U186="","",L186*K186)</f>
        <v/>
      </c>
      <c r="N186">
        <f>IF($U186="","",Settings!$C$6)</f>
        <v/>
      </c>
      <c r="O186" s="7">
        <f>IF($U186="","",SUMIFS('Per Line'!$M$2:$M$501,'Per Line'!$A$2:$A$501,$B186,'Per Line'!$AA$2:$AA$501,1))</f>
        <v/>
      </c>
      <c r="P186" s="7">
        <f>IF($U186="","",O186*N186)</f>
        <v/>
      </c>
      <c r="Q186" s="7">
        <f>IF($U186="","",P186+M186)</f>
        <v/>
      </c>
      <c r="R186" s="7">
        <f>IF($U186="","",S186-Q186)</f>
        <v/>
      </c>
      <c r="S186" s="7">
        <f>IF($U186="","",L186+O186)</f>
        <v/>
      </c>
      <c r="T186" s="7">
        <f>IF($U186="","",S186-Q186-G186)</f>
        <v/>
      </c>
      <c r="U186" s="13">
        <f>IF(ROWS($U$2:$U186)&lt;=MAX('Per Line'!$Z$2:$Z$501),MATCH(ROWS($U$2:$U186),'Per Line'!$Z$2:$Z$501,0),"")</f>
        <v/>
      </c>
    </row>
    <row r="187">
      <c r="A187" s="12" t="n"/>
      <c r="B187">
        <f>IF($U187="","",INDEX('Per Line'!$A$2:$A$501,$U187)&amp;"")</f>
        <v/>
      </c>
      <c r="C187">
        <f>IF($U187="","",INDEX('Per Line'!$B$2:$B$501,$U187)&amp;"")</f>
        <v/>
      </c>
      <c r="D187">
        <f>IF($U187="","",INDEX('Per Line'!$C$2:$C$501,$U187)&amp;"")</f>
        <v/>
      </c>
      <c r="E187">
        <f>IF($U187="","",INDEX('Per Line'!$D$2:$D$501,$U187)&amp;"")</f>
        <v/>
      </c>
      <c r="F187">
        <f>IF($U187="","",INDEX('Per Line'!$E$2:$E$501,$U187))</f>
        <v/>
      </c>
      <c r="G187" s="7">
        <f>IF($U187="","",F187*S187/100)</f>
        <v/>
      </c>
      <c r="H187" s="11">
        <f>IF($U187="","",INDEX('Per Line'!$R$2:$R$501,$U187))</f>
        <v/>
      </c>
      <c r="I187">
        <f>IF($U187="","",INDEX('Per Line'!$Q$2:$Q$501,$U187)&amp;"")</f>
        <v/>
      </c>
      <c r="J187">
        <f>IF($U187="","",INDEX('Per Line'!$P$2:$P$501,$U187)&amp;"")</f>
        <v/>
      </c>
      <c r="K187">
        <f>IF($U187="","",Settings!$C$7)</f>
        <v/>
      </c>
      <c r="L187" s="7">
        <f>IF($U187="","",SUMIFS('Per Line'!$M$2:$M$501,'Per Line'!$A$2:$A$501,$B187,'Per Line'!$AA$2:$AA$501,0))</f>
        <v/>
      </c>
      <c r="M187" s="7">
        <f>IF($U187="","",L187*K187)</f>
        <v/>
      </c>
      <c r="N187">
        <f>IF($U187="","",Settings!$C$6)</f>
        <v/>
      </c>
      <c r="O187" s="7">
        <f>IF($U187="","",SUMIFS('Per Line'!$M$2:$M$501,'Per Line'!$A$2:$A$501,$B187,'Per Line'!$AA$2:$AA$501,1))</f>
        <v/>
      </c>
      <c r="P187" s="7">
        <f>IF($U187="","",O187*N187)</f>
        <v/>
      </c>
      <c r="Q187" s="7">
        <f>IF($U187="","",P187+M187)</f>
        <v/>
      </c>
      <c r="R187" s="7">
        <f>IF($U187="","",S187-Q187)</f>
        <v/>
      </c>
      <c r="S187" s="7">
        <f>IF($U187="","",L187+O187)</f>
        <v/>
      </c>
      <c r="T187" s="7">
        <f>IF($U187="","",S187-Q187-G187)</f>
        <v/>
      </c>
      <c r="U187" s="13">
        <f>IF(ROWS($U$2:$U187)&lt;=MAX('Per Line'!$Z$2:$Z$501),MATCH(ROWS($U$2:$U187),'Per Line'!$Z$2:$Z$501,0),"")</f>
        <v/>
      </c>
    </row>
    <row r="188">
      <c r="A188" s="12" t="n"/>
      <c r="B188">
        <f>IF($U188="","",INDEX('Per Line'!$A$2:$A$501,$U188)&amp;"")</f>
        <v/>
      </c>
      <c r="C188">
        <f>IF($U188="","",INDEX('Per Line'!$B$2:$B$501,$U188)&amp;"")</f>
        <v/>
      </c>
      <c r="D188">
        <f>IF($U188="","",INDEX('Per Line'!$C$2:$C$501,$U188)&amp;"")</f>
        <v/>
      </c>
      <c r="E188">
        <f>IF($U188="","",INDEX('Per Line'!$D$2:$D$501,$U188)&amp;"")</f>
        <v/>
      </c>
      <c r="F188">
        <f>IF($U188="","",INDEX('Per Line'!$E$2:$E$501,$U188))</f>
        <v/>
      </c>
      <c r="G188" s="7">
        <f>IF($U188="","",F188*S188/100)</f>
        <v/>
      </c>
      <c r="H188" s="11">
        <f>IF($U188="","",INDEX('Per Line'!$R$2:$R$501,$U188))</f>
        <v/>
      </c>
      <c r="I188">
        <f>IF($U188="","",INDEX('Per Line'!$Q$2:$Q$501,$U188)&amp;"")</f>
        <v/>
      </c>
      <c r="J188">
        <f>IF($U188="","",INDEX('Per Line'!$P$2:$P$501,$U188)&amp;"")</f>
        <v/>
      </c>
      <c r="K188">
        <f>IF($U188="","",Settings!$C$7)</f>
        <v/>
      </c>
      <c r="L188" s="7">
        <f>IF($U188="","",SUMIFS('Per Line'!$M$2:$M$501,'Per Line'!$A$2:$A$501,$B188,'Per Line'!$AA$2:$AA$501,0))</f>
        <v/>
      </c>
      <c r="M188" s="7">
        <f>IF($U188="","",L188*K188)</f>
        <v/>
      </c>
      <c r="N188">
        <f>IF($U188="","",Settings!$C$6)</f>
        <v/>
      </c>
      <c r="O188" s="7">
        <f>IF($U188="","",SUMIFS('Per Line'!$M$2:$M$501,'Per Line'!$A$2:$A$501,$B188,'Per Line'!$AA$2:$AA$501,1))</f>
        <v/>
      </c>
      <c r="P188" s="7">
        <f>IF($U188="","",O188*N188)</f>
        <v/>
      </c>
      <c r="Q188" s="7">
        <f>IF($U188="","",P188+M188)</f>
        <v/>
      </c>
      <c r="R188" s="7">
        <f>IF($U188="","",S188-Q188)</f>
        <v/>
      </c>
      <c r="S188" s="7">
        <f>IF($U188="","",L188+O188)</f>
        <v/>
      </c>
      <c r="T188" s="7">
        <f>IF($U188="","",S188-Q188-G188)</f>
        <v/>
      </c>
      <c r="U188" s="13">
        <f>IF(ROWS($U$2:$U188)&lt;=MAX('Per Line'!$Z$2:$Z$501),MATCH(ROWS($U$2:$U188),'Per Line'!$Z$2:$Z$501,0),"")</f>
        <v/>
      </c>
    </row>
    <row r="189">
      <c r="A189" s="12" t="n"/>
      <c r="B189">
        <f>IF($U189="","",INDEX('Per Line'!$A$2:$A$501,$U189)&amp;"")</f>
        <v/>
      </c>
      <c r="C189">
        <f>IF($U189="","",INDEX('Per Line'!$B$2:$B$501,$U189)&amp;"")</f>
        <v/>
      </c>
      <c r="D189">
        <f>IF($U189="","",INDEX('Per Line'!$C$2:$C$501,$U189)&amp;"")</f>
        <v/>
      </c>
      <c r="E189">
        <f>IF($U189="","",INDEX('Per Line'!$D$2:$D$501,$U189)&amp;"")</f>
        <v/>
      </c>
      <c r="F189">
        <f>IF($U189="","",INDEX('Per Line'!$E$2:$E$501,$U189))</f>
        <v/>
      </c>
      <c r="G189" s="7">
        <f>IF($U189="","",F189*S189/100)</f>
        <v/>
      </c>
      <c r="H189" s="11">
        <f>IF($U189="","",INDEX('Per Line'!$R$2:$R$501,$U189))</f>
        <v/>
      </c>
      <c r="I189">
        <f>IF($U189="","",INDEX('Per Line'!$Q$2:$Q$501,$U189)&amp;"")</f>
        <v/>
      </c>
      <c r="J189">
        <f>IF($U189="","",INDEX('Per Line'!$P$2:$P$501,$U189)&amp;"")</f>
        <v/>
      </c>
      <c r="K189">
        <f>IF($U189="","",Settings!$C$7)</f>
        <v/>
      </c>
      <c r="L189" s="7">
        <f>IF($U189="","",SUMIFS('Per Line'!$M$2:$M$501,'Per Line'!$A$2:$A$501,$B189,'Per Line'!$AA$2:$AA$501,0))</f>
        <v/>
      </c>
      <c r="M189" s="7">
        <f>IF($U189="","",L189*K189)</f>
        <v/>
      </c>
      <c r="N189">
        <f>IF($U189="","",Settings!$C$6)</f>
        <v/>
      </c>
      <c r="O189" s="7">
        <f>IF($U189="","",SUMIFS('Per Line'!$M$2:$M$501,'Per Line'!$A$2:$A$501,$B189,'Per Line'!$AA$2:$AA$501,1))</f>
        <v/>
      </c>
      <c r="P189" s="7">
        <f>IF($U189="","",O189*N189)</f>
        <v/>
      </c>
      <c r="Q189" s="7">
        <f>IF($U189="","",P189+M189)</f>
        <v/>
      </c>
      <c r="R189" s="7">
        <f>IF($U189="","",S189-Q189)</f>
        <v/>
      </c>
      <c r="S189" s="7">
        <f>IF($U189="","",L189+O189)</f>
        <v/>
      </c>
      <c r="T189" s="7">
        <f>IF($U189="","",S189-Q189-G189)</f>
        <v/>
      </c>
      <c r="U189" s="13">
        <f>IF(ROWS($U$2:$U189)&lt;=MAX('Per Line'!$Z$2:$Z$501),MATCH(ROWS($U$2:$U189),'Per Line'!$Z$2:$Z$501,0),"")</f>
        <v/>
      </c>
    </row>
    <row r="190">
      <c r="A190" s="12" t="n"/>
      <c r="B190">
        <f>IF($U190="","",INDEX('Per Line'!$A$2:$A$501,$U190)&amp;"")</f>
        <v/>
      </c>
      <c r="C190">
        <f>IF($U190="","",INDEX('Per Line'!$B$2:$B$501,$U190)&amp;"")</f>
        <v/>
      </c>
      <c r="D190">
        <f>IF($U190="","",INDEX('Per Line'!$C$2:$C$501,$U190)&amp;"")</f>
        <v/>
      </c>
      <c r="E190">
        <f>IF($U190="","",INDEX('Per Line'!$D$2:$D$501,$U190)&amp;"")</f>
        <v/>
      </c>
      <c r="F190">
        <f>IF($U190="","",INDEX('Per Line'!$E$2:$E$501,$U190))</f>
        <v/>
      </c>
      <c r="G190" s="7">
        <f>IF($U190="","",F190*S190/100)</f>
        <v/>
      </c>
      <c r="H190" s="11">
        <f>IF($U190="","",INDEX('Per Line'!$R$2:$R$501,$U190))</f>
        <v/>
      </c>
      <c r="I190">
        <f>IF($U190="","",INDEX('Per Line'!$Q$2:$Q$501,$U190)&amp;"")</f>
        <v/>
      </c>
      <c r="J190">
        <f>IF($U190="","",INDEX('Per Line'!$P$2:$P$501,$U190)&amp;"")</f>
        <v/>
      </c>
      <c r="K190">
        <f>IF($U190="","",Settings!$C$7)</f>
        <v/>
      </c>
      <c r="L190" s="7">
        <f>IF($U190="","",SUMIFS('Per Line'!$M$2:$M$501,'Per Line'!$A$2:$A$501,$B190,'Per Line'!$AA$2:$AA$501,0))</f>
        <v/>
      </c>
      <c r="M190" s="7">
        <f>IF($U190="","",L190*K190)</f>
        <v/>
      </c>
      <c r="N190">
        <f>IF($U190="","",Settings!$C$6)</f>
        <v/>
      </c>
      <c r="O190" s="7">
        <f>IF($U190="","",SUMIFS('Per Line'!$M$2:$M$501,'Per Line'!$A$2:$A$501,$B190,'Per Line'!$AA$2:$AA$501,1))</f>
        <v/>
      </c>
      <c r="P190" s="7">
        <f>IF($U190="","",O190*N190)</f>
        <v/>
      </c>
      <c r="Q190" s="7">
        <f>IF($U190="","",P190+M190)</f>
        <v/>
      </c>
      <c r="R190" s="7">
        <f>IF($U190="","",S190-Q190)</f>
        <v/>
      </c>
      <c r="S190" s="7">
        <f>IF($U190="","",L190+O190)</f>
        <v/>
      </c>
      <c r="T190" s="7">
        <f>IF($U190="","",S190-Q190-G190)</f>
        <v/>
      </c>
      <c r="U190" s="13">
        <f>IF(ROWS($U$2:$U190)&lt;=MAX('Per Line'!$Z$2:$Z$501),MATCH(ROWS($U$2:$U190),'Per Line'!$Z$2:$Z$501,0),"")</f>
        <v/>
      </c>
    </row>
    <row r="191">
      <c r="A191" s="12" t="n"/>
      <c r="B191">
        <f>IF($U191="","",INDEX('Per Line'!$A$2:$A$501,$U191)&amp;"")</f>
        <v/>
      </c>
      <c r="C191">
        <f>IF($U191="","",INDEX('Per Line'!$B$2:$B$501,$U191)&amp;"")</f>
        <v/>
      </c>
      <c r="D191">
        <f>IF($U191="","",INDEX('Per Line'!$C$2:$C$501,$U191)&amp;"")</f>
        <v/>
      </c>
      <c r="E191">
        <f>IF($U191="","",INDEX('Per Line'!$D$2:$D$501,$U191)&amp;"")</f>
        <v/>
      </c>
      <c r="F191">
        <f>IF($U191="","",INDEX('Per Line'!$E$2:$E$501,$U191))</f>
        <v/>
      </c>
      <c r="G191" s="7">
        <f>IF($U191="","",F191*S191/100)</f>
        <v/>
      </c>
      <c r="H191" s="11">
        <f>IF($U191="","",INDEX('Per Line'!$R$2:$R$501,$U191))</f>
        <v/>
      </c>
      <c r="I191">
        <f>IF($U191="","",INDEX('Per Line'!$Q$2:$Q$501,$U191)&amp;"")</f>
        <v/>
      </c>
      <c r="J191">
        <f>IF($U191="","",INDEX('Per Line'!$P$2:$P$501,$U191)&amp;"")</f>
        <v/>
      </c>
      <c r="K191">
        <f>IF($U191="","",Settings!$C$7)</f>
        <v/>
      </c>
      <c r="L191" s="7">
        <f>IF($U191="","",SUMIFS('Per Line'!$M$2:$M$501,'Per Line'!$A$2:$A$501,$B191,'Per Line'!$AA$2:$AA$501,0))</f>
        <v/>
      </c>
      <c r="M191" s="7">
        <f>IF($U191="","",L191*K191)</f>
        <v/>
      </c>
      <c r="N191">
        <f>IF($U191="","",Settings!$C$6)</f>
        <v/>
      </c>
      <c r="O191" s="7">
        <f>IF($U191="","",SUMIFS('Per Line'!$M$2:$M$501,'Per Line'!$A$2:$A$501,$B191,'Per Line'!$AA$2:$AA$501,1))</f>
        <v/>
      </c>
      <c r="P191" s="7">
        <f>IF($U191="","",O191*N191)</f>
        <v/>
      </c>
      <c r="Q191" s="7">
        <f>IF($U191="","",P191+M191)</f>
        <v/>
      </c>
      <c r="R191" s="7">
        <f>IF($U191="","",S191-Q191)</f>
        <v/>
      </c>
      <c r="S191" s="7">
        <f>IF($U191="","",L191+O191)</f>
        <v/>
      </c>
      <c r="T191" s="7">
        <f>IF($U191="","",S191-Q191-G191)</f>
        <v/>
      </c>
      <c r="U191" s="13">
        <f>IF(ROWS($U$2:$U191)&lt;=MAX('Per Line'!$Z$2:$Z$501),MATCH(ROWS($U$2:$U191),'Per Line'!$Z$2:$Z$501,0),"")</f>
        <v/>
      </c>
    </row>
    <row r="192">
      <c r="A192" s="12" t="n"/>
      <c r="B192">
        <f>IF($U192="","",INDEX('Per Line'!$A$2:$A$501,$U192)&amp;"")</f>
        <v/>
      </c>
      <c r="C192">
        <f>IF($U192="","",INDEX('Per Line'!$B$2:$B$501,$U192)&amp;"")</f>
        <v/>
      </c>
      <c r="D192">
        <f>IF($U192="","",INDEX('Per Line'!$C$2:$C$501,$U192)&amp;"")</f>
        <v/>
      </c>
      <c r="E192">
        <f>IF($U192="","",INDEX('Per Line'!$D$2:$D$501,$U192)&amp;"")</f>
        <v/>
      </c>
      <c r="F192">
        <f>IF($U192="","",INDEX('Per Line'!$E$2:$E$501,$U192))</f>
        <v/>
      </c>
      <c r="G192" s="7">
        <f>IF($U192="","",F192*S192/100)</f>
        <v/>
      </c>
      <c r="H192" s="11">
        <f>IF($U192="","",INDEX('Per Line'!$R$2:$R$501,$U192))</f>
        <v/>
      </c>
      <c r="I192">
        <f>IF($U192="","",INDEX('Per Line'!$Q$2:$Q$501,$U192)&amp;"")</f>
        <v/>
      </c>
      <c r="J192">
        <f>IF($U192="","",INDEX('Per Line'!$P$2:$P$501,$U192)&amp;"")</f>
        <v/>
      </c>
      <c r="K192">
        <f>IF($U192="","",Settings!$C$7)</f>
        <v/>
      </c>
      <c r="L192" s="7">
        <f>IF($U192="","",SUMIFS('Per Line'!$M$2:$M$501,'Per Line'!$A$2:$A$501,$B192,'Per Line'!$AA$2:$AA$501,0))</f>
        <v/>
      </c>
      <c r="M192" s="7">
        <f>IF($U192="","",L192*K192)</f>
        <v/>
      </c>
      <c r="N192">
        <f>IF($U192="","",Settings!$C$6)</f>
        <v/>
      </c>
      <c r="O192" s="7">
        <f>IF($U192="","",SUMIFS('Per Line'!$M$2:$M$501,'Per Line'!$A$2:$A$501,$B192,'Per Line'!$AA$2:$AA$501,1))</f>
        <v/>
      </c>
      <c r="P192" s="7">
        <f>IF($U192="","",O192*N192)</f>
        <v/>
      </c>
      <c r="Q192" s="7">
        <f>IF($U192="","",P192+M192)</f>
        <v/>
      </c>
      <c r="R192" s="7">
        <f>IF($U192="","",S192-Q192)</f>
        <v/>
      </c>
      <c r="S192" s="7">
        <f>IF($U192="","",L192+O192)</f>
        <v/>
      </c>
      <c r="T192" s="7">
        <f>IF($U192="","",S192-Q192-G192)</f>
        <v/>
      </c>
      <c r="U192" s="13">
        <f>IF(ROWS($U$2:$U192)&lt;=MAX('Per Line'!$Z$2:$Z$501),MATCH(ROWS($U$2:$U192),'Per Line'!$Z$2:$Z$501,0),"")</f>
        <v/>
      </c>
    </row>
    <row r="193">
      <c r="A193" s="12" t="n"/>
      <c r="B193">
        <f>IF($U193="","",INDEX('Per Line'!$A$2:$A$501,$U193)&amp;"")</f>
        <v/>
      </c>
      <c r="C193">
        <f>IF($U193="","",INDEX('Per Line'!$B$2:$B$501,$U193)&amp;"")</f>
        <v/>
      </c>
      <c r="D193">
        <f>IF($U193="","",INDEX('Per Line'!$C$2:$C$501,$U193)&amp;"")</f>
        <v/>
      </c>
      <c r="E193">
        <f>IF($U193="","",INDEX('Per Line'!$D$2:$D$501,$U193)&amp;"")</f>
        <v/>
      </c>
      <c r="F193">
        <f>IF($U193="","",INDEX('Per Line'!$E$2:$E$501,$U193))</f>
        <v/>
      </c>
      <c r="G193" s="7">
        <f>IF($U193="","",F193*S193/100)</f>
        <v/>
      </c>
      <c r="H193" s="11">
        <f>IF($U193="","",INDEX('Per Line'!$R$2:$R$501,$U193))</f>
        <v/>
      </c>
      <c r="I193">
        <f>IF($U193="","",INDEX('Per Line'!$Q$2:$Q$501,$U193)&amp;"")</f>
        <v/>
      </c>
      <c r="J193">
        <f>IF($U193="","",INDEX('Per Line'!$P$2:$P$501,$U193)&amp;"")</f>
        <v/>
      </c>
      <c r="K193">
        <f>IF($U193="","",Settings!$C$7)</f>
        <v/>
      </c>
      <c r="L193" s="7">
        <f>IF($U193="","",SUMIFS('Per Line'!$M$2:$M$501,'Per Line'!$A$2:$A$501,$B193,'Per Line'!$AA$2:$AA$501,0))</f>
        <v/>
      </c>
      <c r="M193" s="7">
        <f>IF($U193="","",L193*K193)</f>
        <v/>
      </c>
      <c r="N193">
        <f>IF($U193="","",Settings!$C$6)</f>
        <v/>
      </c>
      <c r="O193" s="7">
        <f>IF($U193="","",SUMIFS('Per Line'!$M$2:$M$501,'Per Line'!$A$2:$A$501,$B193,'Per Line'!$AA$2:$AA$501,1))</f>
        <v/>
      </c>
      <c r="P193" s="7">
        <f>IF($U193="","",O193*N193)</f>
        <v/>
      </c>
      <c r="Q193" s="7">
        <f>IF($U193="","",P193+M193)</f>
        <v/>
      </c>
      <c r="R193" s="7">
        <f>IF($U193="","",S193-Q193)</f>
        <v/>
      </c>
      <c r="S193" s="7">
        <f>IF($U193="","",L193+O193)</f>
        <v/>
      </c>
      <c r="T193" s="7">
        <f>IF($U193="","",S193-Q193-G193)</f>
        <v/>
      </c>
      <c r="U193" s="13">
        <f>IF(ROWS($U$2:$U193)&lt;=MAX('Per Line'!$Z$2:$Z$501),MATCH(ROWS($U$2:$U193),'Per Line'!$Z$2:$Z$501,0),"")</f>
        <v/>
      </c>
    </row>
    <row r="194">
      <c r="A194" s="12" t="n"/>
      <c r="B194">
        <f>IF($U194="","",INDEX('Per Line'!$A$2:$A$501,$U194)&amp;"")</f>
        <v/>
      </c>
      <c r="C194">
        <f>IF($U194="","",INDEX('Per Line'!$B$2:$B$501,$U194)&amp;"")</f>
        <v/>
      </c>
      <c r="D194">
        <f>IF($U194="","",INDEX('Per Line'!$C$2:$C$501,$U194)&amp;"")</f>
        <v/>
      </c>
      <c r="E194">
        <f>IF($U194="","",INDEX('Per Line'!$D$2:$D$501,$U194)&amp;"")</f>
        <v/>
      </c>
      <c r="F194">
        <f>IF($U194="","",INDEX('Per Line'!$E$2:$E$501,$U194))</f>
        <v/>
      </c>
      <c r="G194" s="7">
        <f>IF($U194="","",F194*S194/100)</f>
        <v/>
      </c>
      <c r="H194" s="11">
        <f>IF($U194="","",INDEX('Per Line'!$R$2:$R$501,$U194))</f>
        <v/>
      </c>
      <c r="I194">
        <f>IF($U194="","",INDEX('Per Line'!$Q$2:$Q$501,$U194)&amp;"")</f>
        <v/>
      </c>
      <c r="J194">
        <f>IF($U194="","",INDEX('Per Line'!$P$2:$P$501,$U194)&amp;"")</f>
        <v/>
      </c>
      <c r="K194">
        <f>IF($U194="","",Settings!$C$7)</f>
        <v/>
      </c>
      <c r="L194" s="7">
        <f>IF($U194="","",SUMIFS('Per Line'!$M$2:$M$501,'Per Line'!$A$2:$A$501,$B194,'Per Line'!$AA$2:$AA$501,0))</f>
        <v/>
      </c>
      <c r="M194" s="7">
        <f>IF($U194="","",L194*K194)</f>
        <v/>
      </c>
      <c r="N194">
        <f>IF($U194="","",Settings!$C$6)</f>
        <v/>
      </c>
      <c r="O194" s="7">
        <f>IF($U194="","",SUMIFS('Per Line'!$M$2:$M$501,'Per Line'!$A$2:$A$501,$B194,'Per Line'!$AA$2:$AA$501,1))</f>
        <v/>
      </c>
      <c r="P194" s="7">
        <f>IF($U194="","",O194*N194)</f>
        <v/>
      </c>
      <c r="Q194" s="7">
        <f>IF($U194="","",P194+M194)</f>
        <v/>
      </c>
      <c r="R194" s="7">
        <f>IF($U194="","",S194-Q194)</f>
        <v/>
      </c>
      <c r="S194" s="7">
        <f>IF($U194="","",L194+O194)</f>
        <v/>
      </c>
      <c r="T194" s="7">
        <f>IF($U194="","",S194-Q194-G194)</f>
        <v/>
      </c>
      <c r="U194" s="13">
        <f>IF(ROWS($U$2:$U194)&lt;=MAX('Per Line'!$Z$2:$Z$501),MATCH(ROWS($U$2:$U194),'Per Line'!$Z$2:$Z$501,0),"")</f>
        <v/>
      </c>
    </row>
    <row r="195">
      <c r="A195" s="12" t="n"/>
      <c r="B195">
        <f>IF($U195="","",INDEX('Per Line'!$A$2:$A$501,$U195)&amp;"")</f>
        <v/>
      </c>
      <c r="C195">
        <f>IF($U195="","",INDEX('Per Line'!$B$2:$B$501,$U195)&amp;"")</f>
        <v/>
      </c>
      <c r="D195">
        <f>IF($U195="","",INDEX('Per Line'!$C$2:$C$501,$U195)&amp;"")</f>
        <v/>
      </c>
      <c r="E195">
        <f>IF($U195="","",INDEX('Per Line'!$D$2:$D$501,$U195)&amp;"")</f>
        <v/>
      </c>
      <c r="F195">
        <f>IF($U195="","",INDEX('Per Line'!$E$2:$E$501,$U195))</f>
        <v/>
      </c>
      <c r="G195" s="7">
        <f>IF($U195="","",F195*S195/100)</f>
        <v/>
      </c>
      <c r="H195" s="11">
        <f>IF($U195="","",INDEX('Per Line'!$R$2:$R$501,$U195))</f>
        <v/>
      </c>
      <c r="I195">
        <f>IF($U195="","",INDEX('Per Line'!$Q$2:$Q$501,$U195)&amp;"")</f>
        <v/>
      </c>
      <c r="J195">
        <f>IF($U195="","",INDEX('Per Line'!$P$2:$P$501,$U195)&amp;"")</f>
        <v/>
      </c>
      <c r="K195">
        <f>IF($U195="","",Settings!$C$7)</f>
        <v/>
      </c>
      <c r="L195" s="7">
        <f>IF($U195="","",SUMIFS('Per Line'!$M$2:$M$501,'Per Line'!$A$2:$A$501,$B195,'Per Line'!$AA$2:$AA$501,0))</f>
        <v/>
      </c>
      <c r="M195" s="7">
        <f>IF($U195="","",L195*K195)</f>
        <v/>
      </c>
      <c r="N195">
        <f>IF($U195="","",Settings!$C$6)</f>
        <v/>
      </c>
      <c r="O195" s="7">
        <f>IF($U195="","",SUMIFS('Per Line'!$M$2:$M$501,'Per Line'!$A$2:$A$501,$B195,'Per Line'!$AA$2:$AA$501,1))</f>
        <v/>
      </c>
      <c r="P195" s="7">
        <f>IF($U195="","",O195*N195)</f>
        <v/>
      </c>
      <c r="Q195" s="7">
        <f>IF($U195="","",P195+M195)</f>
        <v/>
      </c>
      <c r="R195" s="7">
        <f>IF($U195="","",S195-Q195)</f>
        <v/>
      </c>
      <c r="S195" s="7">
        <f>IF($U195="","",L195+O195)</f>
        <v/>
      </c>
      <c r="T195" s="7">
        <f>IF($U195="","",S195-Q195-G195)</f>
        <v/>
      </c>
      <c r="U195" s="13">
        <f>IF(ROWS($U$2:$U195)&lt;=MAX('Per Line'!$Z$2:$Z$501),MATCH(ROWS($U$2:$U195),'Per Line'!$Z$2:$Z$501,0),"")</f>
        <v/>
      </c>
    </row>
    <row r="196">
      <c r="A196" s="12" t="n"/>
      <c r="B196">
        <f>IF($U196="","",INDEX('Per Line'!$A$2:$A$501,$U196)&amp;"")</f>
        <v/>
      </c>
      <c r="C196">
        <f>IF($U196="","",INDEX('Per Line'!$B$2:$B$501,$U196)&amp;"")</f>
        <v/>
      </c>
      <c r="D196">
        <f>IF($U196="","",INDEX('Per Line'!$C$2:$C$501,$U196)&amp;"")</f>
        <v/>
      </c>
      <c r="E196">
        <f>IF($U196="","",INDEX('Per Line'!$D$2:$D$501,$U196)&amp;"")</f>
        <v/>
      </c>
      <c r="F196">
        <f>IF($U196="","",INDEX('Per Line'!$E$2:$E$501,$U196))</f>
        <v/>
      </c>
      <c r="G196" s="7">
        <f>IF($U196="","",F196*S196/100)</f>
        <v/>
      </c>
      <c r="H196" s="11">
        <f>IF($U196="","",INDEX('Per Line'!$R$2:$R$501,$U196))</f>
        <v/>
      </c>
      <c r="I196">
        <f>IF($U196="","",INDEX('Per Line'!$Q$2:$Q$501,$U196)&amp;"")</f>
        <v/>
      </c>
      <c r="J196">
        <f>IF($U196="","",INDEX('Per Line'!$P$2:$P$501,$U196)&amp;"")</f>
        <v/>
      </c>
      <c r="K196">
        <f>IF($U196="","",Settings!$C$7)</f>
        <v/>
      </c>
      <c r="L196" s="7">
        <f>IF($U196="","",SUMIFS('Per Line'!$M$2:$M$501,'Per Line'!$A$2:$A$501,$B196,'Per Line'!$AA$2:$AA$501,0))</f>
        <v/>
      </c>
      <c r="M196" s="7">
        <f>IF($U196="","",L196*K196)</f>
        <v/>
      </c>
      <c r="N196">
        <f>IF($U196="","",Settings!$C$6)</f>
        <v/>
      </c>
      <c r="O196" s="7">
        <f>IF($U196="","",SUMIFS('Per Line'!$M$2:$M$501,'Per Line'!$A$2:$A$501,$B196,'Per Line'!$AA$2:$AA$501,1))</f>
        <v/>
      </c>
      <c r="P196" s="7">
        <f>IF($U196="","",O196*N196)</f>
        <v/>
      </c>
      <c r="Q196" s="7">
        <f>IF($U196="","",P196+M196)</f>
        <v/>
      </c>
      <c r="R196" s="7">
        <f>IF($U196="","",S196-Q196)</f>
        <v/>
      </c>
      <c r="S196" s="7">
        <f>IF($U196="","",L196+O196)</f>
        <v/>
      </c>
      <c r="T196" s="7">
        <f>IF($U196="","",S196-Q196-G196)</f>
        <v/>
      </c>
      <c r="U196" s="13">
        <f>IF(ROWS($U$2:$U196)&lt;=MAX('Per Line'!$Z$2:$Z$501),MATCH(ROWS($U$2:$U196),'Per Line'!$Z$2:$Z$501,0),"")</f>
        <v/>
      </c>
    </row>
    <row r="197">
      <c r="A197" s="12" t="n"/>
      <c r="B197">
        <f>IF($U197="","",INDEX('Per Line'!$A$2:$A$501,$U197)&amp;"")</f>
        <v/>
      </c>
      <c r="C197">
        <f>IF($U197="","",INDEX('Per Line'!$B$2:$B$501,$U197)&amp;"")</f>
        <v/>
      </c>
      <c r="D197">
        <f>IF($U197="","",INDEX('Per Line'!$C$2:$C$501,$U197)&amp;"")</f>
        <v/>
      </c>
      <c r="E197">
        <f>IF($U197="","",INDEX('Per Line'!$D$2:$D$501,$U197)&amp;"")</f>
        <v/>
      </c>
      <c r="F197">
        <f>IF($U197="","",INDEX('Per Line'!$E$2:$E$501,$U197))</f>
        <v/>
      </c>
      <c r="G197" s="7">
        <f>IF($U197="","",F197*S197/100)</f>
        <v/>
      </c>
      <c r="H197" s="11">
        <f>IF($U197="","",INDEX('Per Line'!$R$2:$R$501,$U197))</f>
        <v/>
      </c>
      <c r="I197">
        <f>IF($U197="","",INDEX('Per Line'!$Q$2:$Q$501,$U197)&amp;"")</f>
        <v/>
      </c>
      <c r="J197">
        <f>IF($U197="","",INDEX('Per Line'!$P$2:$P$501,$U197)&amp;"")</f>
        <v/>
      </c>
      <c r="K197">
        <f>IF($U197="","",Settings!$C$7)</f>
        <v/>
      </c>
      <c r="L197" s="7">
        <f>IF($U197="","",SUMIFS('Per Line'!$M$2:$M$501,'Per Line'!$A$2:$A$501,$B197,'Per Line'!$AA$2:$AA$501,0))</f>
        <v/>
      </c>
      <c r="M197" s="7">
        <f>IF($U197="","",L197*K197)</f>
        <v/>
      </c>
      <c r="N197">
        <f>IF($U197="","",Settings!$C$6)</f>
        <v/>
      </c>
      <c r="O197" s="7">
        <f>IF($U197="","",SUMIFS('Per Line'!$M$2:$M$501,'Per Line'!$A$2:$A$501,$B197,'Per Line'!$AA$2:$AA$501,1))</f>
        <v/>
      </c>
      <c r="P197" s="7">
        <f>IF($U197="","",O197*N197)</f>
        <v/>
      </c>
      <c r="Q197" s="7">
        <f>IF($U197="","",P197+M197)</f>
        <v/>
      </c>
      <c r="R197" s="7">
        <f>IF($U197="","",S197-Q197)</f>
        <v/>
      </c>
      <c r="S197" s="7">
        <f>IF($U197="","",L197+O197)</f>
        <v/>
      </c>
      <c r="T197" s="7">
        <f>IF($U197="","",S197-Q197-G197)</f>
        <v/>
      </c>
      <c r="U197" s="13">
        <f>IF(ROWS($U$2:$U197)&lt;=MAX('Per Line'!$Z$2:$Z$501),MATCH(ROWS($U$2:$U197),'Per Line'!$Z$2:$Z$501,0),"")</f>
        <v/>
      </c>
    </row>
    <row r="198">
      <c r="A198" s="12" t="n"/>
      <c r="B198">
        <f>IF($U198="","",INDEX('Per Line'!$A$2:$A$501,$U198)&amp;"")</f>
        <v/>
      </c>
      <c r="C198">
        <f>IF($U198="","",INDEX('Per Line'!$B$2:$B$501,$U198)&amp;"")</f>
        <v/>
      </c>
      <c r="D198">
        <f>IF($U198="","",INDEX('Per Line'!$C$2:$C$501,$U198)&amp;"")</f>
        <v/>
      </c>
      <c r="E198">
        <f>IF($U198="","",INDEX('Per Line'!$D$2:$D$501,$U198)&amp;"")</f>
        <v/>
      </c>
      <c r="F198">
        <f>IF($U198="","",INDEX('Per Line'!$E$2:$E$501,$U198))</f>
        <v/>
      </c>
      <c r="G198" s="7">
        <f>IF($U198="","",F198*S198/100)</f>
        <v/>
      </c>
      <c r="H198" s="11">
        <f>IF($U198="","",INDEX('Per Line'!$R$2:$R$501,$U198))</f>
        <v/>
      </c>
      <c r="I198">
        <f>IF($U198="","",INDEX('Per Line'!$Q$2:$Q$501,$U198)&amp;"")</f>
        <v/>
      </c>
      <c r="J198">
        <f>IF($U198="","",INDEX('Per Line'!$P$2:$P$501,$U198)&amp;"")</f>
        <v/>
      </c>
      <c r="K198">
        <f>IF($U198="","",Settings!$C$7)</f>
        <v/>
      </c>
      <c r="L198" s="7">
        <f>IF($U198="","",SUMIFS('Per Line'!$M$2:$M$501,'Per Line'!$A$2:$A$501,$B198,'Per Line'!$AA$2:$AA$501,0))</f>
        <v/>
      </c>
      <c r="M198" s="7">
        <f>IF($U198="","",L198*K198)</f>
        <v/>
      </c>
      <c r="N198">
        <f>IF($U198="","",Settings!$C$6)</f>
        <v/>
      </c>
      <c r="O198" s="7">
        <f>IF($U198="","",SUMIFS('Per Line'!$M$2:$M$501,'Per Line'!$A$2:$A$501,$B198,'Per Line'!$AA$2:$AA$501,1))</f>
        <v/>
      </c>
      <c r="P198" s="7">
        <f>IF($U198="","",O198*N198)</f>
        <v/>
      </c>
      <c r="Q198" s="7">
        <f>IF($U198="","",P198+M198)</f>
        <v/>
      </c>
      <c r="R198" s="7">
        <f>IF($U198="","",S198-Q198)</f>
        <v/>
      </c>
      <c r="S198" s="7">
        <f>IF($U198="","",L198+O198)</f>
        <v/>
      </c>
      <c r="T198" s="7">
        <f>IF($U198="","",S198-Q198-G198)</f>
        <v/>
      </c>
      <c r="U198" s="13">
        <f>IF(ROWS($U$2:$U198)&lt;=MAX('Per Line'!$Z$2:$Z$501),MATCH(ROWS($U$2:$U198),'Per Line'!$Z$2:$Z$501,0),"")</f>
        <v/>
      </c>
    </row>
    <row r="199">
      <c r="A199" s="12" t="n"/>
      <c r="B199">
        <f>IF($U199="","",INDEX('Per Line'!$A$2:$A$501,$U199)&amp;"")</f>
        <v/>
      </c>
      <c r="C199">
        <f>IF($U199="","",INDEX('Per Line'!$B$2:$B$501,$U199)&amp;"")</f>
        <v/>
      </c>
      <c r="D199">
        <f>IF($U199="","",INDEX('Per Line'!$C$2:$C$501,$U199)&amp;"")</f>
        <v/>
      </c>
      <c r="E199">
        <f>IF($U199="","",INDEX('Per Line'!$D$2:$D$501,$U199)&amp;"")</f>
        <v/>
      </c>
      <c r="F199">
        <f>IF($U199="","",INDEX('Per Line'!$E$2:$E$501,$U199))</f>
        <v/>
      </c>
      <c r="G199" s="7">
        <f>IF($U199="","",F199*S199/100)</f>
        <v/>
      </c>
      <c r="H199" s="11">
        <f>IF($U199="","",INDEX('Per Line'!$R$2:$R$501,$U199))</f>
        <v/>
      </c>
      <c r="I199">
        <f>IF($U199="","",INDEX('Per Line'!$Q$2:$Q$501,$U199)&amp;"")</f>
        <v/>
      </c>
      <c r="J199">
        <f>IF($U199="","",INDEX('Per Line'!$P$2:$P$501,$U199)&amp;"")</f>
        <v/>
      </c>
      <c r="K199">
        <f>IF($U199="","",Settings!$C$7)</f>
        <v/>
      </c>
      <c r="L199" s="7">
        <f>IF($U199="","",SUMIFS('Per Line'!$M$2:$M$501,'Per Line'!$A$2:$A$501,$B199,'Per Line'!$AA$2:$AA$501,0))</f>
        <v/>
      </c>
      <c r="M199" s="7">
        <f>IF($U199="","",L199*K199)</f>
        <v/>
      </c>
      <c r="N199">
        <f>IF($U199="","",Settings!$C$6)</f>
        <v/>
      </c>
      <c r="O199" s="7">
        <f>IF($U199="","",SUMIFS('Per Line'!$M$2:$M$501,'Per Line'!$A$2:$A$501,$B199,'Per Line'!$AA$2:$AA$501,1))</f>
        <v/>
      </c>
      <c r="P199" s="7">
        <f>IF($U199="","",O199*N199)</f>
        <v/>
      </c>
      <c r="Q199" s="7">
        <f>IF($U199="","",P199+M199)</f>
        <v/>
      </c>
      <c r="R199" s="7">
        <f>IF($U199="","",S199-Q199)</f>
        <v/>
      </c>
      <c r="S199" s="7">
        <f>IF($U199="","",L199+O199)</f>
        <v/>
      </c>
      <c r="T199" s="7">
        <f>IF($U199="","",S199-Q199-G199)</f>
        <v/>
      </c>
      <c r="U199" s="13">
        <f>IF(ROWS($U$2:$U199)&lt;=MAX('Per Line'!$Z$2:$Z$501),MATCH(ROWS($U$2:$U199),'Per Line'!$Z$2:$Z$501,0),"")</f>
        <v/>
      </c>
    </row>
    <row r="200">
      <c r="A200" s="12" t="n"/>
      <c r="B200">
        <f>IF($U200="","",INDEX('Per Line'!$A$2:$A$501,$U200)&amp;"")</f>
        <v/>
      </c>
      <c r="C200">
        <f>IF($U200="","",INDEX('Per Line'!$B$2:$B$501,$U200)&amp;"")</f>
        <v/>
      </c>
      <c r="D200">
        <f>IF($U200="","",INDEX('Per Line'!$C$2:$C$501,$U200)&amp;"")</f>
        <v/>
      </c>
      <c r="E200">
        <f>IF($U200="","",INDEX('Per Line'!$D$2:$D$501,$U200)&amp;"")</f>
        <v/>
      </c>
      <c r="F200">
        <f>IF($U200="","",INDEX('Per Line'!$E$2:$E$501,$U200))</f>
        <v/>
      </c>
      <c r="G200" s="7">
        <f>IF($U200="","",F200*S200/100)</f>
        <v/>
      </c>
      <c r="H200" s="11">
        <f>IF($U200="","",INDEX('Per Line'!$R$2:$R$501,$U200))</f>
        <v/>
      </c>
      <c r="I200">
        <f>IF($U200="","",INDEX('Per Line'!$Q$2:$Q$501,$U200)&amp;"")</f>
        <v/>
      </c>
      <c r="J200">
        <f>IF($U200="","",INDEX('Per Line'!$P$2:$P$501,$U200)&amp;"")</f>
        <v/>
      </c>
      <c r="K200">
        <f>IF($U200="","",Settings!$C$7)</f>
        <v/>
      </c>
      <c r="L200" s="7">
        <f>IF($U200="","",SUMIFS('Per Line'!$M$2:$M$501,'Per Line'!$A$2:$A$501,$B200,'Per Line'!$AA$2:$AA$501,0))</f>
        <v/>
      </c>
      <c r="M200" s="7">
        <f>IF($U200="","",L200*K200)</f>
        <v/>
      </c>
      <c r="N200">
        <f>IF($U200="","",Settings!$C$6)</f>
        <v/>
      </c>
      <c r="O200" s="7">
        <f>IF($U200="","",SUMIFS('Per Line'!$M$2:$M$501,'Per Line'!$A$2:$A$501,$B200,'Per Line'!$AA$2:$AA$501,1))</f>
        <v/>
      </c>
      <c r="P200" s="7">
        <f>IF($U200="","",O200*N200)</f>
        <v/>
      </c>
      <c r="Q200" s="7">
        <f>IF($U200="","",P200+M200)</f>
        <v/>
      </c>
      <c r="R200" s="7">
        <f>IF($U200="","",S200-Q200)</f>
        <v/>
      </c>
      <c r="S200" s="7">
        <f>IF($U200="","",L200+O200)</f>
        <v/>
      </c>
      <c r="T200" s="7">
        <f>IF($U200="","",S200-Q200-G200)</f>
        <v/>
      </c>
      <c r="U200" s="13">
        <f>IF(ROWS($U$2:$U200)&lt;=MAX('Per Line'!$Z$2:$Z$501),MATCH(ROWS($U$2:$U200),'Per Line'!$Z$2:$Z$501,0),"")</f>
        <v/>
      </c>
    </row>
    <row r="201">
      <c r="A201" s="12" t="n"/>
      <c r="B201">
        <f>IF($U201="","",INDEX('Per Line'!$A$2:$A$501,$U201)&amp;"")</f>
        <v/>
      </c>
      <c r="C201">
        <f>IF($U201="","",INDEX('Per Line'!$B$2:$B$501,$U201)&amp;"")</f>
        <v/>
      </c>
      <c r="D201">
        <f>IF($U201="","",INDEX('Per Line'!$C$2:$C$501,$U201)&amp;"")</f>
        <v/>
      </c>
      <c r="E201">
        <f>IF($U201="","",INDEX('Per Line'!$D$2:$D$501,$U201)&amp;"")</f>
        <v/>
      </c>
      <c r="F201">
        <f>IF($U201="","",INDEX('Per Line'!$E$2:$E$501,$U201))</f>
        <v/>
      </c>
      <c r="G201" s="7">
        <f>IF($U201="","",F201*S201/100)</f>
        <v/>
      </c>
      <c r="H201" s="11">
        <f>IF($U201="","",INDEX('Per Line'!$R$2:$R$501,$U201))</f>
        <v/>
      </c>
      <c r="I201">
        <f>IF($U201="","",INDEX('Per Line'!$Q$2:$Q$501,$U201)&amp;"")</f>
        <v/>
      </c>
      <c r="J201">
        <f>IF($U201="","",INDEX('Per Line'!$P$2:$P$501,$U201)&amp;"")</f>
        <v/>
      </c>
      <c r="K201">
        <f>IF($U201="","",Settings!$C$7)</f>
        <v/>
      </c>
      <c r="L201" s="7">
        <f>IF($U201="","",SUMIFS('Per Line'!$M$2:$M$501,'Per Line'!$A$2:$A$501,$B201,'Per Line'!$AA$2:$AA$501,0))</f>
        <v/>
      </c>
      <c r="M201" s="7">
        <f>IF($U201="","",L201*K201)</f>
        <v/>
      </c>
      <c r="N201">
        <f>IF($U201="","",Settings!$C$6)</f>
        <v/>
      </c>
      <c r="O201" s="7">
        <f>IF($U201="","",SUMIFS('Per Line'!$M$2:$M$501,'Per Line'!$A$2:$A$501,$B201,'Per Line'!$AA$2:$AA$501,1))</f>
        <v/>
      </c>
      <c r="P201" s="7">
        <f>IF($U201="","",O201*N201)</f>
        <v/>
      </c>
      <c r="Q201" s="7">
        <f>IF($U201="","",P201+M201)</f>
        <v/>
      </c>
      <c r="R201" s="7">
        <f>IF($U201="","",S201-Q201)</f>
        <v/>
      </c>
      <c r="S201" s="7">
        <f>IF($U201="","",L201+O201)</f>
        <v/>
      </c>
      <c r="T201" s="7">
        <f>IF($U201="","",S201-Q201-G201)</f>
        <v/>
      </c>
      <c r="U201" s="13">
        <f>IF(ROWS($U$2:$U201)&lt;=MAX('Per Line'!$Z$2:$Z$501),MATCH(ROWS($U$2:$U201),'Per Line'!$Z$2:$Z$501,0),"")</f>
        <v/>
      </c>
    </row>
  </sheetData>
  <autoFilter ref="A1:U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2026-10-12T10:14:38Z</dcterms:created>
  <dcterms:modified xmlns:dcterms="http://purl.org/dc/terms/" xmlns:xsi="http://www.w3.org/2001/XMLSchema-instance" xsi:type="dcterms:W3CDTF">2026-10-12T10:14:38Z</dcterms:modified>
</cp:coreProperties>
</file>