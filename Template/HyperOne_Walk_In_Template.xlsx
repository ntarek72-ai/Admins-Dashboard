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  <sheet xmlns:r="http://schemas.openxmlformats.org/officeDocument/2006/relationships" name="templet" sheetId="5" state="visible" r:id="rId5"/>
  </sheets>
  <definedNames>
    <definedName name="_xlnm._FilterDatabase" localSheetId="2" hidden="1">'Per Line'!$A$1:$X$501</definedName>
    <definedName name="_xlnm._FilterDatabase" localSheetId="3" hidden="1">'Per Invoice'!$A$1:$U$201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HYPERONE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G-J, N-R, T (same order as the system export).</t>
        </is>
      </c>
    </row>
    <row r="6">
      <c r="A6" s="3" t="inlineStr">
        <is>
          <t>3. Green columns (F, K, L, M, S) and the grey helper columns (U-X)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B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(15%) if Local is TRUE, otherwise Imported rate (5%).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HYPERONE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0.15</v>
      </c>
      <c r="D6" t="inlineStr">
        <is>
          <t>Source: Sep sheet (Rebates = 0.15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Sep sheet (Rebates = 0.05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Line'!$V$2:$V$501)</f>
        <v/>
      </c>
    </row>
    <row r="12">
      <c r="B12" t="inlineStr">
        <is>
          <t>Invoices shown in Per Invoice</t>
        </is>
      </c>
      <c r="C12">
        <f>SUMPRODUCT(--('Per Invoice'!$A$2:$A$201&lt;&gt;""))</f>
        <v/>
      </c>
    </row>
    <row r="13">
      <c r="B13" t="inlineStr">
        <is>
          <t>Grand Total - Per Line (Product Total)</t>
        </is>
      </c>
      <c r="C13" s="7">
        <f>SUM('Per Line'!$N$2:$N$501)</f>
        <v/>
      </c>
    </row>
    <row r="14">
      <c r="B14" t="inlineStr">
        <is>
          <t>Grand Total - Per Invoice</t>
        </is>
      </c>
      <c r="C14" s="7">
        <f>SUM('Per Invoice'!$S$2:$S$201)</f>
        <v/>
      </c>
    </row>
    <row r="15">
      <c r="B15" t="inlineStr">
        <is>
          <t>Discount - Per Line</t>
        </is>
      </c>
      <c r="C15" s="7">
        <f>SUM('Per Line'!$K$2:$K$501)</f>
        <v/>
      </c>
    </row>
    <row r="16">
      <c r="B16" t="inlineStr">
        <is>
          <t>Discount - Per Invoice</t>
        </is>
      </c>
      <c r="C16" s="7">
        <f>SUM('Per Invoice'!$Q$2:$Q$201)</f>
        <v/>
      </c>
    </row>
    <row r="17">
      <c r="B17" t="inlineStr">
        <is>
          <t>Co val - Per Line</t>
        </is>
      </c>
      <c r="C17" s="7">
        <f>SUM('Per Line'!$F$2:$F$501)</f>
        <v/>
      </c>
    </row>
    <row r="18">
      <c r="B18" t="inlineStr">
        <is>
          <t>Co val - Per Invoice</t>
        </is>
      </c>
      <c r="C18" s="7">
        <f>SUM('Per Invoice'!$G$2:$G$201)</f>
        <v/>
      </c>
    </row>
    <row r="19">
      <c r="B19" t="inlineStr">
        <is>
          <t>Net - Per Line</t>
        </is>
      </c>
      <c r="C19" s="7">
        <f>SUM('Per Line'!$M$2:$M$501)</f>
        <v/>
      </c>
    </row>
    <row r="20">
      <c r="B20" t="inlineStr">
        <is>
          <t>Net - Per Invoice</t>
        </is>
      </c>
      <c r="C20" s="7">
        <f>SUM('Per Invoice'!$T$2:$T$201)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  <col width="12" customWidth="1" min="16" max="16"/>
    <col width="17" customWidth="1" min="17" max="17"/>
    <col width="28" customWidth="1" min="18" max="18"/>
    <col width="11" customWidth="1" min="19" max="19"/>
    <col width="12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9" t="inlineStr">
        <is>
          <t>Discount</t>
        </is>
      </c>
      <c r="L1" s="9" t="inlineStr">
        <is>
          <t>Subtotal</t>
        </is>
      </c>
      <c r="M1" s="9" t="inlineStr">
        <is>
          <t>Net</t>
        </is>
      </c>
      <c r="N1" s="8" t="inlineStr">
        <is>
          <t>Total Delivered</t>
        </is>
      </c>
      <c r="O1" s="8" t="inlineStr">
        <is>
          <t>Payment Type</t>
        </is>
      </c>
      <c r="P1" s="8" t="inlineStr">
        <is>
          <t>Session</t>
        </is>
      </c>
      <c r="Q1" s="8" t="inlineStr">
        <is>
          <t>Create Date</t>
        </is>
      </c>
      <c r="R1" s="8" t="inlineStr">
        <is>
          <t>Order Reference</t>
        </is>
      </c>
      <c r="S1" s="9" t="inlineStr">
        <is>
          <t>Rebates</t>
        </is>
      </c>
      <c r="T1" s="8" t="inlineStr">
        <is>
          <t>Product Template - Product Tmpl → Is Local</t>
        </is>
      </c>
      <c r="U1" s="10" t="inlineStr">
        <is>
          <t>Order 1st Row (helper)</t>
        </is>
      </c>
      <c r="V1" s="10" t="inlineStr">
        <is>
          <t>Invoice # (helper)</t>
        </is>
      </c>
      <c r="W1" s="10" t="inlineStr">
        <is>
          <t>Is Local (helper)</t>
        </is>
      </c>
      <c r="X1" s="10" t="inlineStr">
        <is>
          <t>Sort Key (helper)</t>
        </is>
      </c>
    </row>
    <row r="2">
      <c r="F2" s="7">
        <f>IF($A2="","",E2*N2/100)</f>
        <v/>
      </c>
      <c r="J2" s="7" t="n"/>
      <c r="K2" s="7">
        <f>IF($A2="","",S2*N2)</f>
        <v/>
      </c>
      <c r="L2" s="7">
        <f>IF($A2="","",N2-K2)</f>
        <v/>
      </c>
      <c r="M2" s="7">
        <f>IF($A2="","",L2-F2)</f>
        <v/>
      </c>
      <c r="N2" s="7" t="n"/>
      <c r="Q2" s="11" t="n"/>
      <c r="S2">
        <f>IF($A2="","",IF($W2=1,Settings!$C$6,Settings!$C$7)*1)</f>
        <v/>
      </c>
      <c r="U2">
        <f>IF($A2="","",IF(COUNTIF($A$2:$A2,$A2)=1,1,0))</f>
        <v/>
      </c>
      <c r="V2">
        <f>IF($U2=1,SUMPRODUCT(--($X$2:$X$501&lt;$X2))+1,"")</f>
        <v/>
      </c>
      <c r="W2">
        <f>IF($A2="","",IF(OR($T2=TRUE(),$T2="TRUE"),1,0))</f>
        <v/>
      </c>
      <c r="X2">
        <f>IF($U2=1,IFERROR(IF(VALUE($A2)&lt;100000000,VALUE($A2),1000000000),IFERROR(IF(VALUE(MID($A2,2,20))&lt;100000000,VALUE(MID($A2,2,20)),1000000000),1000000000))+ROW()/100000,"")</f>
        <v/>
      </c>
    </row>
    <row r="3">
      <c r="F3" s="7">
        <f>IF($A3="","",E3*N3/100)</f>
        <v/>
      </c>
      <c r="J3" s="7" t="n"/>
      <c r="K3" s="7">
        <f>IF($A3="","",S3*N3)</f>
        <v/>
      </c>
      <c r="L3" s="7">
        <f>IF($A3="","",N3-K3)</f>
        <v/>
      </c>
      <c r="M3" s="7">
        <f>IF($A3="","",L3-F3)</f>
        <v/>
      </c>
      <c r="N3" s="7" t="n"/>
      <c r="Q3" s="11" t="n"/>
      <c r="S3">
        <f>IF($A3="","",IF($W3=1,Settings!$C$6,Settings!$C$7)*1)</f>
        <v/>
      </c>
      <c r="U3">
        <f>IF($A3="","",IF(COUNTIF($A$2:$A3,$A3)=1,1,0))</f>
        <v/>
      </c>
      <c r="V3">
        <f>IF($U3=1,SUMPRODUCT(--($X$2:$X$501&lt;$X3))+1,"")</f>
        <v/>
      </c>
      <c r="W3">
        <f>IF($A3="","",IF(OR($T3=TRUE(),$T3="TRUE"),1,0))</f>
        <v/>
      </c>
      <c r="X3">
        <f>IF($U3=1,IFERROR(IF(VALUE($A3)&lt;100000000,VALUE($A3),1000000000),IFERROR(IF(VALUE(MID($A3,2,20))&lt;100000000,VALUE(MID($A3,2,20)),1000000000),1000000000))+ROW()/100000,"")</f>
        <v/>
      </c>
    </row>
    <row r="4">
      <c r="F4" s="7">
        <f>IF($A4="","",E4*N4/100)</f>
        <v/>
      </c>
      <c r="J4" s="7" t="n"/>
      <c r="K4" s="7">
        <f>IF($A4="","",S4*N4)</f>
        <v/>
      </c>
      <c r="L4" s="7">
        <f>IF($A4="","",N4-K4)</f>
        <v/>
      </c>
      <c r="M4" s="7">
        <f>IF($A4="","",L4-F4)</f>
        <v/>
      </c>
      <c r="N4" s="7" t="n"/>
      <c r="Q4" s="11" t="n"/>
      <c r="S4">
        <f>IF($A4="","",IF($W4=1,Settings!$C$6,Settings!$C$7)*1)</f>
        <v/>
      </c>
      <c r="U4">
        <f>IF($A4="","",IF(COUNTIF($A$2:$A4,$A4)=1,1,0))</f>
        <v/>
      </c>
      <c r="V4">
        <f>IF($U4=1,SUMPRODUCT(--($X$2:$X$501&lt;$X4))+1,"")</f>
        <v/>
      </c>
      <c r="W4">
        <f>IF($A4="","",IF(OR($T4=TRUE(),$T4="TRUE"),1,0))</f>
        <v/>
      </c>
      <c r="X4">
        <f>IF($U4=1,IFERROR(IF(VALUE($A4)&lt;100000000,VALUE($A4),1000000000),IFERROR(IF(VALUE(MID($A4,2,20))&lt;100000000,VALUE(MID($A4,2,20)),1000000000),1000000000))+ROW()/100000,"")</f>
        <v/>
      </c>
    </row>
    <row r="5">
      <c r="F5" s="7">
        <f>IF($A5="","",E5*N5/100)</f>
        <v/>
      </c>
      <c r="J5" s="7" t="n"/>
      <c r="K5" s="7">
        <f>IF($A5="","",S5*N5)</f>
        <v/>
      </c>
      <c r="L5" s="7">
        <f>IF($A5="","",N5-K5)</f>
        <v/>
      </c>
      <c r="M5" s="7">
        <f>IF($A5="","",L5-F5)</f>
        <v/>
      </c>
      <c r="N5" s="7" t="n"/>
      <c r="Q5" s="11" t="n"/>
      <c r="S5">
        <f>IF($A5="","",IF($W5=1,Settings!$C$6,Settings!$C$7)*1)</f>
        <v/>
      </c>
      <c r="U5">
        <f>IF($A5="","",IF(COUNTIF($A$2:$A5,$A5)=1,1,0))</f>
        <v/>
      </c>
      <c r="V5">
        <f>IF($U5=1,SUMPRODUCT(--($X$2:$X$501&lt;$X5))+1,"")</f>
        <v/>
      </c>
      <c r="W5">
        <f>IF($A5="","",IF(OR($T5=TRUE(),$T5="TRUE"),1,0))</f>
        <v/>
      </c>
      <c r="X5">
        <f>IF($U5=1,IFERROR(IF(VALUE($A5)&lt;100000000,VALUE($A5),1000000000),IFERROR(IF(VALUE(MID($A5,2,20))&lt;100000000,VALUE(MID($A5,2,20)),1000000000),1000000000))+ROW()/100000,"")</f>
        <v/>
      </c>
    </row>
    <row r="6">
      <c r="F6" s="7">
        <f>IF($A6="","",E6*N6/100)</f>
        <v/>
      </c>
      <c r="J6" s="7" t="n"/>
      <c r="K6" s="7">
        <f>IF($A6="","",S6*N6)</f>
        <v/>
      </c>
      <c r="L6" s="7">
        <f>IF($A6="","",N6-K6)</f>
        <v/>
      </c>
      <c r="M6" s="7">
        <f>IF($A6="","",L6-F6)</f>
        <v/>
      </c>
      <c r="N6" s="7" t="n"/>
      <c r="Q6" s="11" t="n"/>
      <c r="S6">
        <f>IF($A6="","",IF($W6=1,Settings!$C$6,Settings!$C$7)*1)</f>
        <v/>
      </c>
      <c r="U6">
        <f>IF($A6="","",IF(COUNTIF($A$2:$A6,$A6)=1,1,0))</f>
        <v/>
      </c>
      <c r="V6">
        <f>IF($U6=1,SUMPRODUCT(--($X$2:$X$501&lt;$X6))+1,"")</f>
        <v/>
      </c>
      <c r="W6">
        <f>IF($A6="","",IF(OR($T6=TRUE(),$T6="TRUE"),1,0))</f>
        <v/>
      </c>
      <c r="X6">
        <f>IF($U6=1,IFERROR(IF(VALUE($A6)&lt;100000000,VALUE($A6),1000000000),IFERROR(IF(VALUE(MID($A6,2,20))&lt;100000000,VALUE(MID($A6,2,20)),1000000000),1000000000))+ROW()/100000,"")</f>
        <v/>
      </c>
    </row>
    <row r="7">
      <c r="F7" s="7">
        <f>IF($A7="","",E7*N7/100)</f>
        <v/>
      </c>
      <c r="J7" s="7" t="n"/>
      <c r="K7" s="7">
        <f>IF($A7="","",S7*N7)</f>
        <v/>
      </c>
      <c r="L7" s="7">
        <f>IF($A7="","",N7-K7)</f>
        <v/>
      </c>
      <c r="M7" s="7">
        <f>IF($A7="","",L7-F7)</f>
        <v/>
      </c>
      <c r="N7" s="7" t="n"/>
      <c r="Q7" s="11" t="n"/>
      <c r="S7">
        <f>IF($A7="","",IF($W7=1,Settings!$C$6,Settings!$C$7)*1)</f>
        <v/>
      </c>
      <c r="U7">
        <f>IF($A7="","",IF(COUNTIF($A$2:$A7,$A7)=1,1,0))</f>
        <v/>
      </c>
      <c r="V7">
        <f>IF($U7=1,SUMPRODUCT(--($X$2:$X$501&lt;$X7))+1,"")</f>
        <v/>
      </c>
      <c r="W7">
        <f>IF($A7="","",IF(OR($T7=TRUE(),$T7="TRUE"),1,0))</f>
        <v/>
      </c>
      <c r="X7">
        <f>IF($U7=1,IFERROR(IF(VALUE($A7)&lt;100000000,VALUE($A7),1000000000),IFERROR(IF(VALUE(MID($A7,2,20))&lt;100000000,VALUE(MID($A7,2,20)),1000000000),1000000000))+ROW()/100000,"")</f>
        <v/>
      </c>
    </row>
    <row r="8">
      <c r="F8" s="7">
        <f>IF($A8="","",E8*N8/100)</f>
        <v/>
      </c>
      <c r="J8" s="7" t="n"/>
      <c r="K8" s="7">
        <f>IF($A8="","",S8*N8)</f>
        <v/>
      </c>
      <c r="L8" s="7">
        <f>IF($A8="","",N8-K8)</f>
        <v/>
      </c>
      <c r="M8" s="7">
        <f>IF($A8="","",L8-F8)</f>
        <v/>
      </c>
      <c r="N8" s="7" t="n"/>
      <c r="Q8" s="11" t="n"/>
      <c r="S8">
        <f>IF($A8="","",IF($W8=1,Settings!$C$6,Settings!$C$7)*1)</f>
        <v/>
      </c>
      <c r="U8">
        <f>IF($A8="","",IF(COUNTIF($A$2:$A8,$A8)=1,1,0))</f>
        <v/>
      </c>
      <c r="V8">
        <f>IF($U8=1,SUMPRODUCT(--($X$2:$X$501&lt;$X8))+1,"")</f>
        <v/>
      </c>
      <c r="W8">
        <f>IF($A8="","",IF(OR($T8=TRUE(),$T8="TRUE"),1,0))</f>
        <v/>
      </c>
      <c r="X8">
        <f>IF($U8=1,IFERROR(IF(VALUE($A8)&lt;100000000,VALUE($A8),1000000000),IFERROR(IF(VALUE(MID($A8,2,20))&lt;100000000,VALUE(MID($A8,2,20)),1000000000),1000000000))+ROW()/100000,"")</f>
        <v/>
      </c>
    </row>
    <row r="9">
      <c r="F9" s="7">
        <f>IF($A9="","",E9*N9/100)</f>
        <v/>
      </c>
      <c r="J9" s="7" t="n"/>
      <c r="K9" s="7">
        <f>IF($A9="","",S9*N9)</f>
        <v/>
      </c>
      <c r="L9" s="7">
        <f>IF($A9="","",N9-K9)</f>
        <v/>
      </c>
      <c r="M9" s="7">
        <f>IF($A9="","",L9-F9)</f>
        <v/>
      </c>
      <c r="N9" s="7" t="n"/>
      <c r="Q9" s="11" t="n"/>
      <c r="S9">
        <f>IF($A9="","",IF($W9=1,Settings!$C$6,Settings!$C$7)*1)</f>
        <v/>
      </c>
      <c r="U9">
        <f>IF($A9="","",IF(COUNTIF($A$2:$A9,$A9)=1,1,0))</f>
        <v/>
      </c>
      <c r="V9">
        <f>IF($U9=1,SUMPRODUCT(--($X$2:$X$501&lt;$X9))+1,"")</f>
        <v/>
      </c>
      <c r="W9">
        <f>IF($A9="","",IF(OR($T9=TRUE(),$T9="TRUE"),1,0))</f>
        <v/>
      </c>
      <c r="X9">
        <f>IF($U9=1,IFERROR(IF(VALUE($A9)&lt;100000000,VALUE($A9),1000000000),IFERROR(IF(VALUE(MID($A9,2,20))&lt;100000000,VALUE(MID($A9,2,20)),1000000000),1000000000))+ROW()/100000,"")</f>
        <v/>
      </c>
    </row>
    <row r="10">
      <c r="F10" s="7">
        <f>IF($A10="","",E10*N10/100)</f>
        <v/>
      </c>
      <c r="J10" s="7" t="n"/>
      <c r="K10" s="7">
        <f>IF($A10="","",S10*N10)</f>
        <v/>
      </c>
      <c r="L10" s="7">
        <f>IF($A10="","",N10-K10)</f>
        <v/>
      </c>
      <c r="M10" s="7">
        <f>IF($A10="","",L10-F10)</f>
        <v/>
      </c>
      <c r="N10" s="7" t="n"/>
      <c r="Q10" s="11" t="n"/>
      <c r="S10">
        <f>IF($A10="","",IF($W10=1,Settings!$C$6,Settings!$C$7)*1)</f>
        <v/>
      </c>
      <c r="U10">
        <f>IF($A10="","",IF(COUNTIF($A$2:$A10,$A10)=1,1,0))</f>
        <v/>
      </c>
      <c r="V10">
        <f>IF($U10=1,SUMPRODUCT(--($X$2:$X$501&lt;$X10))+1,"")</f>
        <v/>
      </c>
      <c r="W10">
        <f>IF($A10="","",IF(OR($T10=TRUE(),$T10="TRUE"),1,0))</f>
        <v/>
      </c>
      <c r="X10">
        <f>IF($U10=1,IFERROR(IF(VALUE($A10)&lt;100000000,VALUE($A10),1000000000),IFERROR(IF(VALUE(MID($A10,2,20))&lt;100000000,VALUE(MID($A10,2,20)),1000000000),1000000000))+ROW()/100000,"")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IF($A11="","",E11*N11/100)</f>
        <v/>
      </c>
      <c r="J11" s="7" t="n"/>
      <c r="K11" s="7">
        <f>IF($A11="","",S11*N11)</f>
        <v/>
      </c>
      <c r="L11" s="7">
        <f>IF($A11="","",N11-K11)</f>
        <v/>
      </c>
      <c r="M11" s="7">
        <f>IF($A11="","",L11-F11)</f>
        <v/>
      </c>
      <c r="N11" s="7" t="n"/>
      <c r="Q11" s="11" t="n"/>
      <c r="S11">
        <f>IF($A11="","",IF($W11=1,Settings!$C$6,Settings!$C$7)*1)</f>
        <v/>
      </c>
      <c r="U11">
        <f>IF($A11="","",IF(COUNTIF($A$2:$A11,$A11)=1,1,0))</f>
        <v/>
      </c>
      <c r="V11">
        <f>IF($U11=1,SUMPRODUCT(--($X$2:$X$501&lt;$X11))+1,"")</f>
        <v/>
      </c>
      <c r="W11">
        <f>IF($A11="","",IF(OR($T11=TRUE(),$T11="TRUE"),1,0))</f>
        <v/>
      </c>
      <c r="X11">
        <f>IF($U11=1,IFERROR(IF(VALUE($A11)&lt;100000000,VALUE($A11),1000000000),IFERROR(IF(VALUE(MID($A11,2,20))&lt;100000000,VALUE(MID($A11,2,20)),1000000000),1000000000))+ROW()/100000,"")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IF($A12="","",E12*N12/100)</f>
        <v/>
      </c>
      <c r="J12" s="7" t="n"/>
      <c r="K12" s="7">
        <f>IF($A12="","",S12*N12)</f>
        <v/>
      </c>
      <c r="L12" s="7">
        <f>IF($A12="","",N12-K12)</f>
        <v/>
      </c>
      <c r="M12" s="7">
        <f>IF($A12="","",L12-F12)</f>
        <v/>
      </c>
      <c r="N12" s="7" t="n"/>
      <c r="Q12" s="11" t="n"/>
      <c r="S12">
        <f>IF($A12="","",IF($W12=1,Settings!$C$6,Settings!$C$7)*1)</f>
        <v/>
      </c>
      <c r="U12">
        <f>IF($A12="","",IF(COUNTIF($A$2:$A12,$A12)=1,1,0))</f>
        <v/>
      </c>
      <c r="V12">
        <f>IF($U12=1,SUMPRODUCT(--($X$2:$X$501&lt;$X12))+1,"")</f>
        <v/>
      </c>
      <c r="W12">
        <f>IF($A12="","",IF(OR($T12=TRUE(),$T12="TRUE"),1,0))</f>
        <v/>
      </c>
      <c r="X12">
        <f>IF($U12=1,IFERROR(IF(VALUE($A12)&lt;100000000,VALUE($A12),1000000000),IFERROR(IF(VALUE(MID($A12,2,20))&lt;100000000,VALUE(MID($A12,2,20)),1000000000),1000000000))+ROW()/100000,"")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IF($A13="","",E13*N13/100)</f>
        <v/>
      </c>
      <c r="J13" s="7" t="n"/>
      <c r="K13" s="7">
        <f>IF($A13="","",S13*N13)</f>
        <v/>
      </c>
      <c r="L13" s="7">
        <f>IF($A13="","",N13-K13)</f>
        <v/>
      </c>
      <c r="M13" s="7">
        <f>IF($A13="","",L13-F13)</f>
        <v/>
      </c>
      <c r="N13" s="7" t="n"/>
      <c r="Q13" s="11" t="n"/>
      <c r="S13">
        <f>IF($A13="","",IF($W13=1,Settings!$C$6,Settings!$C$7)*1)</f>
        <v/>
      </c>
      <c r="U13">
        <f>IF($A13="","",IF(COUNTIF($A$2:$A13,$A13)=1,1,0))</f>
        <v/>
      </c>
      <c r="V13">
        <f>IF($U13=1,SUMPRODUCT(--($X$2:$X$501&lt;$X13))+1,"")</f>
        <v/>
      </c>
      <c r="W13">
        <f>IF($A13="","",IF(OR($T13=TRUE(),$T13="TRUE"),1,0))</f>
        <v/>
      </c>
      <c r="X13">
        <f>IF($U13=1,IFERROR(IF(VALUE($A13)&lt;100000000,VALUE($A13),1000000000),IFERROR(IF(VALUE(MID($A13,2,20))&lt;100000000,VALUE(MID($A13,2,20)),1000000000),1000000000))+ROW()/100000,"")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IF($A14="","",E14*N14/100)</f>
        <v/>
      </c>
      <c r="J14" s="7" t="n"/>
      <c r="K14" s="7">
        <f>IF($A14="","",S14*N14)</f>
        <v/>
      </c>
      <c r="L14" s="7">
        <f>IF($A14="","",N14-K14)</f>
        <v/>
      </c>
      <c r="M14" s="7">
        <f>IF($A14="","",L14-F14)</f>
        <v/>
      </c>
      <c r="N14" s="7" t="n"/>
      <c r="Q14" s="11" t="n"/>
      <c r="S14">
        <f>IF($A14="","",IF($W14=1,Settings!$C$6,Settings!$C$7)*1)</f>
        <v/>
      </c>
      <c r="U14">
        <f>IF($A14="","",IF(COUNTIF($A$2:$A14,$A14)=1,1,0))</f>
        <v/>
      </c>
      <c r="V14">
        <f>IF($U14=1,SUMPRODUCT(--($X$2:$X$501&lt;$X14))+1,"")</f>
        <v/>
      </c>
      <c r="W14">
        <f>IF($A14="","",IF(OR($T14=TRUE(),$T14="TRUE"),1,0))</f>
        <v/>
      </c>
      <c r="X14">
        <f>IF($U14=1,IFERROR(IF(VALUE($A14)&lt;100000000,VALUE($A14),1000000000),IFERROR(IF(VALUE(MID($A14,2,20))&lt;100000000,VALUE(MID($A14,2,20)),1000000000),1000000000))+ROW()/100000,"")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IF($A15="","",E15*N15/100)</f>
        <v/>
      </c>
      <c r="J15" s="7" t="n"/>
      <c r="K15" s="7">
        <f>IF($A15="","",S15*N15)</f>
        <v/>
      </c>
      <c r="L15" s="7">
        <f>IF($A15="","",N15-K15)</f>
        <v/>
      </c>
      <c r="M15" s="7">
        <f>IF($A15="","",L15-F15)</f>
        <v/>
      </c>
      <c r="N15" s="7" t="n"/>
      <c r="Q15" s="11" t="n"/>
      <c r="S15">
        <f>IF($A15="","",IF($W15=1,Settings!$C$6,Settings!$C$7)*1)</f>
        <v/>
      </c>
      <c r="U15">
        <f>IF($A15="","",IF(COUNTIF($A$2:$A15,$A15)=1,1,0))</f>
        <v/>
      </c>
      <c r="V15">
        <f>IF($U15=1,SUMPRODUCT(--($X$2:$X$501&lt;$X15))+1,"")</f>
        <v/>
      </c>
      <c r="W15">
        <f>IF($A15="","",IF(OR($T15=TRUE(),$T15="TRUE"),1,0))</f>
        <v/>
      </c>
      <c r="X15">
        <f>IF($U15=1,IFERROR(IF(VALUE($A15)&lt;100000000,VALUE($A15),1000000000),IFERROR(IF(VALUE(MID($A15,2,20))&lt;100000000,VALUE(MID($A15,2,20)),1000000000),1000000000))+ROW()/100000,"")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IF($A16="","",E16*N16/100)</f>
        <v/>
      </c>
      <c r="J16" s="7" t="n"/>
      <c r="K16" s="7">
        <f>IF($A16="","",S16*N16)</f>
        <v/>
      </c>
      <c r="L16" s="7">
        <f>IF($A16="","",N16-K16)</f>
        <v/>
      </c>
      <c r="M16" s="7">
        <f>IF($A16="","",L16-F16)</f>
        <v/>
      </c>
      <c r="N16" s="7" t="n"/>
      <c r="Q16" s="11" t="n"/>
      <c r="S16">
        <f>IF($A16="","",IF($W16=1,Settings!$C$6,Settings!$C$7)*1)</f>
        <v/>
      </c>
      <c r="U16">
        <f>IF($A16="","",IF(COUNTIF($A$2:$A16,$A16)=1,1,0))</f>
        <v/>
      </c>
      <c r="V16">
        <f>IF($U16=1,SUMPRODUCT(--($X$2:$X$501&lt;$X16))+1,"")</f>
        <v/>
      </c>
      <c r="W16">
        <f>IF($A16="","",IF(OR($T16=TRUE(),$T16="TRUE"),1,0))</f>
        <v/>
      </c>
      <c r="X16">
        <f>IF($U16=1,IFERROR(IF(VALUE($A16)&lt;100000000,VALUE($A16),1000000000),IFERROR(IF(VALUE(MID($A16,2,20))&lt;100000000,VALUE(MID($A16,2,20)),1000000000),1000000000))+ROW()/100000,"")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IF($A17="","",E17*N17/100)</f>
        <v/>
      </c>
      <c r="J17" s="7" t="n"/>
      <c r="K17" s="7">
        <f>IF($A17="","",S17*N17)</f>
        <v/>
      </c>
      <c r="L17" s="7">
        <f>IF($A17="","",N17-K17)</f>
        <v/>
      </c>
      <c r="M17" s="7">
        <f>IF($A17="","",L17-F17)</f>
        <v/>
      </c>
      <c r="N17" s="7" t="n"/>
      <c r="Q17" s="11" t="n"/>
      <c r="S17">
        <f>IF($A17="","",IF($W17=1,Settings!$C$6,Settings!$C$7)*1)</f>
        <v/>
      </c>
      <c r="U17">
        <f>IF($A17="","",IF(COUNTIF($A$2:$A17,$A17)=1,1,0))</f>
        <v/>
      </c>
      <c r="V17">
        <f>IF($U17=1,SUMPRODUCT(--($X$2:$X$501&lt;$X17))+1,"")</f>
        <v/>
      </c>
      <c r="W17">
        <f>IF($A17="","",IF(OR($T17=TRUE(),$T17="TRUE"),1,0))</f>
        <v/>
      </c>
      <c r="X17">
        <f>IF($U17=1,IFERROR(IF(VALUE($A17)&lt;100000000,VALUE($A17),1000000000),IFERROR(IF(VALUE(MID($A17,2,20))&lt;100000000,VALUE(MID($A17,2,20)),1000000000),1000000000))+ROW()/100000,"")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IF($A18="","",E18*N18/100)</f>
        <v/>
      </c>
      <c r="J18" s="7" t="n"/>
      <c r="K18" s="7">
        <f>IF($A18="","",S18*N18)</f>
        <v/>
      </c>
      <c r="L18" s="7">
        <f>IF($A18="","",N18-K18)</f>
        <v/>
      </c>
      <c r="M18" s="7">
        <f>IF($A18="","",L18-F18)</f>
        <v/>
      </c>
      <c r="N18" s="7" t="n"/>
      <c r="Q18" s="11" t="n"/>
      <c r="S18">
        <f>IF($A18="","",IF($W18=1,Settings!$C$6,Settings!$C$7)*1)</f>
        <v/>
      </c>
      <c r="U18">
        <f>IF($A18="","",IF(COUNTIF($A$2:$A18,$A18)=1,1,0))</f>
        <v/>
      </c>
      <c r="V18">
        <f>IF($U18=1,SUMPRODUCT(--($X$2:$X$501&lt;$X18))+1,"")</f>
        <v/>
      </c>
      <c r="W18">
        <f>IF($A18="","",IF(OR($T18=TRUE(),$T18="TRUE"),1,0))</f>
        <v/>
      </c>
      <c r="X18">
        <f>IF($U18=1,IFERROR(IF(VALUE($A18)&lt;100000000,VALUE($A18),1000000000),IFERROR(IF(VALUE(MID($A18,2,20))&lt;100000000,VALUE(MID($A18,2,20)),1000000000),1000000000))+ROW()/100000,"")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IF($A19="","",E19*N19/100)</f>
        <v/>
      </c>
      <c r="J19" s="7" t="n"/>
      <c r="K19" s="7">
        <f>IF($A19="","",S19*N19)</f>
        <v/>
      </c>
      <c r="L19" s="7">
        <f>IF($A19="","",N19-K19)</f>
        <v/>
      </c>
      <c r="M19" s="7">
        <f>IF($A19="","",L19-F19)</f>
        <v/>
      </c>
      <c r="N19" s="7" t="n"/>
      <c r="Q19" s="11" t="n"/>
      <c r="S19">
        <f>IF($A19="","",IF($W19=1,Settings!$C$6,Settings!$C$7)*1)</f>
        <v/>
      </c>
      <c r="U19">
        <f>IF($A19="","",IF(COUNTIF($A$2:$A19,$A19)=1,1,0))</f>
        <v/>
      </c>
      <c r="V19">
        <f>IF($U19=1,SUMPRODUCT(--($X$2:$X$501&lt;$X19))+1,"")</f>
        <v/>
      </c>
      <c r="W19">
        <f>IF($A19="","",IF(OR($T19=TRUE(),$T19="TRUE"),1,0))</f>
        <v/>
      </c>
      <c r="X19">
        <f>IF($U19=1,IFERROR(IF(VALUE($A19)&lt;100000000,VALUE($A19),1000000000),IFERROR(IF(VALUE(MID($A19,2,20))&lt;100000000,VALUE(MID($A19,2,20)),1000000000),1000000000))+ROW()/100000,"")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IF($A20="","",E20*N20/100)</f>
        <v/>
      </c>
      <c r="J20" s="7" t="n"/>
      <c r="K20" s="7">
        <f>IF($A20="","",S20*N20)</f>
        <v/>
      </c>
      <c r="L20" s="7">
        <f>IF($A20="","",N20-K20)</f>
        <v/>
      </c>
      <c r="M20" s="7">
        <f>IF($A20="","",L20-F20)</f>
        <v/>
      </c>
      <c r="N20" s="7" t="n"/>
      <c r="Q20" s="11" t="n"/>
      <c r="S20">
        <f>IF($A20="","",IF($W20=1,Settings!$C$6,Settings!$C$7)*1)</f>
        <v/>
      </c>
      <c r="U20">
        <f>IF($A20="","",IF(COUNTIF($A$2:$A20,$A20)=1,1,0))</f>
        <v/>
      </c>
      <c r="V20">
        <f>IF($U20=1,SUMPRODUCT(--($X$2:$X$501&lt;$X20))+1,"")</f>
        <v/>
      </c>
      <c r="W20">
        <f>IF($A20="","",IF(OR($T20=TRUE(),$T20="TRUE"),1,0))</f>
        <v/>
      </c>
      <c r="X20">
        <f>IF($U20=1,IFERROR(IF(VALUE($A20)&lt;100000000,VALUE($A20),1000000000),IFERROR(IF(VALUE(MID($A20,2,20))&lt;100000000,VALUE(MID($A20,2,20)),1000000000),1000000000))+ROW()/100000,"")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IF($A21="","",E21*N21/100)</f>
        <v/>
      </c>
      <c r="J21" s="7" t="n"/>
      <c r="K21" s="7">
        <f>IF($A21="","",S21*N21)</f>
        <v/>
      </c>
      <c r="L21" s="7">
        <f>IF($A21="","",N21-K21)</f>
        <v/>
      </c>
      <c r="M21" s="7">
        <f>IF($A21="","",L21-F21)</f>
        <v/>
      </c>
      <c r="N21" s="7" t="n"/>
      <c r="Q21" s="11" t="n"/>
      <c r="S21">
        <f>IF($A21="","",IF($W21=1,Settings!$C$6,Settings!$C$7)*1)</f>
        <v/>
      </c>
      <c r="U21">
        <f>IF($A21="","",IF(COUNTIF($A$2:$A21,$A21)=1,1,0))</f>
        <v/>
      </c>
      <c r="V21">
        <f>IF($U21=1,SUMPRODUCT(--($X$2:$X$501&lt;$X21))+1,"")</f>
        <v/>
      </c>
      <c r="W21">
        <f>IF($A21="","",IF(OR($T21=TRUE(),$T21="TRUE"),1,0))</f>
        <v/>
      </c>
      <c r="X21">
        <f>IF($U21=1,IFERROR(IF(VALUE($A21)&lt;100000000,VALUE($A21),1000000000),IFERROR(IF(VALUE(MID($A21,2,20))&lt;100000000,VALUE(MID($A21,2,20)),1000000000),1000000000))+ROW()/100000,"")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IF($A22="","",E22*N22/100)</f>
        <v/>
      </c>
      <c r="J22" s="7" t="n"/>
      <c r="K22" s="7">
        <f>IF($A22="","",S22*N22)</f>
        <v/>
      </c>
      <c r="L22" s="7">
        <f>IF($A22="","",N22-K22)</f>
        <v/>
      </c>
      <c r="M22" s="7">
        <f>IF($A22="","",L22-F22)</f>
        <v/>
      </c>
      <c r="N22" s="7" t="n"/>
      <c r="Q22" s="11" t="n"/>
      <c r="S22">
        <f>IF($A22="","",IF($W22=1,Settings!$C$6,Settings!$C$7)*1)</f>
        <v/>
      </c>
      <c r="U22">
        <f>IF($A22="","",IF(COUNTIF($A$2:$A22,$A22)=1,1,0))</f>
        <v/>
      </c>
      <c r="V22">
        <f>IF($U22=1,SUMPRODUCT(--($X$2:$X$501&lt;$X22))+1,"")</f>
        <v/>
      </c>
      <c r="W22">
        <f>IF($A22="","",IF(OR($T22=TRUE(),$T22="TRUE"),1,0))</f>
        <v/>
      </c>
      <c r="X22">
        <f>IF($U22=1,IFERROR(IF(VALUE($A22)&lt;100000000,VALUE($A22),1000000000),IFERROR(IF(VALUE(MID($A22,2,20))&lt;100000000,VALUE(MID($A22,2,20)),1000000000),1000000000))+ROW()/100000,"")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IF($A23="","",E23*N23/100)</f>
        <v/>
      </c>
      <c r="J23" s="7" t="n"/>
      <c r="K23" s="7">
        <f>IF($A23="","",S23*N23)</f>
        <v/>
      </c>
      <c r="L23" s="7">
        <f>IF($A23="","",N23-K23)</f>
        <v/>
      </c>
      <c r="M23" s="7">
        <f>IF($A23="","",L23-F23)</f>
        <v/>
      </c>
      <c r="N23" s="7" t="n"/>
      <c r="Q23" s="11" t="n"/>
      <c r="S23">
        <f>IF($A23="","",IF($W23=1,Settings!$C$6,Settings!$C$7)*1)</f>
        <v/>
      </c>
      <c r="U23">
        <f>IF($A23="","",IF(COUNTIF($A$2:$A23,$A23)=1,1,0))</f>
        <v/>
      </c>
      <c r="V23">
        <f>IF($U23=1,SUMPRODUCT(--($X$2:$X$501&lt;$X23))+1,"")</f>
        <v/>
      </c>
      <c r="W23">
        <f>IF($A23="","",IF(OR($T23=TRUE(),$T23="TRUE"),1,0))</f>
        <v/>
      </c>
      <c r="X23">
        <f>IF($U23=1,IFERROR(IF(VALUE($A23)&lt;100000000,VALUE($A23),1000000000),IFERROR(IF(VALUE(MID($A23,2,20))&lt;100000000,VALUE(MID($A23,2,20)),1000000000),1000000000))+ROW()/100000,"")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IF($A24="","",E24*N24/100)</f>
        <v/>
      </c>
      <c r="J24" s="7" t="n"/>
      <c r="K24" s="7">
        <f>IF($A24="","",S24*N24)</f>
        <v/>
      </c>
      <c r="L24" s="7">
        <f>IF($A24="","",N24-K24)</f>
        <v/>
      </c>
      <c r="M24" s="7">
        <f>IF($A24="","",L24-F24)</f>
        <v/>
      </c>
      <c r="N24" s="7" t="n"/>
      <c r="Q24" s="11" t="n"/>
      <c r="S24">
        <f>IF($A24="","",IF($W24=1,Settings!$C$6,Settings!$C$7)*1)</f>
        <v/>
      </c>
      <c r="U24">
        <f>IF($A24="","",IF(COUNTIF($A$2:$A24,$A24)=1,1,0))</f>
        <v/>
      </c>
      <c r="V24">
        <f>IF($U24=1,SUMPRODUCT(--($X$2:$X$501&lt;$X24))+1,"")</f>
        <v/>
      </c>
      <c r="W24">
        <f>IF($A24="","",IF(OR($T24=TRUE(),$T24="TRUE"),1,0))</f>
        <v/>
      </c>
      <c r="X24">
        <f>IF($U24=1,IFERROR(IF(VALUE($A24)&lt;100000000,VALUE($A24),1000000000),IFERROR(IF(VALUE(MID($A24,2,20))&lt;100000000,VALUE(MID($A24,2,20)),1000000000),1000000000))+ROW()/100000,"")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IF($A25="","",E25*N25/100)</f>
        <v/>
      </c>
      <c r="J25" s="7" t="n"/>
      <c r="K25" s="7">
        <f>IF($A25="","",S25*N25)</f>
        <v/>
      </c>
      <c r="L25" s="7">
        <f>IF($A25="","",N25-K25)</f>
        <v/>
      </c>
      <c r="M25" s="7">
        <f>IF($A25="","",L25-F25)</f>
        <v/>
      </c>
      <c r="N25" s="7" t="n"/>
      <c r="Q25" s="11" t="n"/>
      <c r="S25">
        <f>IF($A25="","",IF($W25=1,Settings!$C$6,Settings!$C$7)*1)</f>
        <v/>
      </c>
      <c r="U25">
        <f>IF($A25="","",IF(COUNTIF($A$2:$A25,$A25)=1,1,0))</f>
        <v/>
      </c>
      <c r="V25">
        <f>IF($U25=1,SUMPRODUCT(--($X$2:$X$501&lt;$X25))+1,"")</f>
        <v/>
      </c>
      <c r="W25">
        <f>IF($A25="","",IF(OR($T25=TRUE(),$T25="TRUE"),1,0))</f>
        <v/>
      </c>
      <c r="X25">
        <f>IF($U25=1,IFERROR(IF(VALUE($A25)&lt;100000000,VALUE($A25),1000000000),IFERROR(IF(VALUE(MID($A25,2,20))&lt;100000000,VALUE(MID($A25,2,20)),1000000000),1000000000))+ROW()/100000,"")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IF($A26="","",E26*N26/100)</f>
        <v/>
      </c>
      <c r="J26" s="7" t="n"/>
      <c r="K26" s="7">
        <f>IF($A26="","",S26*N26)</f>
        <v/>
      </c>
      <c r="L26" s="7">
        <f>IF($A26="","",N26-K26)</f>
        <v/>
      </c>
      <c r="M26" s="7">
        <f>IF($A26="","",L26-F26)</f>
        <v/>
      </c>
      <c r="N26" s="7" t="n"/>
      <c r="Q26" s="11" t="n"/>
      <c r="S26">
        <f>IF($A26="","",IF($W26=1,Settings!$C$6,Settings!$C$7)*1)</f>
        <v/>
      </c>
      <c r="U26">
        <f>IF($A26="","",IF(COUNTIF($A$2:$A26,$A26)=1,1,0))</f>
        <v/>
      </c>
      <c r="V26">
        <f>IF($U26=1,SUMPRODUCT(--($X$2:$X$501&lt;$X26))+1,"")</f>
        <v/>
      </c>
      <c r="W26">
        <f>IF($A26="","",IF(OR($T26=TRUE(),$T26="TRUE"),1,0))</f>
        <v/>
      </c>
      <c r="X26">
        <f>IF($U26=1,IFERROR(IF(VALUE($A26)&lt;100000000,VALUE($A26),1000000000),IFERROR(IF(VALUE(MID($A26,2,20))&lt;100000000,VALUE(MID($A26,2,20)),1000000000),1000000000))+ROW()/100000,"")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IF($A27="","",E27*N27/100)</f>
        <v/>
      </c>
      <c r="J27" s="7" t="n"/>
      <c r="K27" s="7">
        <f>IF($A27="","",S27*N27)</f>
        <v/>
      </c>
      <c r="L27" s="7">
        <f>IF($A27="","",N27-K27)</f>
        <v/>
      </c>
      <c r="M27" s="7">
        <f>IF($A27="","",L27-F27)</f>
        <v/>
      </c>
      <c r="N27" s="7" t="n"/>
      <c r="Q27" s="11" t="n"/>
      <c r="S27">
        <f>IF($A27="","",IF($W27=1,Settings!$C$6,Settings!$C$7)*1)</f>
        <v/>
      </c>
      <c r="U27">
        <f>IF($A27="","",IF(COUNTIF($A$2:$A27,$A27)=1,1,0))</f>
        <v/>
      </c>
      <c r="V27">
        <f>IF($U27=1,SUMPRODUCT(--($X$2:$X$501&lt;$X27))+1,"")</f>
        <v/>
      </c>
      <c r="W27">
        <f>IF($A27="","",IF(OR($T27=TRUE(),$T27="TRUE"),1,0))</f>
        <v/>
      </c>
      <c r="X27">
        <f>IF($U27=1,IFERROR(IF(VALUE($A27)&lt;100000000,VALUE($A27),1000000000),IFERROR(IF(VALUE(MID($A27,2,20))&lt;100000000,VALUE(MID($A27,2,20)),1000000000),1000000000))+ROW()/100000,"")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IF($A28="","",E28*N28/100)</f>
        <v/>
      </c>
      <c r="J28" s="7" t="n"/>
      <c r="K28" s="7">
        <f>IF($A28="","",S28*N28)</f>
        <v/>
      </c>
      <c r="L28" s="7">
        <f>IF($A28="","",N28-K28)</f>
        <v/>
      </c>
      <c r="M28" s="7">
        <f>IF($A28="","",L28-F28)</f>
        <v/>
      </c>
      <c r="N28" s="7" t="n"/>
      <c r="Q28" s="11" t="n"/>
      <c r="S28">
        <f>IF($A28="","",IF($W28=1,Settings!$C$6,Settings!$C$7)*1)</f>
        <v/>
      </c>
      <c r="U28">
        <f>IF($A28="","",IF(COUNTIF($A$2:$A28,$A28)=1,1,0))</f>
        <v/>
      </c>
      <c r="V28">
        <f>IF($U28=1,SUMPRODUCT(--($X$2:$X$501&lt;$X28))+1,"")</f>
        <v/>
      </c>
      <c r="W28">
        <f>IF($A28="","",IF(OR($T28=TRUE(),$T28="TRUE"),1,0))</f>
        <v/>
      </c>
      <c r="X28">
        <f>IF($U28=1,IFERROR(IF(VALUE($A28)&lt;100000000,VALUE($A28),1000000000),IFERROR(IF(VALUE(MID($A28,2,20))&lt;100000000,VALUE(MID($A28,2,20)),1000000000),1000000000))+ROW()/100000,"")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IF($A29="","",E29*N29/100)</f>
        <v/>
      </c>
      <c r="J29" s="7" t="n"/>
      <c r="K29" s="7">
        <f>IF($A29="","",S29*N29)</f>
        <v/>
      </c>
      <c r="L29" s="7">
        <f>IF($A29="","",N29-K29)</f>
        <v/>
      </c>
      <c r="M29" s="7">
        <f>IF($A29="","",L29-F29)</f>
        <v/>
      </c>
      <c r="N29" s="7" t="n"/>
      <c r="Q29" s="11" t="n"/>
      <c r="S29">
        <f>IF($A29="","",IF($W29=1,Settings!$C$6,Settings!$C$7)*1)</f>
        <v/>
      </c>
      <c r="U29">
        <f>IF($A29="","",IF(COUNTIF($A$2:$A29,$A29)=1,1,0))</f>
        <v/>
      </c>
      <c r="V29">
        <f>IF($U29=1,SUMPRODUCT(--($X$2:$X$501&lt;$X29))+1,"")</f>
        <v/>
      </c>
      <c r="W29">
        <f>IF($A29="","",IF(OR($T29=TRUE(),$T29="TRUE"),1,0))</f>
        <v/>
      </c>
      <c r="X29">
        <f>IF($U29=1,IFERROR(IF(VALUE($A29)&lt;100000000,VALUE($A29),1000000000),IFERROR(IF(VALUE(MID($A29,2,20))&lt;100000000,VALUE(MID($A29,2,20)),1000000000),1000000000))+ROW()/100000,"")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IF($A30="","",E30*N30/100)</f>
        <v/>
      </c>
      <c r="J30" s="7" t="n"/>
      <c r="K30" s="7">
        <f>IF($A30="","",S30*N30)</f>
        <v/>
      </c>
      <c r="L30" s="7">
        <f>IF($A30="","",N30-K30)</f>
        <v/>
      </c>
      <c r="M30" s="7">
        <f>IF($A30="","",L30-F30)</f>
        <v/>
      </c>
      <c r="N30" s="7" t="n"/>
      <c r="Q30" s="11" t="n"/>
      <c r="S30">
        <f>IF($A30="","",IF($W30=1,Settings!$C$6,Settings!$C$7)*1)</f>
        <v/>
      </c>
      <c r="U30">
        <f>IF($A30="","",IF(COUNTIF($A$2:$A30,$A30)=1,1,0))</f>
        <v/>
      </c>
      <c r="V30">
        <f>IF($U30=1,SUMPRODUCT(--($X$2:$X$501&lt;$X30))+1,"")</f>
        <v/>
      </c>
      <c r="W30">
        <f>IF($A30="","",IF(OR($T30=TRUE(),$T30="TRUE"),1,0))</f>
        <v/>
      </c>
      <c r="X30">
        <f>IF($U30=1,IFERROR(IF(VALUE($A30)&lt;100000000,VALUE($A30),1000000000),IFERROR(IF(VALUE(MID($A30,2,20))&lt;100000000,VALUE(MID($A30,2,20)),1000000000),1000000000))+ROW()/100000,"")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IF($A31="","",E31*N31/100)</f>
        <v/>
      </c>
      <c r="J31" s="7" t="n"/>
      <c r="K31" s="7">
        <f>IF($A31="","",S31*N31)</f>
        <v/>
      </c>
      <c r="L31" s="7">
        <f>IF($A31="","",N31-K31)</f>
        <v/>
      </c>
      <c r="M31" s="7">
        <f>IF($A31="","",L31-F31)</f>
        <v/>
      </c>
      <c r="N31" s="7" t="n"/>
      <c r="Q31" s="11" t="n"/>
      <c r="S31">
        <f>IF($A31="","",IF($W31=1,Settings!$C$6,Settings!$C$7)*1)</f>
        <v/>
      </c>
      <c r="U31">
        <f>IF($A31="","",IF(COUNTIF($A$2:$A31,$A31)=1,1,0))</f>
        <v/>
      </c>
      <c r="V31">
        <f>IF($U31=1,SUMPRODUCT(--($X$2:$X$501&lt;$X31))+1,"")</f>
        <v/>
      </c>
      <c r="W31">
        <f>IF($A31="","",IF(OR($T31=TRUE(),$T31="TRUE"),1,0))</f>
        <v/>
      </c>
      <c r="X31">
        <f>IF($U31=1,IFERROR(IF(VALUE($A31)&lt;100000000,VALUE($A31),1000000000),IFERROR(IF(VALUE(MID($A31,2,20))&lt;100000000,VALUE(MID($A31,2,20)),1000000000),1000000000))+ROW()/100000,"")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IF($A32="","",E32*N32/100)</f>
        <v/>
      </c>
      <c r="J32" s="7" t="n"/>
      <c r="K32" s="7">
        <f>IF($A32="","",S32*N32)</f>
        <v/>
      </c>
      <c r="L32" s="7">
        <f>IF($A32="","",N32-K32)</f>
        <v/>
      </c>
      <c r="M32" s="7">
        <f>IF($A32="","",L32-F32)</f>
        <v/>
      </c>
      <c r="N32" s="7" t="n"/>
      <c r="Q32" s="11" t="n"/>
      <c r="S32">
        <f>IF($A32="","",IF($W32=1,Settings!$C$6,Settings!$C$7)*1)</f>
        <v/>
      </c>
      <c r="U32">
        <f>IF($A32="","",IF(COUNTIF($A$2:$A32,$A32)=1,1,0))</f>
        <v/>
      </c>
      <c r="V32">
        <f>IF($U32=1,SUMPRODUCT(--($X$2:$X$501&lt;$X32))+1,"")</f>
        <v/>
      </c>
      <c r="W32">
        <f>IF($A32="","",IF(OR($T32=TRUE(),$T32="TRUE"),1,0))</f>
        <v/>
      </c>
      <c r="X32">
        <f>IF($U32=1,IFERROR(IF(VALUE($A32)&lt;100000000,VALUE($A32),1000000000),IFERROR(IF(VALUE(MID($A32,2,20))&lt;100000000,VALUE(MID($A32,2,20)),1000000000),1000000000))+ROW()/100000,"")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IF($A33="","",E33*N33/100)</f>
        <v/>
      </c>
      <c r="J33" s="7" t="n"/>
      <c r="K33" s="7">
        <f>IF($A33="","",S33*N33)</f>
        <v/>
      </c>
      <c r="L33" s="7">
        <f>IF($A33="","",N33-K33)</f>
        <v/>
      </c>
      <c r="M33" s="7">
        <f>IF($A33="","",L33-F33)</f>
        <v/>
      </c>
      <c r="N33" s="7" t="n"/>
      <c r="Q33" s="11" t="n"/>
      <c r="S33">
        <f>IF($A33="","",IF($W33=1,Settings!$C$6,Settings!$C$7)*1)</f>
        <v/>
      </c>
      <c r="U33">
        <f>IF($A33="","",IF(COUNTIF($A$2:$A33,$A33)=1,1,0))</f>
        <v/>
      </c>
      <c r="V33">
        <f>IF($U33=1,SUMPRODUCT(--($X$2:$X$501&lt;$X33))+1,"")</f>
        <v/>
      </c>
      <c r="W33">
        <f>IF($A33="","",IF(OR($T33=TRUE(),$T33="TRUE"),1,0))</f>
        <v/>
      </c>
      <c r="X33">
        <f>IF($U33=1,IFERROR(IF(VALUE($A33)&lt;100000000,VALUE($A33),1000000000),IFERROR(IF(VALUE(MID($A33,2,20))&lt;100000000,VALUE(MID($A33,2,20)),1000000000),1000000000))+ROW()/100000,"")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IF($A34="","",E34*N34/100)</f>
        <v/>
      </c>
      <c r="J34" s="7" t="n"/>
      <c r="K34" s="7">
        <f>IF($A34="","",S34*N34)</f>
        <v/>
      </c>
      <c r="L34" s="7">
        <f>IF($A34="","",N34-K34)</f>
        <v/>
      </c>
      <c r="M34" s="7">
        <f>IF($A34="","",L34-F34)</f>
        <v/>
      </c>
      <c r="N34" s="7" t="n"/>
      <c r="Q34" s="11" t="n"/>
      <c r="S34">
        <f>IF($A34="","",IF($W34=1,Settings!$C$6,Settings!$C$7)*1)</f>
        <v/>
      </c>
      <c r="U34">
        <f>IF($A34="","",IF(COUNTIF($A$2:$A34,$A34)=1,1,0))</f>
        <v/>
      </c>
      <c r="V34">
        <f>IF($U34=1,SUMPRODUCT(--($X$2:$X$501&lt;$X34))+1,"")</f>
        <v/>
      </c>
      <c r="W34">
        <f>IF($A34="","",IF(OR($T34=TRUE(),$T34="TRUE"),1,0))</f>
        <v/>
      </c>
      <c r="X34">
        <f>IF($U34=1,IFERROR(IF(VALUE($A34)&lt;100000000,VALUE($A34),1000000000),IFERROR(IF(VALUE(MID($A34,2,20))&lt;100000000,VALUE(MID($A34,2,20)),1000000000),1000000000))+ROW()/100000,"")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IF($A35="","",E35*N35/100)</f>
        <v/>
      </c>
      <c r="J35" s="7" t="n"/>
      <c r="K35" s="7">
        <f>IF($A35="","",S35*N35)</f>
        <v/>
      </c>
      <c r="L35" s="7">
        <f>IF($A35="","",N35-K35)</f>
        <v/>
      </c>
      <c r="M35" s="7">
        <f>IF($A35="","",L35-F35)</f>
        <v/>
      </c>
      <c r="N35" s="7" t="n"/>
      <c r="Q35" s="11" t="n"/>
      <c r="S35">
        <f>IF($A35="","",IF($W35=1,Settings!$C$6,Settings!$C$7)*1)</f>
        <v/>
      </c>
      <c r="U35">
        <f>IF($A35="","",IF(COUNTIF($A$2:$A35,$A35)=1,1,0))</f>
        <v/>
      </c>
      <c r="V35">
        <f>IF($U35=1,SUMPRODUCT(--($X$2:$X$501&lt;$X35))+1,"")</f>
        <v/>
      </c>
      <c r="W35">
        <f>IF($A35="","",IF(OR($T35=TRUE(),$T35="TRUE"),1,0))</f>
        <v/>
      </c>
      <c r="X35">
        <f>IF($U35=1,IFERROR(IF(VALUE($A35)&lt;100000000,VALUE($A35),1000000000),IFERROR(IF(VALUE(MID($A35,2,20))&lt;100000000,VALUE(MID($A35,2,20)),1000000000),1000000000))+ROW()/100000,"")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IF($A36="","",E36*N36/100)</f>
        <v/>
      </c>
      <c r="J36" s="7" t="n"/>
      <c r="K36" s="7">
        <f>IF($A36="","",S36*N36)</f>
        <v/>
      </c>
      <c r="L36" s="7">
        <f>IF($A36="","",N36-K36)</f>
        <v/>
      </c>
      <c r="M36" s="7">
        <f>IF($A36="","",L36-F36)</f>
        <v/>
      </c>
      <c r="N36" s="7" t="n"/>
      <c r="Q36" s="11" t="n"/>
      <c r="S36">
        <f>IF($A36="","",IF($W36=1,Settings!$C$6,Settings!$C$7)*1)</f>
        <v/>
      </c>
      <c r="U36">
        <f>IF($A36="","",IF(COUNTIF($A$2:$A36,$A36)=1,1,0))</f>
        <v/>
      </c>
      <c r="V36">
        <f>IF($U36=1,SUMPRODUCT(--($X$2:$X$501&lt;$X36))+1,"")</f>
        <v/>
      </c>
      <c r="W36">
        <f>IF($A36="","",IF(OR($T36=TRUE(),$T36="TRUE"),1,0))</f>
        <v/>
      </c>
      <c r="X36">
        <f>IF($U36=1,IFERROR(IF(VALUE($A36)&lt;100000000,VALUE($A36),1000000000),IFERROR(IF(VALUE(MID($A36,2,20))&lt;100000000,VALUE(MID($A36,2,20)),1000000000),1000000000))+ROW()/100000,"")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IF($A37="","",E37*N37/100)</f>
        <v/>
      </c>
      <c r="J37" s="7" t="n"/>
      <c r="K37" s="7">
        <f>IF($A37="","",S37*N37)</f>
        <v/>
      </c>
      <c r="L37" s="7">
        <f>IF($A37="","",N37-K37)</f>
        <v/>
      </c>
      <c r="M37" s="7">
        <f>IF($A37="","",L37-F37)</f>
        <v/>
      </c>
      <c r="N37" s="7" t="n"/>
      <c r="Q37" s="11" t="n"/>
      <c r="S37">
        <f>IF($A37="","",IF($W37=1,Settings!$C$6,Settings!$C$7)*1)</f>
        <v/>
      </c>
      <c r="U37">
        <f>IF($A37="","",IF(COUNTIF($A$2:$A37,$A37)=1,1,0))</f>
        <v/>
      </c>
      <c r="V37">
        <f>IF($U37=1,SUMPRODUCT(--($X$2:$X$501&lt;$X37))+1,"")</f>
        <v/>
      </c>
      <c r="W37">
        <f>IF($A37="","",IF(OR($T37=TRUE(),$T37="TRUE"),1,0))</f>
        <v/>
      </c>
      <c r="X37">
        <f>IF($U37=1,IFERROR(IF(VALUE($A37)&lt;100000000,VALUE($A37),1000000000),IFERROR(IF(VALUE(MID($A37,2,20))&lt;100000000,VALUE(MID($A37,2,20)),1000000000),1000000000))+ROW()/100000,"")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IF($A38="","",E38*N38/100)</f>
        <v/>
      </c>
      <c r="J38" s="7" t="n"/>
      <c r="K38" s="7">
        <f>IF($A38="","",S38*N38)</f>
        <v/>
      </c>
      <c r="L38" s="7">
        <f>IF($A38="","",N38-K38)</f>
        <v/>
      </c>
      <c r="M38" s="7">
        <f>IF($A38="","",L38-F38)</f>
        <v/>
      </c>
      <c r="N38" s="7" t="n"/>
      <c r="Q38" s="11" t="n"/>
      <c r="S38">
        <f>IF($A38="","",IF($W38=1,Settings!$C$6,Settings!$C$7)*1)</f>
        <v/>
      </c>
      <c r="U38">
        <f>IF($A38="","",IF(COUNTIF($A$2:$A38,$A38)=1,1,0))</f>
        <v/>
      </c>
      <c r="V38">
        <f>IF($U38=1,SUMPRODUCT(--($X$2:$X$501&lt;$X38))+1,"")</f>
        <v/>
      </c>
      <c r="W38">
        <f>IF($A38="","",IF(OR($T38=TRUE(),$T38="TRUE"),1,0))</f>
        <v/>
      </c>
      <c r="X38">
        <f>IF($U38=1,IFERROR(IF(VALUE($A38)&lt;100000000,VALUE($A38),1000000000),IFERROR(IF(VALUE(MID($A38,2,20))&lt;100000000,VALUE(MID($A38,2,20)),1000000000),1000000000))+ROW()/100000,"")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IF($A39="","",E39*N39/100)</f>
        <v/>
      </c>
      <c r="J39" s="7" t="n"/>
      <c r="K39" s="7">
        <f>IF($A39="","",S39*N39)</f>
        <v/>
      </c>
      <c r="L39" s="7">
        <f>IF($A39="","",N39-K39)</f>
        <v/>
      </c>
      <c r="M39" s="7">
        <f>IF($A39="","",L39-F39)</f>
        <v/>
      </c>
      <c r="N39" s="7" t="n"/>
      <c r="Q39" s="11" t="n"/>
      <c r="S39">
        <f>IF($A39="","",IF($W39=1,Settings!$C$6,Settings!$C$7)*1)</f>
        <v/>
      </c>
      <c r="U39">
        <f>IF($A39="","",IF(COUNTIF($A$2:$A39,$A39)=1,1,0))</f>
        <v/>
      </c>
      <c r="V39">
        <f>IF($U39=1,SUMPRODUCT(--($X$2:$X$501&lt;$X39))+1,"")</f>
        <v/>
      </c>
      <c r="W39">
        <f>IF($A39="","",IF(OR($T39=TRUE(),$T39="TRUE"),1,0))</f>
        <v/>
      </c>
      <c r="X39">
        <f>IF($U39=1,IFERROR(IF(VALUE($A39)&lt;100000000,VALUE($A39),1000000000),IFERROR(IF(VALUE(MID($A39,2,20))&lt;100000000,VALUE(MID($A39,2,20)),1000000000),1000000000))+ROW()/100000,"")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IF($A40="","",E40*N40/100)</f>
        <v/>
      </c>
      <c r="J40" s="7" t="n"/>
      <c r="K40" s="7">
        <f>IF($A40="","",S40*N40)</f>
        <v/>
      </c>
      <c r="L40" s="7">
        <f>IF($A40="","",N40-K40)</f>
        <v/>
      </c>
      <c r="M40" s="7">
        <f>IF($A40="","",L40-F40)</f>
        <v/>
      </c>
      <c r="N40" s="7" t="n"/>
      <c r="Q40" s="11" t="n"/>
      <c r="S40">
        <f>IF($A40="","",IF($W40=1,Settings!$C$6,Settings!$C$7)*1)</f>
        <v/>
      </c>
      <c r="U40">
        <f>IF($A40="","",IF(COUNTIF($A$2:$A40,$A40)=1,1,0))</f>
        <v/>
      </c>
      <c r="V40">
        <f>IF($U40=1,SUMPRODUCT(--($X$2:$X$501&lt;$X40))+1,"")</f>
        <v/>
      </c>
      <c r="W40">
        <f>IF($A40="","",IF(OR($T40=TRUE(),$T40="TRUE"),1,0))</f>
        <v/>
      </c>
      <c r="X40">
        <f>IF($U40=1,IFERROR(IF(VALUE($A40)&lt;100000000,VALUE($A40),1000000000),IFERROR(IF(VALUE(MID($A40,2,20))&lt;100000000,VALUE(MID($A40,2,20)),1000000000),1000000000))+ROW()/100000,"")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IF($A41="","",E41*N41/100)</f>
        <v/>
      </c>
      <c r="J41" s="7" t="n"/>
      <c r="K41" s="7">
        <f>IF($A41="","",S41*N41)</f>
        <v/>
      </c>
      <c r="L41" s="7">
        <f>IF($A41="","",N41-K41)</f>
        <v/>
      </c>
      <c r="M41" s="7">
        <f>IF($A41="","",L41-F41)</f>
        <v/>
      </c>
      <c r="N41" s="7" t="n"/>
      <c r="Q41" s="11" t="n"/>
      <c r="S41">
        <f>IF($A41="","",IF($W41=1,Settings!$C$6,Settings!$C$7)*1)</f>
        <v/>
      </c>
      <c r="U41">
        <f>IF($A41="","",IF(COUNTIF($A$2:$A41,$A41)=1,1,0))</f>
        <v/>
      </c>
      <c r="V41">
        <f>IF($U41=1,SUMPRODUCT(--($X$2:$X$501&lt;$X41))+1,"")</f>
        <v/>
      </c>
      <c r="W41">
        <f>IF($A41="","",IF(OR($T41=TRUE(),$T41="TRUE"),1,0))</f>
        <v/>
      </c>
      <c r="X41">
        <f>IF($U41=1,IFERROR(IF(VALUE($A41)&lt;100000000,VALUE($A41),1000000000),IFERROR(IF(VALUE(MID($A41,2,20))&lt;100000000,VALUE(MID($A41,2,20)),1000000000),1000000000))+ROW()/100000,"")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IF($A42="","",E42*N42/100)</f>
        <v/>
      </c>
      <c r="J42" s="7" t="n"/>
      <c r="K42" s="7">
        <f>IF($A42="","",S42*N42)</f>
        <v/>
      </c>
      <c r="L42" s="7">
        <f>IF($A42="","",N42-K42)</f>
        <v/>
      </c>
      <c r="M42" s="7">
        <f>IF($A42="","",L42-F42)</f>
        <v/>
      </c>
      <c r="N42" s="7" t="n"/>
      <c r="Q42" s="11" t="n"/>
      <c r="S42">
        <f>IF($A42="","",IF($W42=1,Settings!$C$6,Settings!$C$7)*1)</f>
        <v/>
      </c>
      <c r="U42">
        <f>IF($A42="","",IF(COUNTIF($A$2:$A42,$A42)=1,1,0))</f>
        <v/>
      </c>
      <c r="V42">
        <f>IF($U42=1,SUMPRODUCT(--($X$2:$X$501&lt;$X42))+1,"")</f>
        <v/>
      </c>
      <c r="W42">
        <f>IF($A42="","",IF(OR($T42=TRUE(),$T42="TRUE"),1,0))</f>
        <v/>
      </c>
      <c r="X42">
        <f>IF($U42=1,IFERROR(IF(VALUE($A42)&lt;100000000,VALUE($A42),1000000000),IFERROR(IF(VALUE(MID($A42,2,20))&lt;100000000,VALUE(MID($A42,2,20)),1000000000),1000000000))+ROW()/100000,"")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IF($A43="","",E43*N43/100)</f>
        <v/>
      </c>
      <c r="J43" s="7" t="n"/>
      <c r="K43" s="7">
        <f>IF($A43="","",S43*N43)</f>
        <v/>
      </c>
      <c r="L43" s="7">
        <f>IF($A43="","",N43-K43)</f>
        <v/>
      </c>
      <c r="M43" s="7">
        <f>IF($A43="","",L43-F43)</f>
        <v/>
      </c>
      <c r="N43" s="7" t="n"/>
      <c r="Q43" s="11" t="n"/>
      <c r="S43">
        <f>IF($A43="","",IF($W43=1,Settings!$C$6,Settings!$C$7)*1)</f>
        <v/>
      </c>
      <c r="U43">
        <f>IF($A43="","",IF(COUNTIF($A$2:$A43,$A43)=1,1,0))</f>
        <v/>
      </c>
      <c r="V43">
        <f>IF($U43=1,SUMPRODUCT(--($X$2:$X$501&lt;$X43))+1,"")</f>
        <v/>
      </c>
      <c r="W43">
        <f>IF($A43="","",IF(OR($T43=TRUE(),$T43="TRUE"),1,0))</f>
        <v/>
      </c>
      <c r="X43">
        <f>IF($U43=1,IFERROR(IF(VALUE($A43)&lt;100000000,VALUE($A43),1000000000),IFERROR(IF(VALUE(MID($A43,2,20))&lt;100000000,VALUE(MID($A43,2,20)),1000000000),1000000000))+ROW()/100000,"")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IF($A44="","",E44*N44/100)</f>
        <v/>
      </c>
      <c r="J44" s="7" t="n"/>
      <c r="K44" s="7">
        <f>IF($A44="","",S44*N44)</f>
        <v/>
      </c>
      <c r="L44" s="7">
        <f>IF($A44="","",N44-K44)</f>
        <v/>
      </c>
      <c r="M44" s="7">
        <f>IF($A44="","",L44-F44)</f>
        <v/>
      </c>
      <c r="N44" s="7" t="n"/>
      <c r="Q44" s="11" t="n"/>
      <c r="S44">
        <f>IF($A44="","",IF($W44=1,Settings!$C$6,Settings!$C$7)*1)</f>
        <v/>
      </c>
      <c r="U44">
        <f>IF($A44="","",IF(COUNTIF($A$2:$A44,$A44)=1,1,0))</f>
        <v/>
      </c>
      <c r="V44">
        <f>IF($U44=1,SUMPRODUCT(--($X$2:$X$501&lt;$X44))+1,"")</f>
        <v/>
      </c>
      <c r="W44">
        <f>IF($A44="","",IF(OR($T44=TRUE(),$T44="TRUE"),1,0))</f>
        <v/>
      </c>
      <c r="X44">
        <f>IF($U44=1,IFERROR(IF(VALUE($A44)&lt;100000000,VALUE($A44),1000000000),IFERROR(IF(VALUE(MID($A44,2,20))&lt;100000000,VALUE(MID($A44,2,20)),1000000000),1000000000))+ROW()/100000,"")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IF($A45="","",E45*N45/100)</f>
        <v/>
      </c>
      <c r="J45" s="7" t="n"/>
      <c r="K45" s="7">
        <f>IF($A45="","",S45*N45)</f>
        <v/>
      </c>
      <c r="L45" s="7">
        <f>IF($A45="","",N45-K45)</f>
        <v/>
      </c>
      <c r="M45" s="7">
        <f>IF($A45="","",L45-F45)</f>
        <v/>
      </c>
      <c r="N45" s="7" t="n"/>
      <c r="Q45" s="11" t="n"/>
      <c r="S45">
        <f>IF($A45="","",IF($W45=1,Settings!$C$6,Settings!$C$7)*1)</f>
        <v/>
      </c>
      <c r="U45">
        <f>IF($A45="","",IF(COUNTIF($A$2:$A45,$A45)=1,1,0))</f>
        <v/>
      </c>
      <c r="V45">
        <f>IF($U45=1,SUMPRODUCT(--($X$2:$X$501&lt;$X45))+1,"")</f>
        <v/>
      </c>
      <c r="W45">
        <f>IF($A45="","",IF(OR($T45=TRUE(),$T45="TRUE"),1,0))</f>
        <v/>
      </c>
      <c r="X45">
        <f>IF($U45=1,IFERROR(IF(VALUE($A45)&lt;100000000,VALUE($A45),1000000000),IFERROR(IF(VALUE(MID($A45,2,20))&lt;100000000,VALUE(MID($A45,2,20)),1000000000),1000000000))+ROW()/100000,"")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IF($A46="","",E46*N46/100)</f>
        <v/>
      </c>
      <c r="J46" s="7" t="n"/>
      <c r="K46" s="7">
        <f>IF($A46="","",S46*N46)</f>
        <v/>
      </c>
      <c r="L46" s="7">
        <f>IF($A46="","",N46-K46)</f>
        <v/>
      </c>
      <c r="M46" s="7">
        <f>IF($A46="","",L46-F46)</f>
        <v/>
      </c>
      <c r="N46" s="7" t="n"/>
      <c r="Q46" s="11" t="n"/>
      <c r="S46">
        <f>IF($A46="","",IF($W46=1,Settings!$C$6,Settings!$C$7)*1)</f>
        <v/>
      </c>
      <c r="U46">
        <f>IF($A46="","",IF(COUNTIF($A$2:$A46,$A46)=1,1,0))</f>
        <v/>
      </c>
      <c r="V46">
        <f>IF($U46=1,SUMPRODUCT(--($X$2:$X$501&lt;$X46))+1,"")</f>
        <v/>
      </c>
      <c r="W46">
        <f>IF($A46="","",IF(OR($T46=TRUE(),$T46="TRUE"),1,0))</f>
        <v/>
      </c>
      <c r="X46">
        <f>IF($U46=1,IFERROR(IF(VALUE($A46)&lt;100000000,VALUE($A46),1000000000),IFERROR(IF(VALUE(MID($A46,2,20))&lt;100000000,VALUE(MID($A46,2,20)),1000000000),1000000000))+ROW()/100000,"")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IF($A47="","",E47*N47/100)</f>
        <v/>
      </c>
      <c r="J47" s="7" t="n"/>
      <c r="K47" s="7">
        <f>IF($A47="","",S47*N47)</f>
        <v/>
      </c>
      <c r="L47" s="7">
        <f>IF($A47="","",N47-K47)</f>
        <v/>
      </c>
      <c r="M47" s="7">
        <f>IF($A47="","",L47-F47)</f>
        <v/>
      </c>
      <c r="N47" s="7" t="n"/>
      <c r="Q47" s="11" t="n"/>
      <c r="S47">
        <f>IF($A47="","",IF($W47=1,Settings!$C$6,Settings!$C$7)*1)</f>
        <v/>
      </c>
      <c r="U47">
        <f>IF($A47="","",IF(COUNTIF($A$2:$A47,$A47)=1,1,0))</f>
        <v/>
      </c>
      <c r="V47">
        <f>IF($U47=1,SUMPRODUCT(--($X$2:$X$501&lt;$X47))+1,"")</f>
        <v/>
      </c>
      <c r="W47">
        <f>IF($A47="","",IF(OR($T47=TRUE(),$T47="TRUE"),1,0))</f>
        <v/>
      </c>
      <c r="X47">
        <f>IF($U47=1,IFERROR(IF(VALUE($A47)&lt;100000000,VALUE($A47),1000000000),IFERROR(IF(VALUE(MID($A47,2,20))&lt;100000000,VALUE(MID($A47,2,20)),1000000000),1000000000))+ROW()/100000,"")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IF($A48="","",E48*N48/100)</f>
        <v/>
      </c>
      <c r="J48" s="7" t="n"/>
      <c r="K48" s="7">
        <f>IF($A48="","",S48*N48)</f>
        <v/>
      </c>
      <c r="L48" s="7">
        <f>IF($A48="","",N48-K48)</f>
        <v/>
      </c>
      <c r="M48" s="7">
        <f>IF($A48="","",L48-F48)</f>
        <v/>
      </c>
      <c r="N48" s="7" t="n"/>
      <c r="Q48" s="11" t="n"/>
      <c r="S48">
        <f>IF($A48="","",IF($W48=1,Settings!$C$6,Settings!$C$7)*1)</f>
        <v/>
      </c>
      <c r="U48">
        <f>IF($A48="","",IF(COUNTIF($A$2:$A48,$A48)=1,1,0))</f>
        <v/>
      </c>
      <c r="V48">
        <f>IF($U48=1,SUMPRODUCT(--($X$2:$X$501&lt;$X48))+1,"")</f>
        <v/>
      </c>
      <c r="W48">
        <f>IF($A48="","",IF(OR($T48=TRUE(),$T48="TRUE"),1,0))</f>
        <v/>
      </c>
      <c r="X48">
        <f>IF($U48=1,IFERROR(IF(VALUE($A48)&lt;100000000,VALUE($A48),1000000000),IFERROR(IF(VALUE(MID($A48,2,20))&lt;100000000,VALUE(MID($A48,2,20)),1000000000),1000000000))+ROW()/100000,"")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IF($A49="","",E49*N49/100)</f>
        <v/>
      </c>
      <c r="J49" s="7" t="n"/>
      <c r="K49" s="7">
        <f>IF($A49="","",S49*N49)</f>
        <v/>
      </c>
      <c r="L49" s="7">
        <f>IF($A49="","",N49-K49)</f>
        <v/>
      </c>
      <c r="M49" s="7">
        <f>IF($A49="","",L49-F49)</f>
        <v/>
      </c>
      <c r="N49" s="7" t="n"/>
      <c r="Q49" s="11" t="n"/>
      <c r="S49">
        <f>IF($A49="","",IF($W49=1,Settings!$C$6,Settings!$C$7)*1)</f>
        <v/>
      </c>
      <c r="U49">
        <f>IF($A49="","",IF(COUNTIF($A$2:$A49,$A49)=1,1,0))</f>
        <v/>
      </c>
      <c r="V49">
        <f>IF($U49=1,SUMPRODUCT(--($X$2:$X$501&lt;$X49))+1,"")</f>
        <v/>
      </c>
      <c r="W49">
        <f>IF($A49="","",IF(OR($T49=TRUE(),$T49="TRUE"),1,0))</f>
        <v/>
      </c>
      <c r="X49">
        <f>IF($U49=1,IFERROR(IF(VALUE($A49)&lt;100000000,VALUE($A49),1000000000),IFERROR(IF(VALUE(MID($A49,2,20))&lt;100000000,VALUE(MID($A49,2,20)),1000000000),1000000000))+ROW()/100000,"")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IF($A50="","",E50*N50/100)</f>
        <v/>
      </c>
      <c r="J50" s="7" t="n"/>
      <c r="K50" s="7">
        <f>IF($A50="","",S50*N50)</f>
        <v/>
      </c>
      <c r="L50" s="7">
        <f>IF($A50="","",N50-K50)</f>
        <v/>
      </c>
      <c r="M50" s="7">
        <f>IF($A50="","",L50-F50)</f>
        <v/>
      </c>
      <c r="N50" s="7" t="n"/>
      <c r="Q50" s="11" t="n"/>
      <c r="S50">
        <f>IF($A50="","",IF($W50=1,Settings!$C$6,Settings!$C$7)*1)</f>
        <v/>
      </c>
      <c r="U50">
        <f>IF($A50="","",IF(COUNTIF($A$2:$A50,$A50)=1,1,0))</f>
        <v/>
      </c>
      <c r="V50">
        <f>IF($U50=1,SUMPRODUCT(--($X$2:$X$501&lt;$X50))+1,"")</f>
        <v/>
      </c>
      <c r="W50">
        <f>IF($A50="","",IF(OR($T50=TRUE(),$T50="TRUE"),1,0))</f>
        <v/>
      </c>
      <c r="X50">
        <f>IF($U50=1,IFERROR(IF(VALUE($A50)&lt;100000000,VALUE($A50),1000000000),IFERROR(IF(VALUE(MID($A50,2,20))&lt;100000000,VALUE(MID($A50,2,20)),1000000000),1000000000))+ROW()/100000,"")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IF($A51="","",E51*N51/100)</f>
        <v/>
      </c>
      <c r="J51" s="7" t="n"/>
      <c r="K51" s="7">
        <f>IF($A51="","",S51*N51)</f>
        <v/>
      </c>
      <c r="L51" s="7">
        <f>IF($A51="","",N51-K51)</f>
        <v/>
      </c>
      <c r="M51" s="7">
        <f>IF($A51="","",L51-F51)</f>
        <v/>
      </c>
      <c r="N51" s="7" t="n"/>
      <c r="Q51" s="11" t="n"/>
      <c r="S51">
        <f>IF($A51="","",IF($W51=1,Settings!$C$6,Settings!$C$7)*1)</f>
        <v/>
      </c>
      <c r="U51">
        <f>IF($A51="","",IF(COUNTIF($A$2:$A51,$A51)=1,1,0))</f>
        <v/>
      </c>
      <c r="V51">
        <f>IF($U51=1,SUMPRODUCT(--($X$2:$X$501&lt;$X51))+1,"")</f>
        <v/>
      </c>
      <c r="W51">
        <f>IF($A51="","",IF(OR($T51=TRUE(),$T51="TRUE"),1,0))</f>
        <v/>
      </c>
      <c r="X51">
        <f>IF($U51=1,IFERROR(IF(VALUE($A51)&lt;100000000,VALUE($A51),1000000000),IFERROR(IF(VALUE(MID($A51,2,20))&lt;100000000,VALUE(MID($A51,2,20)),1000000000),1000000000))+ROW()/100000,"")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IF($A52="","",E52*N52/100)</f>
        <v/>
      </c>
      <c r="J52" s="7" t="n"/>
      <c r="K52" s="7">
        <f>IF($A52="","",S52*N52)</f>
        <v/>
      </c>
      <c r="L52" s="7">
        <f>IF($A52="","",N52-K52)</f>
        <v/>
      </c>
      <c r="M52" s="7">
        <f>IF($A52="","",L52-F52)</f>
        <v/>
      </c>
      <c r="N52" s="7" t="n"/>
      <c r="Q52" s="11" t="n"/>
      <c r="S52">
        <f>IF($A52="","",IF($W52=1,Settings!$C$6,Settings!$C$7)*1)</f>
        <v/>
      </c>
      <c r="U52">
        <f>IF($A52="","",IF(COUNTIF($A$2:$A52,$A52)=1,1,0))</f>
        <v/>
      </c>
      <c r="V52">
        <f>IF($U52=1,SUMPRODUCT(--($X$2:$X$501&lt;$X52))+1,"")</f>
        <v/>
      </c>
      <c r="W52">
        <f>IF($A52="","",IF(OR($T52=TRUE(),$T52="TRUE"),1,0))</f>
        <v/>
      </c>
      <c r="X52">
        <f>IF($U52=1,IFERROR(IF(VALUE($A52)&lt;100000000,VALUE($A52),1000000000),IFERROR(IF(VALUE(MID($A52,2,20))&lt;100000000,VALUE(MID($A52,2,20)),1000000000),1000000000))+ROW()/100000,"")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IF($A53="","",E53*N53/100)</f>
        <v/>
      </c>
      <c r="J53" s="7" t="n"/>
      <c r="K53" s="7">
        <f>IF($A53="","",S53*N53)</f>
        <v/>
      </c>
      <c r="L53" s="7">
        <f>IF($A53="","",N53-K53)</f>
        <v/>
      </c>
      <c r="M53" s="7">
        <f>IF($A53="","",L53-F53)</f>
        <v/>
      </c>
      <c r="N53" s="7" t="n"/>
      <c r="Q53" s="11" t="n"/>
      <c r="S53">
        <f>IF($A53="","",IF($W53=1,Settings!$C$6,Settings!$C$7)*1)</f>
        <v/>
      </c>
      <c r="U53">
        <f>IF($A53="","",IF(COUNTIF($A$2:$A53,$A53)=1,1,0))</f>
        <v/>
      </c>
      <c r="V53">
        <f>IF($U53=1,SUMPRODUCT(--($X$2:$X$501&lt;$X53))+1,"")</f>
        <v/>
      </c>
      <c r="W53">
        <f>IF($A53="","",IF(OR($T53=TRUE(),$T53="TRUE"),1,0))</f>
        <v/>
      </c>
      <c r="X53">
        <f>IF($U53=1,IFERROR(IF(VALUE($A53)&lt;100000000,VALUE($A53),1000000000),IFERROR(IF(VALUE(MID($A53,2,20))&lt;100000000,VALUE(MID($A53,2,20)),1000000000),1000000000))+ROW()/100000,"")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IF($A54="","",E54*N54/100)</f>
        <v/>
      </c>
      <c r="J54" s="7" t="n"/>
      <c r="K54" s="7">
        <f>IF($A54="","",S54*N54)</f>
        <v/>
      </c>
      <c r="L54" s="7">
        <f>IF($A54="","",N54-K54)</f>
        <v/>
      </c>
      <c r="M54" s="7">
        <f>IF($A54="","",L54-F54)</f>
        <v/>
      </c>
      <c r="N54" s="7" t="n"/>
      <c r="Q54" s="11" t="n"/>
      <c r="S54">
        <f>IF($A54="","",IF($W54=1,Settings!$C$6,Settings!$C$7)*1)</f>
        <v/>
      </c>
      <c r="U54">
        <f>IF($A54="","",IF(COUNTIF($A$2:$A54,$A54)=1,1,0))</f>
        <v/>
      </c>
      <c r="V54">
        <f>IF($U54=1,SUMPRODUCT(--($X$2:$X$501&lt;$X54))+1,"")</f>
        <v/>
      </c>
      <c r="W54">
        <f>IF($A54="","",IF(OR($T54=TRUE(),$T54="TRUE"),1,0))</f>
        <v/>
      </c>
      <c r="X54">
        <f>IF($U54=1,IFERROR(IF(VALUE($A54)&lt;100000000,VALUE($A54),1000000000),IFERROR(IF(VALUE(MID($A54,2,20))&lt;100000000,VALUE(MID($A54,2,20)),1000000000),1000000000))+ROW()/100000,"")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IF($A55="","",E55*N55/100)</f>
        <v/>
      </c>
      <c r="J55" s="7" t="n"/>
      <c r="K55" s="7">
        <f>IF($A55="","",S55*N55)</f>
        <v/>
      </c>
      <c r="L55" s="7">
        <f>IF($A55="","",N55-K55)</f>
        <v/>
      </c>
      <c r="M55" s="7">
        <f>IF($A55="","",L55-F55)</f>
        <v/>
      </c>
      <c r="N55" s="7" t="n"/>
      <c r="Q55" s="11" t="n"/>
      <c r="S55">
        <f>IF($A55="","",IF($W55=1,Settings!$C$6,Settings!$C$7)*1)</f>
        <v/>
      </c>
      <c r="U55">
        <f>IF($A55="","",IF(COUNTIF($A$2:$A55,$A55)=1,1,0))</f>
        <v/>
      </c>
      <c r="V55">
        <f>IF($U55=1,SUMPRODUCT(--($X$2:$X$501&lt;$X55))+1,"")</f>
        <v/>
      </c>
      <c r="W55">
        <f>IF($A55="","",IF(OR($T55=TRUE(),$T55="TRUE"),1,0))</f>
        <v/>
      </c>
      <c r="X55">
        <f>IF($U55=1,IFERROR(IF(VALUE($A55)&lt;100000000,VALUE($A55),1000000000),IFERROR(IF(VALUE(MID($A55,2,20))&lt;100000000,VALUE(MID($A55,2,20)),1000000000),1000000000))+ROW()/100000,"")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IF($A56="","",E56*N56/100)</f>
        <v/>
      </c>
      <c r="J56" s="7" t="n"/>
      <c r="K56" s="7">
        <f>IF($A56="","",S56*N56)</f>
        <v/>
      </c>
      <c r="L56" s="7">
        <f>IF($A56="","",N56-K56)</f>
        <v/>
      </c>
      <c r="M56" s="7">
        <f>IF($A56="","",L56-F56)</f>
        <v/>
      </c>
      <c r="N56" s="7" t="n"/>
      <c r="Q56" s="11" t="n"/>
      <c r="S56">
        <f>IF($A56="","",IF($W56=1,Settings!$C$6,Settings!$C$7)*1)</f>
        <v/>
      </c>
      <c r="U56">
        <f>IF($A56="","",IF(COUNTIF($A$2:$A56,$A56)=1,1,0))</f>
        <v/>
      </c>
      <c r="V56">
        <f>IF($U56=1,SUMPRODUCT(--($X$2:$X$501&lt;$X56))+1,"")</f>
        <v/>
      </c>
      <c r="W56">
        <f>IF($A56="","",IF(OR($T56=TRUE(),$T56="TRUE"),1,0))</f>
        <v/>
      </c>
      <c r="X56">
        <f>IF($U56=1,IFERROR(IF(VALUE($A56)&lt;100000000,VALUE($A56),1000000000),IFERROR(IF(VALUE(MID($A56,2,20))&lt;100000000,VALUE(MID($A56,2,20)),1000000000),1000000000))+ROW()/100000,"")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IF($A57="","",E57*N57/100)</f>
        <v/>
      </c>
      <c r="J57" s="7" t="n"/>
      <c r="K57" s="7">
        <f>IF($A57="","",S57*N57)</f>
        <v/>
      </c>
      <c r="L57" s="7">
        <f>IF($A57="","",N57-K57)</f>
        <v/>
      </c>
      <c r="M57" s="7">
        <f>IF($A57="","",L57-F57)</f>
        <v/>
      </c>
      <c r="N57" s="7" t="n"/>
      <c r="Q57" s="11" t="n"/>
      <c r="S57">
        <f>IF($A57="","",IF($W57=1,Settings!$C$6,Settings!$C$7)*1)</f>
        <v/>
      </c>
      <c r="U57">
        <f>IF($A57="","",IF(COUNTIF($A$2:$A57,$A57)=1,1,0))</f>
        <v/>
      </c>
      <c r="V57">
        <f>IF($U57=1,SUMPRODUCT(--($X$2:$X$501&lt;$X57))+1,"")</f>
        <v/>
      </c>
      <c r="W57">
        <f>IF($A57="","",IF(OR($T57=TRUE(),$T57="TRUE"),1,0))</f>
        <v/>
      </c>
      <c r="X57">
        <f>IF($U57=1,IFERROR(IF(VALUE($A57)&lt;100000000,VALUE($A57),1000000000),IFERROR(IF(VALUE(MID($A57,2,20))&lt;100000000,VALUE(MID($A57,2,20)),1000000000),1000000000))+ROW()/100000,"")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IF($A58="","",E58*N58/100)</f>
        <v/>
      </c>
      <c r="J58" s="7" t="n"/>
      <c r="K58" s="7">
        <f>IF($A58="","",S58*N58)</f>
        <v/>
      </c>
      <c r="L58" s="7">
        <f>IF($A58="","",N58-K58)</f>
        <v/>
      </c>
      <c r="M58" s="7">
        <f>IF($A58="","",L58-F58)</f>
        <v/>
      </c>
      <c r="N58" s="7" t="n"/>
      <c r="Q58" s="11" t="n"/>
      <c r="S58">
        <f>IF($A58="","",IF($W58=1,Settings!$C$6,Settings!$C$7)*1)</f>
        <v/>
      </c>
      <c r="U58">
        <f>IF($A58="","",IF(COUNTIF($A$2:$A58,$A58)=1,1,0))</f>
        <v/>
      </c>
      <c r="V58">
        <f>IF($U58=1,SUMPRODUCT(--($X$2:$X$501&lt;$X58))+1,"")</f>
        <v/>
      </c>
      <c r="W58">
        <f>IF($A58="","",IF(OR($T58=TRUE(),$T58="TRUE"),1,0))</f>
        <v/>
      </c>
      <c r="X58">
        <f>IF($U58=1,IFERROR(IF(VALUE($A58)&lt;100000000,VALUE($A58),1000000000),IFERROR(IF(VALUE(MID($A58,2,20))&lt;100000000,VALUE(MID($A58,2,20)),1000000000),1000000000))+ROW()/100000,"")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IF($A59="","",E59*N59/100)</f>
        <v/>
      </c>
      <c r="J59" s="7" t="n"/>
      <c r="K59" s="7">
        <f>IF($A59="","",S59*N59)</f>
        <v/>
      </c>
      <c r="L59" s="7">
        <f>IF($A59="","",N59-K59)</f>
        <v/>
      </c>
      <c r="M59" s="7">
        <f>IF($A59="","",L59-F59)</f>
        <v/>
      </c>
      <c r="N59" s="7" t="n"/>
      <c r="Q59" s="11" t="n"/>
      <c r="S59">
        <f>IF($A59="","",IF($W59=1,Settings!$C$6,Settings!$C$7)*1)</f>
        <v/>
      </c>
      <c r="U59">
        <f>IF($A59="","",IF(COUNTIF($A$2:$A59,$A59)=1,1,0))</f>
        <v/>
      </c>
      <c r="V59">
        <f>IF($U59=1,SUMPRODUCT(--($X$2:$X$501&lt;$X59))+1,"")</f>
        <v/>
      </c>
      <c r="W59">
        <f>IF($A59="","",IF(OR($T59=TRUE(),$T59="TRUE"),1,0))</f>
        <v/>
      </c>
      <c r="X59">
        <f>IF($U59=1,IFERROR(IF(VALUE($A59)&lt;100000000,VALUE($A59),1000000000),IFERROR(IF(VALUE(MID($A59,2,20))&lt;100000000,VALUE(MID($A59,2,20)),1000000000),1000000000))+ROW()/100000,"")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IF($A60="","",E60*N60/100)</f>
        <v/>
      </c>
      <c r="J60" s="7" t="n"/>
      <c r="K60" s="7">
        <f>IF($A60="","",S60*N60)</f>
        <v/>
      </c>
      <c r="L60" s="7">
        <f>IF($A60="","",N60-K60)</f>
        <v/>
      </c>
      <c r="M60" s="7">
        <f>IF($A60="","",L60-F60)</f>
        <v/>
      </c>
      <c r="N60" s="7" t="n"/>
      <c r="Q60" s="11" t="n"/>
      <c r="S60">
        <f>IF($A60="","",IF($W60=1,Settings!$C$6,Settings!$C$7)*1)</f>
        <v/>
      </c>
      <c r="U60">
        <f>IF($A60="","",IF(COUNTIF($A$2:$A60,$A60)=1,1,0))</f>
        <v/>
      </c>
      <c r="V60">
        <f>IF($U60=1,SUMPRODUCT(--($X$2:$X$501&lt;$X60))+1,"")</f>
        <v/>
      </c>
      <c r="W60">
        <f>IF($A60="","",IF(OR($T60=TRUE(),$T60="TRUE"),1,0))</f>
        <v/>
      </c>
      <c r="X60">
        <f>IF($U60=1,IFERROR(IF(VALUE($A60)&lt;100000000,VALUE($A60),1000000000),IFERROR(IF(VALUE(MID($A60,2,20))&lt;100000000,VALUE(MID($A60,2,20)),1000000000),1000000000))+ROW()/100000,"")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IF($A61="","",E61*N61/100)</f>
        <v/>
      </c>
      <c r="J61" s="7" t="n"/>
      <c r="K61" s="7">
        <f>IF($A61="","",S61*N61)</f>
        <v/>
      </c>
      <c r="L61" s="7">
        <f>IF($A61="","",N61-K61)</f>
        <v/>
      </c>
      <c r="M61" s="7">
        <f>IF($A61="","",L61-F61)</f>
        <v/>
      </c>
      <c r="N61" s="7" t="n"/>
      <c r="Q61" s="11" t="n"/>
      <c r="S61">
        <f>IF($A61="","",IF($W61=1,Settings!$C$6,Settings!$C$7)*1)</f>
        <v/>
      </c>
      <c r="U61">
        <f>IF($A61="","",IF(COUNTIF($A$2:$A61,$A61)=1,1,0))</f>
        <v/>
      </c>
      <c r="V61">
        <f>IF($U61=1,SUMPRODUCT(--($X$2:$X$501&lt;$X61))+1,"")</f>
        <v/>
      </c>
      <c r="W61">
        <f>IF($A61="","",IF(OR($T61=TRUE(),$T61="TRUE"),1,0))</f>
        <v/>
      </c>
      <c r="X61">
        <f>IF($U61=1,IFERROR(IF(VALUE($A61)&lt;100000000,VALUE($A61),1000000000),IFERROR(IF(VALUE(MID($A61,2,20))&lt;100000000,VALUE(MID($A61,2,20)),1000000000),1000000000))+ROW()/100000,"")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IF($A62="","",E62*N62/100)</f>
        <v/>
      </c>
      <c r="J62" s="7" t="n"/>
      <c r="K62" s="7">
        <f>IF($A62="","",S62*N62)</f>
        <v/>
      </c>
      <c r="L62" s="7">
        <f>IF($A62="","",N62-K62)</f>
        <v/>
      </c>
      <c r="M62" s="7">
        <f>IF($A62="","",L62-F62)</f>
        <v/>
      </c>
      <c r="N62" s="7" t="n"/>
      <c r="Q62" s="11" t="n"/>
      <c r="S62">
        <f>IF($A62="","",IF($W62=1,Settings!$C$6,Settings!$C$7)*1)</f>
        <v/>
      </c>
      <c r="U62">
        <f>IF($A62="","",IF(COUNTIF($A$2:$A62,$A62)=1,1,0))</f>
        <v/>
      </c>
      <c r="V62">
        <f>IF($U62=1,SUMPRODUCT(--($X$2:$X$501&lt;$X62))+1,"")</f>
        <v/>
      </c>
      <c r="W62">
        <f>IF($A62="","",IF(OR($T62=TRUE(),$T62="TRUE"),1,0))</f>
        <v/>
      </c>
      <c r="X62">
        <f>IF($U62=1,IFERROR(IF(VALUE($A62)&lt;100000000,VALUE($A62),1000000000),IFERROR(IF(VALUE(MID($A62,2,20))&lt;100000000,VALUE(MID($A62,2,20)),1000000000),1000000000))+ROW()/100000,"")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IF($A63="","",E63*N63/100)</f>
        <v/>
      </c>
      <c r="J63" s="7" t="n"/>
      <c r="K63" s="7">
        <f>IF($A63="","",S63*N63)</f>
        <v/>
      </c>
      <c r="L63" s="7">
        <f>IF($A63="","",N63-K63)</f>
        <v/>
      </c>
      <c r="M63" s="7">
        <f>IF($A63="","",L63-F63)</f>
        <v/>
      </c>
      <c r="N63" s="7" t="n"/>
      <c r="Q63" s="11" t="n"/>
      <c r="S63">
        <f>IF($A63="","",IF($W63=1,Settings!$C$6,Settings!$C$7)*1)</f>
        <v/>
      </c>
      <c r="U63">
        <f>IF($A63="","",IF(COUNTIF($A$2:$A63,$A63)=1,1,0))</f>
        <v/>
      </c>
      <c r="V63">
        <f>IF($U63=1,SUMPRODUCT(--($X$2:$X$501&lt;$X63))+1,"")</f>
        <v/>
      </c>
      <c r="W63">
        <f>IF($A63="","",IF(OR($T63=TRUE(),$T63="TRUE"),1,0))</f>
        <v/>
      </c>
      <c r="X63">
        <f>IF($U63=1,IFERROR(IF(VALUE($A63)&lt;100000000,VALUE($A63),1000000000),IFERROR(IF(VALUE(MID($A63,2,20))&lt;100000000,VALUE(MID($A63,2,20)),1000000000),1000000000))+ROW()/100000,"")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IF($A64="","",E64*N64/100)</f>
        <v/>
      </c>
      <c r="J64" s="7" t="n"/>
      <c r="K64" s="7">
        <f>IF($A64="","",S64*N64)</f>
        <v/>
      </c>
      <c r="L64" s="7">
        <f>IF($A64="","",N64-K64)</f>
        <v/>
      </c>
      <c r="M64" s="7">
        <f>IF($A64="","",L64-F64)</f>
        <v/>
      </c>
      <c r="N64" s="7" t="n"/>
      <c r="Q64" s="11" t="n"/>
      <c r="S64">
        <f>IF($A64="","",IF($W64=1,Settings!$C$6,Settings!$C$7)*1)</f>
        <v/>
      </c>
      <c r="U64">
        <f>IF($A64="","",IF(COUNTIF($A$2:$A64,$A64)=1,1,0))</f>
        <v/>
      </c>
      <c r="V64">
        <f>IF($U64=1,SUMPRODUCT(--($X$2:$X$501&lt;$X64))+1,"")</f>
        <v/>
      </c>
      <c r="W64">
        <f>IF($A64="","",IF(OR($T64=TRUE(),$T64="TRUE"),1,0))</f>
        <v/>
      </c>
      <c r="X64">
        <f>IF($U64=1,IFERROR(IF(VALUE($A64)&lt;100000000,VALUE($A64),1000000000),IFERROR(IF(VALUE(MID($A64,2,20))&lt;100000000,VALUE(MID($A64,2,20)),1000000000),1000000000))+ROW()/100000,"")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IF($A65="","",E65*N65/100)</f>
        <v/>
      </c>
      <c r="J65" s="7" t="n"/>
      <c r="K65" s="7">
        <f>IF($A65="","",S65*N65)</f>
        <v/>
      </c>
      <c r="L65" s="7">
        <f>IF($A65="","",N65-K65)</f>
        <v/>
      </c>
      <c r="M65" s="7">
        <f>IF($A65="","",L65-F65)</f>
        <v/>
      </c>
      <c r="N65" s="7" t="n"/>
      <c r="Q65" s="11" t="n"/>
      <c r="S65">
        <f>IF($A65="","",IF($W65=1,Settings!$C$6,Settings!$C$7)*1)</f>
        <v/>
      </c>
      <c r="U65">
        <f>IF($A65="","",IF(COUNTIF($A$2:$A65,$A65)=1,1,0))</f>
        <v/>
      </c>
      <c r="V65">
        <f>IF($U65=1,SUMPRODUCT(--($X$2:$X$501&lt;$X65))+1,"")</f>
        <v/>
      </c>
      <c r="W65">
        <f>IF($A65="","",IF(OR($T65=TRUE(),$T65="TRUE"),1,0))</f>
        <v/>
      </c>
      <c r="X65">
        <f>IF($U65=1,IFERROR(IF(VALUE($A65)&lt;100000000,VALUE($A65),1000000000),IFERROR(IF(VALUE(MID($A65,2,20))&lt;100000000,VALUE(MID($A65,2,20)),1000000000),1000000000))+ROW()/100000,"")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IF($A66="","",E66*N66/100)</f>
        <v/>
      </c>
      <c r="J66" s="7" t="n"/>
      <c r="K66" s="7">
        <f>IF($A66="","",S66*N66)</f>
        <v/>
      </c>
      <c r="L66" s="7">
        <f>IF($A66="","",N66-K66)</f>
        <v/>
      </c>
      <c r="M66" s="7">
        <f>IF($A66="","",L66-F66)</f>
        <v/>
      </c>
      <c r="N66" s="7" t="n"/>
      <c r="Q66" s="11" t="n"/>
      <c r="S66">
        <f>IF($A66="","",IF($W66=1,Settings!$C$6,Settings!$C$7)*1)</f>
        <v/>
      </c>
      <c r="U66">
        <f>IF($A66="","",IF(COUNTIF($A$2:$A66,$A66)=1,1,0))</f>
        <v/>
      </c>
      <c r="V66">
        <f>IF($U66=1,SUMPRODUCT(--($X$2:$X$501&lt;$X66))+1,"")</f>
        <v/>
      </c>
      <c r="W66">
        <f>IF($A66="","",IF(OR($T66=TRUE(),$T66="TRUE"),1,0))</f>
        <v/>
      </c>
      <c r="X66">
        <f>IF($U66=1,IFERROR(IF(VALUE($A66)&lt;100000000,VALUE($A66),1000000000),IFERROR(IF(VALUE(MID($A66,2,20))&lt;100000000,VALUE(MID($A66,2,20)),1000000000),1000000000))+ROW()/100000,"")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IF($A67="","",E67*N67/100)</f>
        <v/>
      </c>
      <c r="J67" s="7" t="n"/>
      <c r="K67" s="7">
        <f>IF($A67="","",S67*N67)</f>
        <v/>
      </c>
      <c r="L67" s="7">
        <f>IF($A67="","",N67-K67)</f>
        <v/>
      </c>
      <c r="M67" s="7">
        <f>IF($A67="","",L67-F67)</f>
        <v/>
      </c>
      <c r="N67" s="7" t="n"/>
      <c r="Q67" s="11" t="n"/>
      <c r="S67">
        <f>IF($A67="","",IF($W67=1,Settings!$C$6,Settings!$C$7)*1)</f>
        <v/>
      </c>
      <c r="U67">
        <f>IF($A67="","",IF(COUNTIF($A$2:$A67,$A67)=1,1,0))</f>
        <v/>
      </c>
      <c r="V67">
        <f>IF($U67=1,SUMPRODUCT(--($X$2:$X$501&lt;$X67))+1,"")</f>
        <v/>
      </c>
      <c r="W67">
        <f>IF($A67="","",IF(OR($T67=TRUE(),$T67="TRUE"),1,0))</f>
        <v/>
      </c>
      <c r="X67">
        <f>IF($U67=1,IFERROR(IF(VALUE($A67)&lt;100000000,VALUE($A67),1000000000),IFERROR(IF(VALUE(MID($A67,2,20))&lt;100000000,VALUE(MID($A67,2,20)),1000000000),1000000000))+ROW()/100000,"")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IF($A68="","",E68*N68/100)</f>
        <v/>
      </c>
      <c r="J68" s="7" t="n"/>
      <c r="K68" s="7">
        <f>IF($A68="","",S68*N68)</f>
        <v/>
      </c>
      <c r="L68" s="7">
        <f>IF($A68="","",N68-K68)</f>
        <v/>
      </c>
      <c r="M68" s="7">
        <f>IF($A68="","",L68-F68)</f>
        <v/>
      </c>
      <c r="N68" s="7" t="n"/>
      <c r="Q68" s="11" t="n"/>
      <c r="S68">
        <f>IF($A68="","",IF($W68=1,Settings!$C$6,Settings!$C$7)*1)</f>
        <v/>
      </c>
      <c r="U68">
        <f>IF($A68="","",IF(COUNTIF($A$2:$A68,$A68)=1,1,0))</f>
        <v/>
      </c>
      <c r="V68">
        <f>IF($U68=1,SUMPRODUCT(--($X$2:$X$501&lt;$X68))+1,"")</f>
        <v/>
      </c>
      <c r="W68">
        <f>IF($A68="","",IF(OR($T68=TRUE(),$T68="TRUE"),1,0))</f>
        <v/>
      </c>
      <c r="X68">
        <f>IF($U68=1,IFERROR(IF(VALUE($A68)&lt;100000000,VALUE($A68),1000000000),IFERROR(IF(VALUE(MID($A68,2,20))&lt;100000000,VALUE(MID($A68,2,20)),1000000000),1000000000))+ROW()/100000,"")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IF($A69="","",E69*N69/100)</f>
        <v/>
      </c>
      <c r="J69" s="7" t="n"/>
      <c r="K69" s="7">
        <f>IF($A69="","",S69*N69)</f>
        <v/>
      </c>
      <c r="L69" s="7">
        <f>IF($A69="","",N69-K69)</f>
        <v/>
      </c>
      <c r="M69" s="7">
        <f>IF($A69="","",L69-F69)</f>
        <v/>
      </c>
      <c r="N69" s="7" t="n"/>
      <c r="Q69" s="11" t="n"/>
      <c r="S69">
        <f>IF($A69="","",IF($W69=1,Settings!$C$6,Settings!$C$7)*1)</f>
        <v/>
      </c>
      <c r="U69">
        <f>IF($A69="","",IF(COUNTIF($A$2:$A69,$A69)=1,1,0))</f>
        <v/>
      </c>
      <c r="V69">
        <f>IF($U69=1,SUMPRODUCT(--($X$2:$X$501&lt;$X69))+1,"")</f>
        <v/>
      </c>
      <c r="W69">
        <f>IF($A69="","",IF(OR($T69=TRUE(),$T69="TRUE"),1,0))</f>
        <v/>
      </c>
      <c r="X69">
        <f>IF($U69=1,IFERROR(IF(VALUE($A69)&lt;100000000,VALUE($A69),1000000000),IFERROR(IF(VALUE(MID($A69,2,20))&lt;100000000,VALUE(MID($A69,2,20)),1000000000),1000000000))+ROW()/100000,"")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IF($A70="","",E70*N70/100)</f>
        <v/>
      </c>
      <c r="J70" s="7" t="n"/>
      <c r="K70" s="7">
        <f>IF($A70="","",S70*N70)</f>
        <v/>
      </c>
      <c r="L70" s="7">
        <f>IF($A70="","",N70-K70)</f>
        <v/>
      </c>
      <c r="M70" s="7">
        <f>IF($A70="","",L70-F70)</f>
        <v/>
      </c>
      <c r="N70" s="7" t="n"/>
      <c r="Q70" s="11" t="n"/>
      <c r="S70">
        <f>IF($A70="","",IF($W70=1,Settings!$C$6,Settings!$C$7)*1)</f>
        <v/>
      </c>
      <c r="U70">
        <f>IF($A70="","",IF(COUNTIF($A$2:$A70,$A70)=1,1,0))</f>
        <v/>
      </c>
      <c r="V70">
        <f>IF($U70=1,SUMPRODUCT(--($X$2:$X$501&lt;$X70))+1,"")</f>
        <v/>
      </c>
      <c r="W70">
        <f>IF($A70="","",IF(OR($T70=TRUE(),$T70="TRUE"),1,0))</f>
        <v/>
      </c>
      <c r="X70">
        <f>IF($U70=1,IFERROR(IF(VALUE($A70)&lt;100000000,VALUE($A70),1000000000),IFERROR(IF(VALUE(MID($A70,2,20))&lt;100000000,VALUE(MID($A70,2,20)),1000000000),1000000000))+ROW()/100000,"")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IF($A71="","",E71*N71/100)</f>
        <v/>
      </c>
      <c r="J71" s="7" t="n"/>
      <c r="K71" s="7">
        <f>IF($A71="","",S71*N71)</f>
        <v/>
      </c>
      <c r="L71" s="7">
        <f>IF($A71="","",N71-K71)</f>
        <v/>
      </c>
      <c r="M71" s="7">
        <f>IF($A71="","",L71-F71)</f>
        <v/>
      </c>
      <c r="N71" s="7" t="n"/>
      <c r="Q71" s="11" t="n"/>
      <c r="S71">
        <f>IF($A71="","",IF($W71=1,Settings!$C$6,Settings!$C$7)*1)</f>
        <v/>
      </c>
      <c r="U71">
        <f>IF($A71="","",IF(COUNTIF($A$2:$A71,$A71)=1,1,0))</f>
        <v/>
      </c>
      <c r="V71">
        <f>IF($U71=1,SUMPRODUCT(--($X$2:$X$501&lt;$X71))+1,"")</f>
        <v/>
      </c>
      <c r="W71">
        <f>IF($A71="","",IF(OR($T71=TRUE(),$T71="TRUE"),1,0))</f>
        <v/>
      </c>
      <c r="X71">
        <f>IF($U71=1,IFERROR(IF(VALUE($A71)&lt;100000000,VALUE($A71),1000000000),IFERROR(IF(VALUE(MID($A71,2,20))&lt;100000000,VALUE(MID($A71,2,20)),1000000000),1000000000))+ROW()/100000,"")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IF($A72="","",E72*N72/100)</f>
        <v/>
      </c>
      <c r="J72" s="7" t="n"/>
      <c r="K72" s="7">
        <f>IF($A72="","",S72*N72)</f>
        <v/>
      </c>
      <c r="L72" s="7">
        <f>IF($A72="","",N72-K72)</f>
        <v/>
      </c>
      <c r="M72" s="7">
        <f>IF($A72="","",L72-F72)</f>
        <v/>
      </c>
      <c r="N72" s="7" t="n"/>
      <c r="Q72" s="11" t="n"/>
      <c r="S72">
        <f>IF($A72="","",IF($W72=1,Settings!$C$6,Settings!$C$7)*1)</f>
        <v/>
      </c>
      <c r="U72">
        <f>IF($A72="","",IF(COUNTIF($A$2:$A72,$A72)=1,1,0))</f>
        <v/>
      </c>
      <c r="V72">
        <f>IF($U72=1,SUMPRODUCT(--($X$2:$X$501&lt;$X72))+1,"")</f>
        <v/>
      </c>
      <c r="W72">
        <f>IF($A72="","",IF(OR($T72=TRUE(),$T72="TRUE"),1,0))</f>
        <v/>
      </c>
      <c r="X72">
        <f>IF($U72=1,IFERROR(IF(VALUE($A72)&lt;100000000,VALUE($A72),1000000000),IFERROR(IF(VALUE(MID($A72,2,20))&lt;100000000,VALUE(MID($A72,2,20)),1000000000),1000000000))+ROW()/100000,"")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IF($A73="","",E73*N73/100)</f>
        <v/>
      </c>
      <c r="J73" s="7" t="n"/>
      <c r="K73" s="7">
        <f>IF($A73="","",S73*N73)</f>
        <v/>
      </c>
      <c r="L73" s="7">
        <f>IF($A73="","",N73-K73)</f>
        <v/>
      </c>
      <c r="M73" s="7">
        <f>IF($A73="","",L73-F73)</f>
        <v/>
      </c>
      <c r="N73" s="7" t="n"/>
      <c r="Q73" s="11" t="n"/>
      <c r="S73">
        <f>IF($A73="","",IF($W73=1,Settings!$C$6,Settings!$C$7)*1)</f>
        <v/>
      </c>
      <c r="U73">
        <f>IF($A73="","",IF(COUNTIF($A$2:$A73,$A73)=1,1,0))</f>
        <v/>
      </c>
      <c r="V73">
        <f>IF($U73=1,SUMPRODUCT(--($X$2:$X$501&lt;$X73))+1,"")</f>
        <v/>
      </c>
      <c r="W73">
        <f>IF($A73="","",IF(OR($T73=TRUE(),$T73="TRUE"),1,0))</f>
        <v/>
      </c>
      <c r="X73">
        <f>IF($U73=1,IFERROR(IF(VALUE($A73)&lt;100000000,VALUE($A73),1000000000),IFERROR(IF(VALUE(MID($A73,2,20))&lt;100000000,VALUE(MID($A73,2,20)),1000000000),1000000000))+ROW()/100000,"")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IF($A74="","",E74*N74/100)</f>
        <v/>
      </c>
      <c r="J74" s="7" t="n"/>
      <c r="K74" s="7">
        <f>IF($A74="","",S74*N74)</f>
        <v/>
      </c>
      <c r="L74" s="7">
        <f>IF($A74="","",N74-K74)</f>
        <v/>
      </c>
      <c r="M74" s="7">
        <f>IF($A74="","",L74-F74)</f>
        <v/>
      </c>
      <c r="N74" s="7" t="n"/>
      <c r="Q74" s="11" t="n"/>
      <c r="S74">
        <f>IF($A74="","",IF($W74=1,Settings!$C$6,Settings!$C$7)*1)</f>
        <v/>
      </c>
      <c r="U74">
        <f>IF($A74="","",IF(COUNTIF($A$2:$A74,$A74)=1,1,0))</f>
        <v/>
      </c>
      <c r="V74">
        <f>IF($U74=1,SUMPRODUCT(--($X$2:$X$501&lt;$X74))+1,"")</f>
        <v/>
      </c>
      <c r="W74">
        <f>IF($A74="","",IF(OR($T74=TRUE(),$T74="TRUE"),1,0))</f>
        <v/>
      </c>
      <c r="X74">
        <f>IF($U74=1,IFERROR(IF(VALUE($A74)&lt;100000000,VALUE($A74),1000000000),IFERROR(IF(VALUE(MID($A74,2,20))&lt;100000000,VALUE(MID($A74,2,20)),1000000000),1000000000))+ROW()/100000,"")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IF($A75="","",E75*N75/100)</f>
        <v/>
      </c>
      <c r="J75" s="7" t="n"/>
      <c r="K75" s="7">
        <f>IF($A75="","",S75*N75)</f>
        <v/>
      </c>
      <c r="L75" s="7">
        <f>IF($A75="","",N75-K75)</f>
        <v/>
      </c>
      <c r="M75" s="7">
        <f>IF($A75="","",L75-F75)</f>
        <v/>
      </c>
      <c r="N75" s="7" t="n"/>
      <c r="Q75" s="11" t="n"/>
      <c r="S75">
        <f>IF($A75="","",IF($W75=1,Settings!$C$6,Settings!$C$7)*1)</f>
        <v/>
      </c>
      <c r="U75">
        <f>IF($A75="","",IF(COUNTIF($A$2:$A75,$A75)=1,1,0))</f>
        <v/>
      </c>
      <c r="V75">
        <f>IF($U75=1,SUMPRODUCT(--($X$2:$X$501&lt;$X75))+1,"")</f>
        <v/>
      </c>
      <c r="W75">
        <f>IF($A75="","",IF(OR($T75=TRUE(),$T75="TRUE"),1,0))</f>
        <v/>
      </c>
      <c r="X75">
        <f>IF($U75=1,IFERROR(IF(VALUE($A75)&lt;100000000,VALUE($A75),1000000000),IFERROR(IF(VALUE(MID($A75,2,20))&lt;100000000,VALUE(MID($A75,2,20)),1000000000),1000000000))+ROW()/100000,"")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IF($A76="","",E76*N76/100)</f>
        <v/>
      </c>
      <c r="J76" s="7" t="n"/>
      <c r="K76" s="7">
        <f>IF($A76="","",S76*N76)</f>
        <v/>
      </c>
      <c r="L76" s="7">
        <f>IF($A76="","",N76-K76)</f>
        <v/>
      </c>
      <c r="M76" s="7">
        <f>IF($A76="","",L76-F76)</f>
        <v/>
      </c>
      <c r="N76" s="7" t="n"/>
      <c r="Q76" s="11" t="n"/>
      <c r="S76">
        <f>IF($A76="","",IF($W76=1,Settings!$C$6,Settings!$C$7)*1)</f>
        <v/>
      </c>
      <c r="U76">
        <f>IF($A76="","",IF(COUNTIF($A$2:$A76,$A76)=1,1,0))</f>
        <v/>
      </c>
      <c r="V76">
        <f>IF($U76=1,SUMPRODUCT(--($X$2:$X$501&lt;$X76))+1,"")</f>
        <v/>
      </c>
      <c r="W76">
        <f>IF($A76="","",IF(OR($T76=TRUE(),$T76="TRUE"),1,0))</f>
        <v/>
      </c>
      <c r="X76">
        <f>IF($U76=1,IFERROR(IF(VALUE($A76)&lt;100000000,VALUE($A76),1000000000),IFERROR(IF(VALUE(MID($A76,2,20))&lt;100000000,VALUE(MID($A76,2,20)),1000000000),1000000000))+ROW()/100000,"")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IF($A77="","",E77*N77/100)</f>
        <v/>
      </c>
      <c r="J77" s="7" t="n"/>
      <c r="K77" s="7">
        <f>IF($A77="","",S77*N77)</f>
        <v/>
      </c>
      <c r="L77" s="7">
        <f>IF($A77="","",N77-K77)</f>
        <v/>
      </c>
      <c r="M77" s="7">
        <f>IF($A77="","",L77-F77)</f>
        <v/>
      </c>
      <c r="N77" s="7" t="n"/>
      <c r="Q77" s="11" t="n"/>
      <c r="S77">
        <f>IF($A77="","",IF($W77=1,Settings!$C$6,Settings!$C$7)*1)</f>
        <v/>
      </c>
      <c r="U77">
        <f>IF($A77="","",IF(COUNTIF($A$2:$A77,$A77)=1,1,0))</f>
        <v/>
      </c>
      <c r="V77">
        <f>IF($U77=1,SUMPRODUCT(--($X$2:$X$501&lt;$X77))+1,"")</f>
        <v/>
      </c>
      <c r="W77">
        <f>IF($A77="","",IF(OR($T77=TRUE(),$T77="TRUE"),1,0))</f>
        <v/>
      </c>
      <c r="X77">
        <f>IF($U77=1,IFERROR(IF(VALUE($A77)&lt;100000000,VALUE($A77),1000000000),IFERROR(IF(VALUE(MID($A77,2,20))&lt;100000000,VALUE(MID($A77,2,20)),1000000000),1000000000))+ROW()/100000,"")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IF($A78="","",E78*N78/100)</f>
        <v/>
      </c>
      <c r="J78" s="7" t="n"/>
      <c r="K78" s="7">
        <f>IF($A78="","",S78*N78)</f>
        <v/>
      </c>
      <c r="L78" s="7">
        <f>IF($A78="","",N78-K78)</f>
        <v/>
      </c>
      <c r="M78" s="7">
        <f>IF($A78="","",L78-F78)</f>
        <v/>
      </c>
      <c r="N78" s="7" t="n"/>
      <c r="Q78" s="11" t="n"/>
      <c r="S78">
        <f>IF($A78="","",IF($W78=1,Settings!$C$6,Settings!$C$7)*1)</f>
        <v/>
      </c>
      <c r="U78">
        <f>IF($A78="","",IF(COUNTIF($A$2:$A78,$A78)=1,1,0))</f>
        <v/>
      </c>
      <c r="V78">
        <f>IF($U78=1,SUMPRODUCT(--($X$2:$X$501&lt;$X78))+1,"")</f>
        <v/>
      </c>
      <c r="W78">
        <f>IF($A78="","",IF(OR($T78=TRUE(),$T78="TRUE"),1,0))</f>
        <v/>
      </c>
      <c r="X78">
        <f>IF($U78=1,IFERROR(IF(VALUE($A78)&lt;100000000,VALUE($A78),1000000000),IFERROR(IF(VALUE(MID($A78,2,20))&lt;100000000,VALUE(MID($A78,2,20)),1000000000),1000000000))+ROW()/100000,"")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IF($A79="","",E79*N79/100)</f>
        <v/>
      </c>
      <c r="J79" s="7" t="n"/>
      <c r="K79" s="7">
        <f>IF($A79="","",S79*N79)</f>
        <v/>
      </c>
      <c r="L79" s="7">
        <f>IF($A79="","",N79-K79)</f>
        <v/>
      </c>
      <c r="M79" s="7">
        <f>IF($A79="","",L79-F79)</f>
        <v/>
      </c>
      <c r="N79" s="7" t="n"/>
      <c r="Q79" s="11" t="n"/>
      <c r="S79">
        <f>IF($A79="","",IF($W79=1,Settings!$C$6,Settings!$C$7)*1)</f>
        <v/>
      </c>
      <c r="U79">
        <f>IF($A79="","",IF(COUNTIF($A$2:$A79,$A79)=1,1,0))</f>
        <v/>
      </c>
      <c r="V79">
        <f>IF($U79=1,SUMPRODUCT(--($X$2:$X$501&lt;$X79))+1,"")</f>
        <v/>
      </c>
      <c r="W79">
        <f>IF($A79="","",IF(OR($T79=TRUE(),$T79="TRUE"),1,0))</f>
        <v/>
      </c>
      <c r="X79">
        <f>IF($U79=1,IFERROR(IF(VALUE($A79)&lt;100000000,VALUE($A79),1000000000),IFERROR(IF(VALUE(MID($A79,2,20))&lt;100000000,VALUE(MID($A79,2,20)),1000000000),1000000000))+ROW()/100000,"")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IF($A80="","",E80*N80/100)</f>
        <v/>
      </c>
      <c r="J80" s="7" t="n"/>
      <c r="K80" s="7">
        <f>IF($A80="","",S80*N80)</f>
        <v/>
      </c>
      <c r="L80" s="7">
        <f>IF($A80="","",N80-K80)</f>
        <v/>
      </c>
      <c r="M80" s="7">
        <f>IF($A80="","",L80-F80)</f>
        <v/>
      </c>
      <c r="N80" s="7" t="n"/>
      <c r="Q80" s="11" t="n"/>
      <c r="S80">
        <f>IF($A80="","",IF($W80=1,Settings!$C$6,Settings!$C$7)*1)</f>
        <v/>
      </c>
      <c r="U80">
        <f>IF($A80="","",IF(COUNTIF($A$2:$A80,$A80)=1,1,0))</f>
        <v/>
      </c>
      <c r="V80">
        <f>IF($U80=1,SUMPRODUCT(--($X$2:$X$501&lt;$X80))+1,"")</f>
        <v/>
      </c>
      <c r="W80">
        <f>IF($A80="","",IF(OR($T80=TRUE(),$T80="TRUE"),1,0))</f>
        <v/>
      </c>
      <c r="X80">
        <f>IF($U80=1,IFERROR(IF(VALUE($A80)&lt;100000000,VALUE($A80),1000000000),IFERROR(IF(VALUE(MID($A80,2,20))&lt;100000000,VALUE(MID($A80,2,20)),1000000000),1000000000))+ROW()/100000,"")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IF($A81="","",E81*N81/100)</f>
        <v/>
      </c>
      <c r="J81" s="7" t="n"/>
      <c r="K81" s="7">
        <f>IF($A81="","",S81*N81)</f>
        <v/>
      </c>
      <c r="L81" s="7">
        <f>IF($A81="","",N81-K81)</f>
        <v/>
      </c>
      <c r="M81" s="7">
        <f>IF($A81="","",L81-F81)</f>
        <v/>
      </c>
      <c r="N81" s="7" t="n"/>
      <c r="Q81" s="11" t="n"/>
      <c r="S81">
        <f>IF($A81="","",IF($W81=1,Settings!$C$6,Settings!$C$7)*1)</f>
        <v/>
      </c>
      <c r="U81">
        <f>IF($A81="","",IF(COUNTIF($A$2:$A81,$A81)=1,1,0))</f>
        <v/>
      </c>
      <c r="V81">
        <f>IF($U81=1,SUMPRODUCT(--($X$2:$X$501&lt;$X81))+1,"")</f>
        <v/>
      </c>
      <c r="W81">
        <f>IF($A81="","",IF(OR($T81=TRUE(),$T81="TRUE"),1,0))</f>
        <v/>
      </c>
      <c r="X81">
        <f>IF($U81=1,IFERROR(IF(VALUE($A81)&lt;100000000,VALUE($A81),1000000000),IFERROR(IF(VALUE(MID($A81,2,20))&lt;100000000,VALUE(MID($A81,2,20)),1000000000),1000000000))+ROW()/100000,"")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IF($A82="","",E82*N82/100)</f>
        <v/>
      </c>
      <c r="J82" s="7" t="n"/>
      <c r="K82" s="7">
        <f>IF($A82="","",S82*N82)</f>
        <v/>
      </c>
      <c r="L82" s="7">
        <f>IF($A82="","",N82-K82)</f>
        <v/>
      </c>
      <c r="M82" s="7">
        <f>IF($A82="","",L82-F82)</f>
        <v/>
      </c>
      <c r="N82" s="7" t="n"/>
      <c r="Q82" s="11" t="n"/>
      <c r="S82">
        <f>IF($A82="","",IF($W82=1,Settings!$C$6,Settings!$C$7)*1)</f>
        <v/>
      </c>
      <c r="U82">
        <f>IF($A82="","",IF(COUNTIF($A$2:$A82,$A82)=1,1,0))</f>
        <v/>
      </c>
      <c r="V82">
        <f>IF($U82=1,SUMPRODUCT(--($X$2:$X$501&lt;$X82))+1,"")</f>
        <v/>
      </c>
      <c r="W82">
        <f>IF($A82="","",IF(OR($T82=TRUE(),$T82="TRUE"),1,0))</f>
        <v/>
      </c>
      <c r="X82">
        <f>IF($U82=1,IFERROR(IF(VALUE($A82)&lt;100000000,VALUE($A82),1000000000),IFERROR(IF(VALUE(MID($A82,2,20))&lt;100000000,VALUE(MID($A82,2,20)),1000000000),1000000000))+ROW()/100000,"")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IF($A83="","",E83*N83/100)</f>
        <v/>
      </c>
      <c r="J83" s="7" t="n"/>
      <c r="K83" s="7">
        <f>IF($A83="","",S83*N83)</f>
        <v/>
      </c>
      <c r="L83" s="7">
        <f>IF($A83="","",N83-K83)</f>
        <v/>
      </c>
      <c r="M83" s="7">
        <f>IF($A83="","",L83-F83)</f>
        <v/>
      </c>
      <c r="N83" s="7" t="n"/>
      <c r="Q83" s="11" t="n"/>
      <c r="S83">
        <f>IF($A83="","",IF($W83=1,Settings!$C$6,Settings!$C$7)*1)</f>
        <v/>
      </c>
      <c r="U83">
        <f>IF($A83="","",IF(COUNTIF($A$2:$A83,$A83)=1,1,0))</f>
        <v/>
      </c>
      <c r="V83">
        <f>IF($U83=1,SUMPRODUCT(--($X$2:$X$501&lt;$X83))+1,"")</f>
        <v/>
      </c>
      <c r="W83">
        <f>IF($A83="","",IF(OR($T83=TRUE(),$T83="TRUE"),1,0))</f>
        <v/>
      </c>
      <c r="X83">
        <f>IF($U83=1,IFERROR(IF(VALUE($A83)&lt;100000000,VALUE($A83),1000000000),IFERROR(IF(VALUE(MID($A83,2,20))&lt;100000000,VALUE(MID($A83,2,20)),1000000000),1000000000))+ROW()/100000,"")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IF($A84="","",E84*N84/100)</f>
        <v/>
      </c>
      <c r="J84" s="7" t="n"/>
      <c r="K84" s="7">
        <f>IF($A84="","",S84*N84)</f>
        <v/>
      </c>
      <c r="L84" s="7">
        <f>IF($A84="","",N84-K84)</f>
        <v/>
      </c>
      <c r="M84" s="7">
        <f>IF($A84="","",L84-F84)</f>
        <v/>
      </c>
      <c r="N84" s="7" t="n"/>
      <c r="Q84" s="11" t="n"/>
      <c r="S84">
        <f>IF($A84="","",IF($W84=1,Settings!$C$6,Settings!$C$7)*1)</f>
        <v/>
      </c>
      <c r="U84">
        <f>IF($A84="","",IF(COUNTIF($A$2:$A84,$A84)=1,1,0))</f>
        <v/>
      </c>
      <c r="V84">
        <f>IF($U84=1,SUMPRODUCT(--($X$2:$X$501&lt;$X84))+1,"")</f>
        <v/>
      </c>
      <c r="W84">
        <f>IF($A84="","",IF(OR($T84=TRUE(),$T84="TRUE"),1,0))</f>
        <v/>
      </c>
      <c r="X84">
        <f>IF($U84=1,IFERROR(IF(VALUE($A84)&lt;100000000,VALUE($A84),1000000000),IFERROR(IF(VALUE(MID($A84,2,20))&lt;100000000,VALUE(MID($A84,2,20)),1000000000),1000000000))+ROW()/100000,"")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IF($A85="","",E85*N85/100)</f>
        <v/>
      </c>
      <c r="J85" s="7" t="n"/>
      <c r="K85" s="7">
        <f>IF($A85="","",S85*N85)</f>
        <v/>
      </c>
      <c r="L85" s="7">
        <f>IF($A85="","",N85-K85)</f>
        <v/>
      </c>
      <c r="M85" s="7">
        <f>IF($A85="","",L85-F85)</f>
        <v/>
      </c>
      <c r="N85" s="7" t="n"/>
      <c r="Q85" s="11" t="n"/>
      <c r="S85">
        <f>IF($A85="","",IF($W85=1,Settings!$C$6,Settings!$C$7)*1)</f>
        <v/>
      </c>
      <c r="U85">
        <f>IF($A85="","",IF(COUNTIF($A$2:$A85,$A85)=1,1,0))</f>
        <v/>
      </c>
      <c r="V85">
        <f>IF($U85=1,SUMPRODUCT(--($X$2:$X$501&lt;$X85))+1,"")</f>
        <v/>
      </c>
      <c r="W85">
        <f>IF($A85="","",IF(OR($T85=TRUE(),$T85="TRUE"),1,0))</f>
        <v/>
      </c>
      <c r="X85">
        <f>IF($U85=1,IFERROR(IF(VALUE($A85)&lt;100000000,VALUE($A85),1000000000),IFERROR(IF(VALUE(MID($A85,2,20))&lt;100000000,VALUE(MID($A85,2,20)),1000000000),1000000000))+ROW()/100000,"")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IF($A86="","",E86*N86/100)</f>
        <v/>
      </c>
      <c r="J86" s="7" t="n"/>
      <c r="K86" s="7">
        <f>IF($A86="","",S86*N86)</f>
        <v/>
      </c>
      <c r="L86" s="7">
        <f>IF($A86="","",N86-K86)</f>
        <v/>
      </c>
      <c r="M86" s="7">
        <f>IF($A86="","",L86-F86)</f>
        <v/>
      </c>
      <c r="N86" s="7" t="n"/>
      <c r="Q86" s="11" t="n"/>
      <c r="S86">
        <f>IF($A86="","",IF($W86=1,Settings!$C$6,Settings!$C$7)*1)</f>
        <v/>
      </c>
      <c r="U86">
        <f>IF($A86="","",IF(COUNTIF($A$2:$A86,$A86)=1,1,0))</f>
        <v/>
      </c>
      <c r="V86">
        <f>IF($U86=1,SUMPRODUCT(--($X$2:$X$501&lt;$X86))+1,"")</f>
        <v/>
      </c>
      <c r="W86">
        <f>IF($A86="","",IF(OR($T86=TRUE(),$T86="TRUE"),1,0))</f>
        <v/>
      </c>
      <c r="X86">
        <f>IF($U86=1,IFERROR(IF(VALUE($A86)&lt;100000000,VALUE($A86),1000000000),IFERROR(IF(VALUE(MID($A86,2,20))&lt;100000000,VALUE(MID($A86,2,20)),1000000000),1000000000))+ROW()/100000,"")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IF($A87="","",E87*N87/100)</f>
        <v/>
      </c>
      <c r="J87" s="7" t="n"/>
      <c r="K87" s="7">
        <f>IF($A87="","",S87*N87)</f>
        <v/>
      </c>
      <c r="L87" s="7">
        <f>IF($A87="","",N87-K87)</f>
        <v/>
      </c>
      <c r="M87" s="7">
        <f>IF($A87="","",L87-F87)</f>
        <v/>
      </c>
      <c r="N87" s="7" t="n"/>
      <c r="Q87" s="11" t="n"/>
      <c r="S87">
        <f>IF($A87="","",IF($W87=1,Settings!$C$6,Settings!$C$7)*1)</f>
        <v/>
      </c>
      <c r="U87">
        <f>IF($A87="","",IF(COUNTIF($A$2:$A87,$A87)=1,1,0))</f>
        <v/>
      </c>
      <c r="V87">
        <f>IF($U87=1,SUMPRODUCT(--($X$2:$X$501&lt;$X87))+1,"")</f>
        <v/>
      </c>
      <c r="W87">
        <f>IF($A87="","",IF(OR($T87=TRUE(),$T87="TRUE"),1,0))</f>
        <v/>
      </c>
      <c r="X87">
        <f>IF($U87=1,IFERROR(IF(VALUE($A87)&lt;100000000,VALUE($A87),1000000000),IFERROR(IF(VALUE(MID($A87,2,20))&lt;100000000,VALUE(MID($A87,2,20)),1000000000),1000000000))+ROW()/100000,"")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IF($A88="","",E88*N88/100)</f>
        <v/>
      </c>
      <c r="J88" s="7" t="n"/>
      <c r="K88" s="7">
        <f>IF($A88="","",S88*N88)</f>
        <v/>
      </c>
      <c r="L88" s="7">
        <f>IF($A88="","",N88-K88)</f>
        <v/>
      </c>
      <c r="M88" s="7">
        <f>IF($A88="","",L88-F88)</f>
        <v/>
      </c>
      <c r="N88" s="7" t="n"/>
      <c r="Q88" s="11" t="n"/>
      <c r="S88">
        <f>IF($A88="","",IF($W88=1,Settings!$C$6,Settings!$C$7)*1)</f>
        <v/>
      </c>
      <c r="U88">
        <f>IF($A88="","",IF(COUNTIF($A$2:$A88,$A88)=1,1,0))</f>
        <v/>
      </c>
      <c r="V88">
        <f>IF($U88=1,SUMPRODUCT(--($X$2:$X$501&lt;$X88))+1,"")</f>
        <v/>
      </c>
      <c r="W88">
        <f>IF($A88="","",IF(OR($T88=TRUE(),$T88="TRUE"),1,0))</f>
        <v/>
      </c>
      <c r="X88">
        <f>IF($U88=1,IFERROR(IF(VALUE($A88)&lt;100000000,VALUE($A88),1000000000),IFERROR(IF(VALUE(MID($A88,2,20))&lt;100000000,VALUE(MID($A88,2,20)),1000000000),1000000000))+ROW()/100000,"")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IF($A89="","",E89*N89/100)</f>
        <v/>
      </c>
      <c r="J89" s="7" t="n"/>
      <c r="K89" s="7">
        <f>IF($A89="","",S89*N89)</f>
        <v/>
      </c>
      <c r="L89" s="7">
        <f>IF($A89="","",N89-K89)</f>
        <v/>
      </c>
      <c r="M89" s="7">
        <f>IF($A89="","",L89-F89)</f>
        <v/>
      </c>
      <c r="N89" s="7" t="n"/>
      <c r="Q89" s="11" t="n"/>
      <c r="S89">
        <f>IF($A89="","",IF($W89=1,Settings!$C$6,Settings!$C$7)*1)</f>
        <v/>
      </c>
      <c r="U89">
        <f>IF($A89="","",IF(COUNTIF($A$2:$A89,$A89)=1,1,0))</f>
        <v/>
      </c>
      <c r="V89">
        <f>IF($U89=1,SUMPRODUCT(--($X$2:$X$501&lt;$X89))+1,"")</f>
        <v/>
      </c>
      <c r="W89">
        <f>IF($A89="","",IF(OR($T89=TRUE(),$T89="TRUE"),1,0))</f>
        <v/>
      </c>
      <c r="X89">
        <f>IF($U89=1,IFERROR(IF(VALUE($A89)&lt;100000000,VALUE($A89),1000000000),IFERROR(IF(VALUE(MID($A89,2,20))&lt;100000000,VALUE(MID($A89,2,20)),1000000000),1000000000))+ROW()/100000,"")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IF($A90="","",E90*N90/100)</f>
        <v/>
      </c>
      <c r="J90" s="7" t="n"/>
      <c r="K90" s="7">
        <f>IF($A90="","",S90*N90)</f>
        <v/>
      </c>
      <c r="L90" s="7">
        <f>IF($A90="","",N90-K90)</f>
        <v/>
      </c>
      <c r="M90" s="7">
        <f>IF($A90="","",L90-F90)</f>
        <v/>
      </c>
      <c r="N90" s="7" t="n"/>
      <c r="Q90" s="11" t="n"/>
      <c r="S90">
        <f>IF($A90="","",IF($W90=1,Settings!$C$6,Settings!$C$7)*1)</f>
        <v/>
      </c>
      <c r="U90">
        <f>IF($A90="","",IF(COUNTIF($A$2:$A90,$A90)=1,1,0))</f>
        <v/>
      </c>
      <c r="V90">
        <f>IF($U90=1,SUMPRODUCT(--($X$2:$X$501&lt;$X90))+1,"")</f>
        <v/>
      </c>
      <c r="W90">
        <f>IF($A90="","",IF(OR($T90=TRUE(),$T90="TRUE"),1,0))</f>
        <v/>
      </c>
      <c r="X90">
        <f>IF($U90=1,IFERROR(IF(VALUE($A90)&lt;100000000,VALUE($A90),1000000000),IFERROR(IF(VALUE(MID($A90,2,20))&lt;100000000,VALUE(MID($A90,2,20)),1000000000),1000000000))+ROW()/100000,"")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IF($A91="","",E91*N91/100)</f>
        <v/>
      </c>
      <c r="J91" s="7" t="n"/>
      <c r="K91" s="7">
        <f>IF($A91="","",S91*N91)</f>
        <v/>
      </c>
      <c r="L91" s="7">
        <f>IF($A91="","",N91-K91)</f>
        <v/>
      </c>
      <c r="M91" s="7">
        <f>IF($A91="","",L91-F91)</f>
        <v/>
      </c>
      <c r="N91" s="7" t="n"/>
      <c r="Q91" s="11" t="n"/>
      <c r="S91">
        <f>IF($A91="","",IF($W91=1,Settings!$C$6,Settings!$C$7)*1)</f>
        <v/>
      </c>
      <c r="U91">
        <f>IF($A91="","",IF(COUNTIF($A$2:$A91,$A91)=1,1,0))</f>
        <v/>
      </c>
      <c r="V91">
        <f>IF($U91=1,SUMPRODUCT(--($X$2:$X$501&lt;$X91))+1,"")</f>
        <v/>
      </c>
      <c r="W91">
        <f>IF($A91="","",IF(OR($T91=TRUE(),$T91="TRUE"),1,0))</f>
        <v/>
      </c>
      <c r="X91">
        <f>IF($U91=1,IFERROR(IF(VALUE($A91)&lt;100000000,VALUE($A91),1000000000),IFERROR(IF(VALUE(MID($A91,2,20))&lt;100000000,VALUE(MID($A91,2,20)),1000000000),1000000000))+ROW()/100000,"")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IF($A92="","",E92*N92/100)</f>
        <v/>
      </c>
      <c r="J92" s="7" t="n"/>
      <c r="K92" s="7">
        <f>IF($A92="","",S92*N92)</f>
        <v/>
      </c>
      <c r="L92" s="7">
        <f>IF($A92="","",N92-K92)</f>
        <v/>
      </c>
      <c r="M92" s="7">
        <f>IF($A92="","",L92-F92)</f>
        <v/>
      </c>
      <c r="N92" s="7" t="n"/>
      <c r="Q92" s="11" t="n"/>
      <c r="S92">
        <f>IF($A92="","",IF($W92=1,Settings!$C$6,Settings!$C$7)*1)</f>
        <v/>
      </c>
      <c r="U92">
        <f>IF($A92="","",IF(COUNTIF($A$2:$A92,$A92)=1,1,0))</f>
        <v/>
      </c>
      <c r="V92">
        <f>IF($U92=1,SUMPRODUCT(--($X$2:$X$501&lt;$X92))+1,"")</f>
        <v/>
      </c>
      <c r="W92">
        <f>IF($A92="","",IF(OR($T92=TRUE(),$T92="TRUE"),1,0))</f>
        <v/>
      </c>
      <c r="X92">
        <f>IF($U92=1,IFERROR(IF(VALUE($A92)&lt;100000000,VALUE($A92),1000000000),IFERROR(IF(VALUE(MID($A92,2,20))&lt;100000000,VALUE(MID($A92,2,20)),1000000000),1000000000))+ROW()/100000,"")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IF($A93="","",E93*N93/100)</f>
        <v/>
      </c>
      <c r="J93" s="7" t="n"/>
      <c r="K93" s="7">
        <f>IF($A93="","",S93*N93)</f>
        <v/>
      </c>
      <c r="L93" s="7">
        <f>IF($A93="","",N93-K93)</f>
        <v/>
      </c>
      <c r="M93" s="7">
        <f>IF($A93="","",L93-F93)</f>
        <v/>
      </c>
      <c r="N93" s="7" t="n"/>
      <c r="Q93" s="11" t="n"/>
      <c r="S93">
        <f>IF($A93="","",IF($W93=1,Settings!$C$6,Settings!$C$7)*1)</f>
        <v/>
      </c>
      <c r="U93">
        <f>IF($A93="","",IF(COUNTIF($A$2:$A93,$A93)=1,1,0))</f>
        <v/>
      </c>
      <c r="V93">
        <f>IF($U93=1,SUMPRODUCT(--($X$2:$X$501&lt;$X93))+1,"")</f>
        <v/>
      </c>
      <c r="W93">
        <f>IF($A93="","",IF(OR($T93=TRUE(),$T93="TRUE"),1,0))</f>
        <v/>
      </c>
      <c r="X93">
        <f>IF($U93=1,IFERROR(IF(VALUE($A93)&lt;100000000,VALUE($A93),1000000000),IFERROR(IF(VALUE(MID($A93,2,20))&lt;100000000,VALUE(MID($A93,2,20)),1000000000),1000000000))+ROW()/100000,"")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IF($A94="","",E94*N94/100)</f>
        <v/>
      </c>
      <c r="J94" s="7" t="n"/>
      <c r="K94" s="7">
        <f>IF($A94="","",S94*N94)</f>
        <v/>
      </c>
      <c r="L94" s="7">
        <f>IF($A94="","",N94-K94)</f>
        <v/>
      </c>
      <c r="M94" s="7">
        <f>IF($A94="","",L94-F94)</f>
        <v/>
      </c>
      <c r="N94" s="7" t="n"/>
      <c r="Q94" s="11" t="n"/>
      <c r="S94">
        <f>IF($A94="","",IF($W94=1,Settings!$C$6,Settings!$C$7)*1)</f>
        <v/>
      </c>
      <c r="U94">
        <f>IF($A94="","",IF(COUNTIF($A$2:$A94,$A94)=1,1,0))</f>
        <v/>
      </c>
      <c r="V94">
        <f>IF($U94=1,SUMPRODUCT(--($X$2:$X$501&lt;$X94))+1,"")</f>
        <v/>
      </c>
      <c r="W94">
        <f>IF($A94="","",IF(OR($T94=TRUE(),$T94="TRUE"),1,0))</f>
        <v/>
      </c>
      <c r="X94">
        <f>IF($U94=1,IFERROR(IF(VALUE($A94)&lt;100000000,VALUE($A94),1000000000),IFERROR(IF(VALUE(MID($A94,2,20))&lt;100000000,VALUE(MID($A94,2,20)),1000000000),1000000000))+ROW()/100000,"")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IF($A95="","",E95*N95/100)</f>
        <v/>
      </c>
      <c r="J95" s="7" t="n"/>
      <c r="K95" s="7">
        <f>IF($A95="","",S95*N95)</f>
        <v/>
      </c>
      <c r="L95" s="7">
        <f>IF($A95="","",N95-K95)</f>
        <v/>
      </c>
      <c r="M95" s="7">
        <f>IF($A95="","",L95-F95)</f>
        <v/>
      </c>
      <c r="N95" s="7" t="n"/>
      <c r="Q95" s="11" t="n"/>
      <c r="S95">
        <f>IF($A95="","",IF($W95=1,Settings!$C$6,Settings!$C$7)*1)</f>
        <v/>
      </c>
      <c r="U95">
        <f>IF($A95="","",IF(COUNTIF($A$2:$A95,$A95)=1,1,0))</f>
        <v/>
      </c>
      <c r="V95">
        <f>IF($U95=1,SUMPRODUCT(--($X$2:$X$501&lt;$X95))+1,"")</f>
        <v/>
      </c>
      <c r="W95">
        <f>IF($A95="","",IF(OR($T95=TRUE(),$T95="TRUE"),1,0))</f>
        <v/>
      </c>
      <c r="X95">
        <f>IF($U95=1,IFERROR(IF(VALUE($A95)&lt;100000000,VALUE($A95),1000000000),IFERROR(IF(VALUE(MID($A95,2,20))&lt;100000000,VALUE(MID($A95,2,20)),1000000000),1000000000))+ROW()/100000,"")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IF($A96="","",E96*N96/100)</f>
        <v/>
      </c>
      <c r="J96" s="7" t="n"/>
      <c r="K96" s="7">
        <f>IF($A96="","",S96*N96)</f>
        <v/>
      </c>
      <c r="L96" s="7">
        <f>IF($A96="","",N96-K96)</f>
        <v/>
      </c>
      <c r="M96" s="7">
        <f>IF($A96="","",L96-F96)</f>
        <v/>
      </c>
      <c r="N96" s="7" t="n"/>
      <c r="Q96" s="11" t="n"/>
      <c r="S96">
        <f>IF($A96="","",IF($W96=1,Settings!$C$6,Settings!$C$7)*1)</f>
        <v/>
      </c>
      <c r="U96">
        <f>IF($A96="","",IF(COUNTIF($A$2:$A96,$A96)=1,1,0))</f>
        <v/>
      </c>
      <c r="V96">
        <f>IF($U96=1,SUMPRODUCT(--($X$2:$X$501&lt;$X96))+1,"")</f>
        <v/>
      </c>
      <c r="W96">
        <f>IF($A96="","",IF(OR($T96=TRUE(),$T96="TRUE"),1,0))</f>
        <v/>
      </c>
      <c r="X96">
        <f>IF($U96=1,IFERROR(IF(VALUE($A96)&lt;100000000,VALUE($A96),1000000000),IFERROR(IF(VALUE(MID($A96,2,20))&lt;100000000,VALUE(MID($A96,2,20)),1000000000),1000000000))+ROW()/100000,"")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IF($A97="","",E97*N97/100)</f>
        <v/>
      </c>
      <c r="J97" s="7" t="n"/>
      <c r="K97" s="7">
        <f>IF($A97="","",S97*N97)</f>
        <v/>
      </c>
      <c r="L97" s="7">
        <f>IF($A97="","",N97-K97)</f>
        <v/>
      </c>
      <c r="M97" s="7">
        <f>IF($A97="","",L97-F97)</f>
        <v/>
      </c>
      <c r="N97" s="7" t="n"/>
      <c r="Q97" s="11" t="n"/>
      <c r="S97">
        <f>IF($A97="","",IF($W97=1,Settings!$C$6,Settings!$C$7)*1)</f>
        <v/>
      </c>
      <c r="U97">
        <f>IF($A97="","",IF(COUNTIF($A$2:$A97,$A97)=1,1,0))</f>
        <v/>
      </c>
      <c r="V97">
        <f>IF($U97=1,SUMPRODUCT(--($X$2:$X$501&lt;$X97))+1,"")</f>
        <v/>
      </c>
      <c r="W97">
        <f>IF($A97="","",IF(OR($T97=TRUE(),$T97="TRUE"),1,0))</f>
        <v/>
      </c>
      <c r="X97">
        <f>IF($U97=1,IFERROR(IF(VALUE($A97)&lt;100000000,VALUE($A97),1000000000),IFERROR(IF(VALUE(MID($A97,2,20))&lt;100000000,VALUE(MID($A97,2,20)),1000000000),1000000000))+ROW()/100000,"")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IF($A98="","",E98*N98/100)</f>
        <v/>
      </c>
      <c r="J98" s="7" t="n"/>
      <c r="K98" s="7">
        <f>IF($A98="","",S98*N98)</f>
        <v/>
      </c>
      <c r="L98" s="7">
        <f>IF($A98="","",N98-K98)</f>
        <v/>
      </c>
      <c r="M98" s="7">
        <f>IF($A98="","",L98-F98)</f>
        <v/>
      </c>
      <c r="N98" s="7" t="n"/>
      <c r="Q98" s="11" t="n"/>
      <c r="S98">
        <f>IF($A98="","",IF($W98=1,Settings!$C$6,Settings!$C$7)*1)</f>
        <v/>
      </c>
      <c r="U98">
        <f>IF($A98="","",IF(COUNTIF($A$2:$A98,$A98)=1,1,0))</f>
        <v/>
      </c>
      <c r="V98">
        <f>IF($U98=1,SUMPRODUCT(--($X$2:$X$501&lt;$X98))+1,"")</f>
        <v/>
      </c>
      <c r="W98">
        <f>IF($A98="","",IF(OR($T98=TRUE(),$T98="TRUE"),1,0))</f>
        <v/>
      </c>
      <c r="X98">
        <f>IF($U98=1,IFERROR(IF(VALUE($A98)&lt;100000000,VALUE($A98),1000000000),IFERROR(IF(VALUE(MID($A98,2,20))&lt;100000000,VALUE(MID($A98,2,20)),1000000000),1000000000))+ROW()/100000,"")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IF($A99="","",E99*N99/100)</f>
        <v/>
      </c>
      <c r="J99" s="7" t="n"/>
      <c r="K99" s="7">
        <f>IF($A99="","",S99*N99)</f>
        <v/>
      </c>
      <c r="L99" s="7">
        <f>IF($A99="","",N99-K99)</f>
        <v/>
      </c>
      <c r="M99" s="7">
        <f>IF($A99="","",L99-F99)</f>
        <v/>
      </c>
      <c r="N99" s="7" t="n"/>
      <c r="Q99" s="11" t="n"/>
      <c r="S99">
        <f>IF($A99="","",IF($W99=1,Settings!$C$6,Settings!$C$7)*1)</f>
        <v/>
      </c>
      <c r="U99">
        <f>IF($A99="","",IF(COUNTIF($A$2:$A99,$A99)=1,1,0))</f>
        <v/>
      </c>
      <c r="V99">
        <f>IF($U99=1,SUMPRODUCT(--($X$2:$X$501&lt;$X99))+1,"")</f>
        <v/>
      </c>
      <c r="W99">
        <f>IF($A99="","",IF(OR($T99=TRUE(),$T99="TRUE"),1,0))</f>
        <v/>
      </c>
      <c r="X99">
        <f>IF($U99=1,IFERROR(IF(VALUE($A99)&lt;100000000,VALUE($A99),1000000000),IFERROR(IF(VALUE(MID($A99,2,20))&lt;100000000,VALUE(MID($A99,2,20)),1000000000),1000000000))+ROW()/100000,"")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IF($A100="","",E100*N100/100)</f>
        <v/>
      </c>
      <c r="J100" s="7" t="n"/>
      <c r="K100" s="7">
        <f>IF($A100="","",S100*N100)</f>
        <v/>
      </c>
      <c r="L100" s="7">
        <f>IF($A100="","",N100-K100)</f>
        <v/>
      </c>
      <c r="M100" s="7">
        <f>IF($A100="","",L100-F100)</f>
        <v/>
      </c>
      <c r="N100" s="7" t="n"/>
      <c r="Q100" s="11" t="n"/>
      <c r="S100">
        <f>IF($A100="","",IF($W100=1,Settings!$C$6,Settings!$C$7)*1)</f>
        <v/>
      </c>
      <c r="U100">
        <f>IF($A100="","",IF(COUNTIF($A$2:$A100,$A100)=1,1,0))</f>
        <v/>
      </c>
      <c r="V100">
        <f>IF($U100=1,SUMPRODUCT(--($X$2:$X$501&lt;$X100))+1,"")</f>
        <v/>
      </c>
      <c r="W100">
        <f>IF($A100="","",IF(OR($T100=TRUE(),$T100="TRUE"),1,0))</f>
        <v/>
      </c>
      <c r="X100">
        <f>IF($U100=1,IFERROR(IF(VALUE($A100)&lt;100000000,VALUE($A100),1000000000),IFERROR(IF(VALUE(MID($A100,2,20))&lt;100000000,VALUE(MID($A100,2,20)),1000000000),1000000000))+ROW()/100000,"")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IF($A101="","",E101*N101/100)</f>
        <v/>
      </c>
      <c r="J101" s="7" t="n"/>
      <c r="K101" s="7">
        <f>IF($A101="","",S101*N101)</f>
        <v/>
      </c>
      <c r="L101" s="7">
        <f>IF($A101="","",N101-K101)</f>
        <v/>
      </c>
      <c r="M101" s="7">
        <f>IF($A101="","",L101-F101)</f>
        <v/>
      </c>
      <c r="N101" s="7" t="n"/>
      <c r="Q101" s="11" t="n"/>
      <c r="S101">
        <f>IF($A101="","",IF($W101=1,Settings!$C$6,Settings!$C$7)*1)</f>
        <v/>
      </c>
      <c r="U101">
        <f>IF($A101="","",IF(COUNTIF($A$2:$A101,$A101)=1,1,0))</f>
        <v/>
      </c>
      <c r="V101">
        <f>IF($U101=1,SUMPRODUCT(--($X$2:$X$501&lt;$X101))+1,"")</f>
        <v/>
      </c>
      <c r="W101">
        <f>IF($A101="","",IF(OR($T101=TRUE(),$T101="TRUE"),1,0))</f>
        <v/>
      </c>
      <c r="X101">
        <f>IF($U101=1,IFERROR(IF(VALUE($A101)&lt;100000000,VALUE($A101),1000000000),IFERROR(IF(VALUE(MID($A101,2,20))&lt;100000000,VALUE(MID($A101,2,20)),1000000000),1000000000))+ROW()/100000,"")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IF($A102="","",E102*N102/100)</f>
        <v/>
      </c>
      <c r="J102" s="7" t="n"/>
      <c r="K102" s="7">
        <f>IF($A102="","",S102*N102)</f>
        <v/>
      </c>
      <c r="L102" s="7">
        <f>IF($A102="","",N102-K102)</f>
        <v/>
      </c>
      <c r="M102" s="7">
        <f>IF($A102="","",L102-F102)</f>
        <v/>
      </c>
      <c r="N102" s="7" t="n"/>
      <c r="Q102" s="11" t="n"/>
      <c r="S102">
        <f>IF($A102="","",IF($W102=1,Settings!$C$6,Settings!$C$7)*1)</f>
        <v/>
      </c>
      <c r="U102">
        <f>IF($A102="","",IF(COUNTIF($A$2:$A102,$A102)=1,1,0))</f>
        <v/>
      </c>
      <c r="V102">
        <f>IF($U102=1,SUMPRODUCT(--($X$2:$X$501&lt;$X102))+1,"")</f>
        <v/>
      </c>
      <c r="W102">
        <f>IF($A102="","",IF(OR($T102=TRUE(),$T102="TRUE"),1,0))</f>
        <v/>
      </c>
      <c r="X102">
        <f>IF($U102=1,IFERROR(IF(VALUE($A102)&lt;100000000,VALUE($A102),1000000000),IFERROR(IF(VALUE(MID($A102,2,20))&lt;100000000,VALUE(MID($A102,2,20)),1000000000),1000000000))+ROW()/100000,"")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IF($A103="","",E103*N103/100)</f>
        <v/>
      </c>
      <c r="J103" s="7" t="n"/>
      <c r="K103" s="7">
        <f>IF($A103="","",S103*N103)</f>
        <v/>
      </c>
      <c r="L103" s="7">
        <f>IF($A103="","",N103-K103)</f>
        <v/>
      </c>
      <c r="M103" s="7">
        <f>IF($A103="","",L103-F103)</f>
        <v/>
      </c>
      <c r="N103" s="7" t="n"/>
      <c r="Q103" s="11" t="n"/>
      <c r="S103">
        <f>IF($A103="","",IF($W103=1,Settings!$C$6,Settings!$C$7)*1)</f>
        <v/>
      </c>
      <c r="U103">
        <f>IF($A103="","",IF(COUNTIF($A$2:$A103,$A103)=1,1,0))</f>
        <v/>
      </c>
      <c r="V103">
        <f>IF($U103=1,SUMPRODUCT(--($X$2:$X$501&lt;$X103))+1,"")</f>
        <v/>
      </c>
      <c r="W103">
        <f>IF($A103="","",IF(OR($T103=TRUE(),$T103="TRUE"),1,0))</f>
        <v/>
      </c>
      <c r="X103">
        <f>IF($U103=1,IFERROR(IF(VALUE($A103)&lt;100000000,VALUE($A103),1000000000),IFERROR(IF(VALUE(MID($A103,2,20))&lt;100000000,VALUE(MID($A103,2,20)),1000000000),1000000000))+ROW()/100000,"")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IF($A104="","",E104*N104/100)</f>
        <v/>
      </c>
      <c r="J104" s="7" t="n"/>
      <c r="K104" s="7">
        <f>IF($A104="","",S104*N104)</f>
        <v/>
      </c>
      <c r="L104" s="7">
        <f>IF($A104="","",N104-K104)</f>
        <v/>
      </c>
      <c r="M104" s="7">
        <f>IF($A104="","",L104-F104)</f>
        <v/>
      </c>
      <c r="N104" s="7" t="n"/>
      <c r="Q104" s="11" t="n"/>
      <c r="S104">
        <f>IF($A104="","",IF($W104=1,Settings!$C$6,Settings!$C$7)*1)</f>
        <v/>
      </c>
      <c r="U104">
        <f>IF($A104="","",IF(COUNTIF($A$2:$A104,$A104)=1,1,0))</f>
        <v/>
      </c>
      <c r="V104">
        <f>IF($U104=1,SUMPRODUCT(--($X$2:$X$501&lt;$X104))+1,"")</f>
        <v/>
      </c>
      <c r="W104">
        <f>IF($A104="","",IF(OR($T104=TRUE(),$T104="TRUE"),1,0))</f>
        <v/>
      </c>
      <c r="X104">
        <f>IF($U104=1,IFERROR(IF(VALUE($A104)&lt;100000000,VALUE($A104),1000000000),IFERROR(IF(VALUE(MID($A104,2,20))&lt;100000000,VALUE(MID($A104,2,20)),1000000000),1000000000))+ROW()/100000,"")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IF($A105="","",E105*N105/100)</f>
        <v/>
      </c>
      <c r="J105" s="7" t="n"/>
      <c r="K105" s="7">
        <f>IF($A105="","",S105*N105)</f>
        <v/>
      </c>
      <c r="L105" s="7">
        <f>IF($A105="","",N105-K105)</f>
        <v/>
      </c>
      <c r="M105" s="7">
        <f>IF($A105="","",L105-F105)</f>
        <v/>
      </c>
      <c r="N105" s="7" t="n"/>
      <c r="Q105" s="11" t="n"/>
      <c r="S105">
        <f>IF($A105="","",IF($W105=1,Settings!$C$6,Settings!$C$7)*1)</f>
        <v/>
      </c>
      <c r="U105">
        <f>IF($A105="","",IF(COUNTIF($A$2:$A105,$A105)=1,1,0))</f>
        <v/>
      </c>
      <c r="V105">
        <f>IF($U105=1,SUMPRODUCT(--($X$2:$X$501&lt;$X105))+1,"")</f>
        <v/>
      </c>
      <c r="W105">
        <f>IF($A105="","",IF(OR($T105=TRUE(),$T105="TRUE"),1,0))</f>
        <v/>
      </c>
      <c r="X105">
        <f>IF($U105=1,IFERROR(IF(VALUE($A105)&lt;100000000,VALUE($A105),1000000000),IFERROR(IF(VALUE(MID($A105,2,20))&lt;100000000,VALUE(MID($A105,2,20)),1000000000),1000000000))+ROW()/100000,"")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IF($A106="","",E106*N106/100)</f>
        <v/>
      </c>
      <c r="J106" s="7" t="n"/>
      <c r="K106" s="7">
        <f>IF($A106="","",S106*N106)</f>
        <v/>
      </c>
      <c r="L106" s="7">
        <f>IF($A106="","",N106-K106)</f>
        <v/>
      </c>
      <c r="M106" s="7">
        <f>IF($A106="","",L106-F106)</f>
        <v/>
      </c>
      <c r="N106" s="7" t="n"/>
      <c r="Q106" s="11" t="n"/>
      <c r="S106">
        <f>IF($A106="","",IF($W106=1,Settings!$C$6,Settings!$C$7)*1)</f>
        <v/>
      </c>
      <c r="U106">
        <f>IF($A106="","",IF(COUNTIF($A$2:$A106,$A106)=1,1,0))</f>
        <v/>
      </c>
      <c r="V106">
        <f>IF($U106=1,SUMPRODUCT(--($X$2:$X$501&lt;$X106))+1,"")</f>
        <v/>
      </c>
      <c r="W106">
        <f>IF($A106="","",IF(OR($T106=TRUE(),$T106="TRUE"),1,0))</f>
        <v/>
      </c>
      <c r="X106">
        <f>IF($U106=1,IFERROR(IF(VALUE($A106)&lt;100000000,VALUE($A106),1000000000),IFERROR(IF(VALUE(MID($A106,2,20))&lt;100000000,VALUE(MID($A106,2,20)),1000000000),1000000000))+ROW()/100000,"")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IF($A107="","",E107*N107/100)</f>
        <v/>
      </c>
      <c r="J107" s="7" t="n"/>
      <c r="K107" s="7">
        <f>IF($A107="","",S107*N107)</f>
        <v/>
      </c>
      <c r="L107" s="7">
        <f>IF($A107="","",N107-K107)</f>
        <v/>
      </c>
      <c r="M107" s="7">
        <f>IF($A107="","",L107-F107)</f>
        <v/>
      </c>
      <c r="N107" s="7" t="n"/>
      <c r="Q107" s="11" t="n"/>
      <c r="S107">
        <f>IF($A107="","",IF($W107=1,Settings!$C$6,Settings!$C$7)*1)</f>
        <v/>
      </c>
      <c r="U107">
        <f>IF($A107="","",IF(COUNTIF($A$2:$A107,$A107)=1,1,0))</f>
        <v/>
      </c>
      <c r="V107">
        <f>IF($U107=1,SUMPRODUCT(--($X$2:$X$501&lt;$X107))+1,"")</f>
        <v/>
      </c>
      <c r="W107">
        <f>IF($A107="","",IF(OR($T107=TRUE(),$T107="TRUE"),1,0))</f>
        <v/>
      </c>
      <c r="X107">
        <f>IF($U107=1,IFERROR(IF(VALUE($A107)&lt;100000000,VALUE($A107),1000000000),IFERROR(IF(VALUE(MID($A107,2,20))&lt;100000000,VALUE(MID($A107,2,20)),1000000000),1000000000))+ROW()/100000,"")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IF($A108="","",E108*N108/100)</f>
        <v/>
      </c>
      <c r="J108" s="7" t="n"/>
      <c r="K108" s="7">
        <f>IF($A108="","",S108*N108)</f>
        <v/>
      </c>
      <c r="L108" s="7">
        <f>IF($A108="","",N108-K108)</f>
        <v/>
      </c>
      <c r="M108" s="7">
        <f>IF($A108="","",L108-F108)</f>
        <v/>
      </c>
      <c r="N108" s="7" t="n"/>
      <c r="Q108" s="11" t="n"/>
      <c r="S108">
        <f>IF($A108="","",IF($W108=1,Settings!$C$6,Settings!$C$7)*1)</f>
        <v/>
      </c>
      <c r="U108">
        <f>IF($A108="","",IF(COUNTIF($A$2:$A108,$A108)=1,1,0))</f>
        <v/>
      </c>
      <c r="V108">
        <f>IF($U108=1,SUMPRODUCT(--($X$2:$X$501&lt;$X108))+1,"")</f>
        <v/>
      </c>
      <c r="W108">
        <f>IF($A108="","",IF(OR($T108=TRUE(),$T108="TRUE"),1,0))</f>
        <v/>
      </c>
      <c r="X108">
        <f>IF($U108=1,IFERROR(IF(VALUE($A108)&lt;100000000,VALUE($A108),1000000000),IFERROR(IF(VALUE(MID($A108,2,20))&lt;100000000,VALUE(MID($A108,2,20)),1000000000),1000000000))+ROW()/100000,"")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IF($A109="","",E109*N109/100)</f>
        <v/>
      </c>
      <c r="J109" s="7" t="n"/>
      <c r="K109" s="7">
        <f>IF($A109="","",S109*N109)</f>
        <v/>
      </c>
      <c r="L109" s="7">
        <f>IF($A109="","",N109-K109)</f>
        <v/>
      </c>
      <c r="M109" s="7">
        <f>IF($A109="","",L109-F109)</f>
        <v/>
      </c>
      <c r="N109" s="7" t="n"/>
      <c r="Q109" s="11" t="n"/>
      <c r="S109">
        <f>IF($A109="","",IF($W109=1,Settings!$C$6,Settings!$C$7)*1)</f>
        <v/>
      </c>
      <c r="U109">
        <f>IF($A109="","",IF(COUNTIF($A$2:$A109,$A109)=1,1,0))</f>
        <v/>
      </c>
      <c r="V109">
        <f>IF($U109=1,SUMPRODUCT(--($X$2:$X$501&lt;$X109))+1,"")</f>
        <v/>
      </c>
      <c r="W109">
        <f>IF($A109="","",IF(OR($T109=TRUE(),$T109="TRUE"),1,0))</f>
        <v/>
      </c>
      <c r="X109">
        <f>IF($U109=1,IFERROR(IF(VALUE($A109)&lt;100000000,VALUE($A109),1000000000),IFERROR(IF(VALUE(MID($A109,2,20))&lt;100000000,VALUE(MID($A109,2,20)),1000000000),1000000000))+ROW()/100000,"")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IF($A110="","",E110*N110/100)</f>
        <v/>
      </c>
      <c r="J110" s="7" t="n"/>
      <c r="K110" s="7">
        <f>IF($A110="","",S110*N110)</f>
        <v/>
      </c>
      <c r="L110" s="7">
        <f>IF($A110="","",N110-K110)</f>
        <v/>
      </c>
      <c r="M110" s="7">
        <f>IF($A110="","",L110-F110)</f>
        <v/>
      </c>
      <c r="N110" s="7" t="n"/>
      <c r="Q110" s="11" t="n"/>
      <c r="S110">
        <f>IF($A110="","",IF($W110=1,Settings!$C$6,Settings!$C$7)*1)</f>
        <v/>
      </c>
      <c r="U110">
        <f>IF($A110="","",IF(COUNTIF($A$2:$A110,$A110)=1,1,0))</f>
        <v/>
      </c>
      <c r="V110">
        <f>IF($U110=1,SUMPRODUCT(--($X$2:$X$501&lt;$X110))+1,"")</f>
        <v/>
      </c>
      <c r="W110">
        <f>IF($A110="","",IF(OR($T110=TRUE(),$T110="TRUE"),1,0))</f>
        <v/>
      </c>
      <c r="X110">
        <f>IF($U110=1,IFERROR(IF(VALUE($A110)&lt;100000000,VALUE($A110),1000000000),IFERROR(IF(VALUE(MID($A110,2,20))&lt;100000000,VALUE(MID($A110,2,20)),1000000000),1000000000))+ROW()/100000,"")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IF($A111="","",E111*N111/100)</f>
        <v/>
      </c>
      <c r="J111" s="7" t="n"/>
      <c r="K111" s="7">
        <f>IF($A111="","",S111*N111)</f>
        <v/>
      </c>
      <c r="L111" s="7">
        <f>IF($A111="","",N111-K111)</f>
        <v/>
      </c>
      <c r="M111" s="7">
        <f>IF($A111="","",L111-F111)</f>
        <v/>
      </c>
      <c r="N111" s="7" t="n"/>
      <c r="Q111" s="11" t="n"/>
      <c r="S111">
        <f>IF($A111="","",IF($W111=1,Settings!$C$6,Settings!$C$7)*1)</f>
        <v/>
      </c>
      <c r="U111">
        <f>IF($A111="","",IF(COUNTIF($A$2:$A111,$A111)=1,1,0))</f>
        <v/>
      </c>
      <c r="V111">
        <f>IF($U111=1,SUMPRODUCT(--($X$2:$X$501&lt;$X111))+1,"")</f>
        <v/>
      </c>
      <c r="W111">
        <f>IF($A111="","",IF(OR($T111=TRUE(),$T111="TRUE"),1,0))</f>
        <v/>
      </c>
      <c r="X111">
        <f>IF($U111=1,IFERROR(IF(VALUE($A111)&lt;100000000,VALUE($A111),1000000000),IFERROR(IF(VALUE(MID($A111,2,20))&lt;100000000,VALUE(MID($A111,2,20)),1000000000),1000000000))+ROW()/100000,"")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IF($A112="","",E112*N112/100)</f>
        <v/>
      </c>
      <c r="J112" s="7" t="n"/>
      <c r="K112" s="7">
        <f>IF($A112="","",S112*N112)</f>
        <v/>
      </c>
      <c r="L112" s="7">
        <f>IF($A112="","",N112-K112)</f>
        <v/>
      </c>
      <c r="M112" s="7">
        <f>IF($A112="","",L112-F112)</f>
        <v/>
      </c>
      <c r="N112" s="7" t="n"/>
      <c r="Q112" s="11" t="n"/>
      <c r="S112">
        <f>IF($A112="","",IF($W112=1,Settings!$C$6,Settings!$C$7)*1)</f>
        <v/>
      </c>
      <c r="U112">
        <f>IF($A112="","",IF(COUNTIF($A$2:$A112,$A112)=1,1,0))</f>
        <v/>
      </c>
      <c r="V112">
        <f>IF($U112=1,SUMPRODUCT(--($X$2:$X$501&lt;$X112))+1,"")</f>
        <v/>
      </c>
      <c r="W112">
        <f>IF($A112="","",IF(OR($T112=TRUE(),$T112="TRUE"),1,0))</f>
        <v/>
      </c>
      <c r="X112">
        <f>IF($U112=1,IFERROR(IF(VALUE($A112)&lt;100000000,VALUE($A112),1000000000),IFERROR(IF(VALUE(MID($A112,2,20))&lt;100000000,VALUE(MID($A112,2,20)),1000000000),1000000000))+ROW()/100000,"")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IF($A113="","",E113*N113/100)</f>
        <v/>
      </c>
      <c r="J113" s="7" t="n"/>
      <c r="K113" s="7">
        <f>IF($A113="","",S113*N113)</f>
        <v/>
      </c>
      <c r="L113" s="7">
        <f>IF($A113="","",N113-K113)</f>
        <v/>
      </c>
      <c r="M113" s="7">
        <f>IF($A113="","",L113-F113)</f>
        <v/>
      </c>
      <c r="N113" s="7" t="n"/>
      <c r="Q113" s="11" t="n"/>
      <c r="S113">
        <f>IF($A113="","",IF($W113=1,Settings!$C$6,Settings!$C$7)*1)</f>
        <v/>
      </c>
      <c r="U113">
        <f>IF($A113="","",IF(COUNTIF($A$2:$A113,$A113)=1,1,0))</f>
        <v/>
      </c>
      <c r="V113">
        <f>IF($U113=1,SUMPRODUCT(--($X$2:$X$501&lt;$X113))+1,"")</f>
        <v/>
      </c>
      <c r="W113">
        <f>IF($A113="","",IF(OR($T113=TRUE(),$T113="TRUE"),1,0))</f>
        <v/>
      </c>
      <c r="X113">
        <f>IF($U113=1,IFERROR(IF(VALUE($A113)&lt;100000000,VALUE($A113),1000000000),IFERROR(IF(VALUE(MID($A113,2,20))&lt;100000000,VALUE(MID($A113,2,20)),1000000000),1000000000))+ROW()/100000,"")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IF($A114="","",E114*N114/100)</f>
        <v/>
      </c>
      <c r="J114" s="7" t="n"/>
      <c r="K114" s="7">
        <f>IF($A114="","",S114*N114)</f>
        <v/>
      </c>
      <c r="L114" s="7">
        <f>IF($A114="","",N114-K114)</f>
        <v/>
      </c>
      <c r="M114" s="7">
        <f>IF($A114="","",L114-F114)</f>
        <v/>
      </c>
      <c r="N114" s="7" t="n"/>
      <c r="Q114" s="11" t="n"/>
      <c r="S114">
        <f>IF($A114="","",IF($W114=1,Settings!$C$6,Settings!$C$7)*1)</f>
        <v/>
      </c>
      <c r="U114">
        <f>IF($A114="","",IF(COUNTIF($A$2:$A114,$A114)=1,1,0))</f>
        <v/>
      </c>
      <c r="V114">
        <f>IF($U114=1,SUMPRODUCT(--($X$2:$X$501&lt;$X114))+1,"")</f>
        <v/>
      </c>
      <c r="W114">
        <f>IF($A114="","",IF(OR($T114=TRUE(),$T114="TRUE"),1,0))</f>
        <v/>
      </c>
      <c r="X114">
        <f>IF($U114=1,IFERROR(IF(VALUE($A114)&lt;100000000,VALUE($A114),1000000000),IFERROR(IF(VALUE(MID($A114,2,20))&lt;100000000,VALUE(MID($A114,2,20)),1000000000),1000000000))+ROW()/100000,"")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IF($A115="","",E115*N115/100)</f>
        <v/>
      </c>
      <c r="J115" s="7" t="n"/>
      <c r="K115" s="7">
        <f>IF($A115="","",S115*N115)</f>
        <v/>
      </c>
      <c r="L115" s="7">
        <f>IF($A115="","",N115-K115)</f>
        <v/>
      </c>
      <c r="M115" s="7">
        <f>IF($A115="","",L115-F115)</f>
        <v/>
      </c>
      <c r="N115" s="7" t="n"/>
      <c r="Q115" s="11" t="n"/>
      <c r="S115">
        <f>IF($A115="","",IF($W115=1,Settings!$C$6,Settings!$C$7)*1)</f>
        <v/>
      </c>
      <c r="U115">
        <f>IF($A115="","",IF(COUNTIF($A$2:$A115,$A115)=1,1,0))</f>
        <v/>
      </c>
      <c r="V115">
        <f>IF($U115=1,SUMPRODUCT(--($X$2:$X$501&lt;$X115))+1,"")</f>
        <v/>
      </c>
      <c r="W115">
        <f>IF($A115="","",IF(OR($T115=TRUE(),$T115="TRUE"),1,0))</f>
        <v/>
      </c>
      <c r="X115">
        <f>IF($U115=1,IFERROR(IF(VALUE($A115)&lt;100000000,VALUE($A115),1000000000),IFERROR(IF(VALUE(MID($A115,2,20))&lt;100000000,VALUE(MID($A115,2,20)),1000000000),1000000000))+ROW()/100000,"")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IF($A116="","",E116*N116/100)</f>
        <v/>
      </c>
      <c r="J116" s="7" t="n"/>
      <c r="K116" s="7">
        <f>IF($A116="","",S116*N116)</f>
        <v/>
      </c>
      <c r="L116" s="7">
        <f>IF($A116="","",N116-K116)</f>
        <v/>
      </c>
      <c r="M116" s="7">
        <f>IF($A116="","",L116-F116)</f>
        <v/>
      </c>
      <c r="N116" s="7" t="n"/>
      <c r="Q116" s="11" t="n"/>
      <c r="S116">
        <f>IF($A116="","",IF($W116=1,Settings!$C$6,Settings!$C$7)*1)</f>
        <v/>
      </c>
      <c r="U116">
        <f>IF($A116="","",IF(COUNTIF($A$2:$A116,$A116)=1,1,0))</f>
        <v/>
      </c>
      <c r="V116">
        <f>IF($U116=1,SUMPRODUCT(--($X$2:$X$501&lt;$X116))+1,"")</f>
        <v/>
      </c>
      <c r="W116">
        <f>IF($A116="","",IF(OR($T116=TRUE(),$T116="TRUE"),1,0))</f>
        <v/>
      </c>
      <c r="X116">
        <f>IF($U116=1,IFERROR(IF(VALUE($A116)&lt;100000000,VALUE($A116),1000000000),IFERROR(IF(VALUE(MID($A116,2,20))&lt;100000000,VALUE(MID($A116,2,20)),1000000000),1000000000))+ROW()/100000,"")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IF($A117="","",E117*N117/100)</f>
        <v/>
      </c>
      <c r="J117" s="7" t="n"/>
      <c r="K117" s="7">
        <f>IF($A117="","",S117*N117)</f>
        <v/>
      </c>
      <c r="L117" s="7">
        <f>IF($A117="","",N117-K117)</f>
        <v/>
      </c>
      <c r="M117" s="7">
        <f>IF($A117="","",L117-F117)</f>
        <v/>
      </c>
      <c r="N117" s="7" t="n"/>
      <c r="Q117" s="11" t="n"/>
      <c r="S117">
        <f>IF($A117="","",IF($W117=1,Settings!$C$6,Settings!$C$7)*1)</f>
        <v/>
      </c>
      <c r="U117">
        <f>IF($A117="","",IF(COUNTIF($A$2:$A117,$A117)=1,1,0))</f>
        <v/>
      </c>
      <c r="V117">
        <f>IF($U117=1,SUMPRODUCT(--($X$2:$X$501&lt;$X117))+1,"")</f>
        <v/>
      </c>
      <c r="W117">
        <f>IF($A117="","",IF(OR($T117=TRUE(),$T117="TRUE"),1,0))</f>
        <v/>
      </c>
      <c r="X117">
        <f>IF($U117=1,IFERROR(IF(VALUE($A117)&lt;100000000,VALUE($A117),1000000000),IFERROR(IF(VALUE(MID($A117,2,20))&lt;100000000,VALUE(MID($A117,2,20)),1000000000),1000000000))+ROW()/100000,"")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IF($A118="","",E118*N118/100)</f>
        <v/>
      </c>
      <c r="J118" s="7" t="n"/>
      <c r="K118" s="7">
        <f>IF($A118="","",S118*N118)</f>
        <v/>
      </c>
      <c r="L118" s="7">
        <f>IF($A118="","",N118-K118)</f>
        <v/>
      </c>
      <c r="M118" s="7">
        <f>IF($A118="","",L118-F118)</f>
        <v/>
      </c>
      <c r="N118" s="7" t="n"/>
      <c r="Q118" s="11" t="n"/>
      <c r="S118">
        <f>IF($A118="","",IF($W118=1,Settings!$C$6,Settings!$C$7)*1)</f>
        <v/>
      </c>
      <c r="U118">
        <f>IF($A118="","",IF(COUNTIF($A$2:$A118,$A118)=1,1,0))</f>
        <v/>
      </c>
      <c r="V118">
        <f>IF($U118=1,SUMPRODUCT(--($X$2:$X$501&lt;$X118))+1,"")</f>
        <v/>
      </c>
      <c r="W118">
        <f>IF($A118="","",IF(OR($T118=TRUE(),$T118="TRUE"),1,0))</f>
        <v/>
      </c>
      <c r="X118">
        <f>IF($U118=1,IFERROR(IF(VALUE($A118)&lt;100000000,VALUE($A118),1000000000),IFERROR(IF(VALUE(MID($A118,2,20))&lt;100000000,VALUE(MID($A118,2,20)),1000000000),1000000000))+ROW()/100000,"")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IF($A119="","",E119*N119/100)</f>
        <v/>
      </c>
      <c r="J119" s="7" t="n"/>
      <c r="K119" s="7">
        <f>IF($A119="","",S119*N119)</f>
        <v/>
      </c>
      <c r="L119" s="7">
        <f>IF($A119="","",N119-K119)</f>
        <v/>
      </c>
      <c r="M119" s="7">
        <f>IF($A119="","",L119-F119)</f>
        <v/>
      </c>
      <c r="N119" s="7" t="n"/>
      <c r="Q119" s="11" t="n"/>
      <c r="S119">
        <f>IF($A119="","",IF($W119=1,Settings!$C$6,Settings!$C$7)*1)</f>
        <v/>
      </c>
      <c r="U119">
        <f>IF($A119="","",IF(COUNTIF($A$2:$A119,$A119)=1,1,0))</f>
        <v/>
      </c>
      <c r="V119">
        <f>IF($U119=1,SUMPRODUCT(--($X$2:$X$501&lt;$X119))+1,"")</f>
        <v/>
      </c>
      <c r="W119">
        <f>IF($A119="","",IF(OR($T119=TRUE(),$T119="TRUE"),1,0))</f>
        <v/>
      </c>
      <c r="X119">
        <f>IF($U119=1,IFERROR(IF(VALUE($A119)&lt;100000000,VALUE($A119),1000000000),IFERROR(IF(VALUE(MID($A119,2,20))&lt;100000000,VALUE(MID($A119,2,20)),1000000000),1000000000))+ROW()/100000,"")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IF($A120="","",E120*N120/100)</f>
        <v/>
      </c>
      <c r="J120" s="7" t="n"/>
      <c r="K120" s="7">
        <f>IF($A120="","",S120*N120)</f>
        <v/>
      </c>
      <c r="L120" s="7">
        <f>IF($A120="","",N120-K120)</f>
        <v/>
      </c>
      <c r="M120" s="7">
        <f>IF($A120="","",L120-F120)</f>
        <v/>
      </c>
      <c r="N120" s="7" t="n"/>
      <c r="Q120" s="11" t="n"/>
      <c r="S120">
        <f>IF($A120="","",IF($W120=1,Settings!$C$6,Settings!$C$7)*1)</f>
        <v/>
      </c>
      <c r="U120">
        <f>IF($A120="","",IF(COUNTIF($A$2:$A120,$A120)=1,1,0))</f>
        <v/>
      </c>
      <c r="V120">
        <f>IF($U120=1,SUMPRODUCT(--($X$2:$X$501&lt;$X120))+1,"")</f>
        <v/>
      </c>
      <c r="W120">
        <f>IF($A120="","",IF(OR($T120=TRUE(),$T120="TRUE"),1,0))</f>
        <v/>
      </c>
      <c r="X120">
        <f>IF($U120=1,IFERROR(IF(VALUE($A120)&lt;100000000,VALUE($A120),1000000000),IFERROR(IF(VALUE(MID($A120,2,20))&lt;100000000,VALUE(MID($A120,2,20)),1000000000),1000000000))+ROW()/100000,"")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IF($A121="","",E121*N121/100)</f>
        <v/>
      </c>
      <c r="J121" s="7" t="n"/>
      <c r="K121" s="7">
        <f>IF($A121="","",S121*N121)</f>
        <v/>
      </c>
      <c r="L121" s="7">
        <f>IF($A121="","",N121-K121)</f>
        <v/>
      </c>
      <c r="M121" s="7">
        <f>IF($A121="","",L121-F121)</f>
        <v/>
      </c>
      <c r="N121" s="7" t="n"/>
      <c r="Q121" s="11" t="n"/>
      <c r="S121">
        <f>IF($A121="","",IF($W121=1,Settings!$C$6,Settings!$C$7)*1)</f>
        <v/>
      </c>
      <c r="U121">
        <f>IF($A121="","",IF(COUNTIF($A$2:$A121,$A121)=1,1,0))</f>
        <v/>
      </c>
      <c r="V121">
        <f>IF($U121=1,SUMPRODUCT(--($X$2:$X$501&lt;$X121))+1,"")</f>
        <v/>
      </c>
      <c r="W121">
        <f>IF($A121="","",IF(OR($T121=TRUE(),$T121="TRUE"),1,0))</f>
        <v/>
      </c>
      <c r="X121">
        <f>IF($U121=1,IFERROR(IF(VALUE($A121)&lt;100000000,VALUE($A121),1000000000),IFERROR(IF(VALUE(MID($A121,2,20))&lt;100000000,VALUE(MID($A121,2,20)),1000000000),1000000000))+ROW()/100000,"")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IF($A122="","",E122*N122/100)</f>
        <v/>
      </c>
      <c r="J122" s="7" t="n"/>
      <c r="K122" s="7">
        <f>IF($A122="","",S122*N122)</f>
        <v/>
      </c>
      <c r="L122" s="7">
        <f>IF($A122="","",N122-K122)</f>
        <v/>
      </c>
      <c r="M122" s="7">
        <f>IF($A122="","",L122-F122)</f>
        <v/>
      </c>
      <c r="N122" s="7" t="n"/>
      <c r="Q122" s="11" t="n"/>
      <c r="S122">
        <f>IF($A122="","",IF($W122=1,Settings!$C$6,Settings!$C$7)*1)</f>
        <v/>
      </c>
      <c r="U122">
        <f>IF($A122="","",IF(COUNTIF($A$2:$A122,$A122)=1,1,0))</f>
        <v/>
      </c>
      <c r="V122">
        <f>IF($U122=1,SUMPRODUCT(--($X$2:$X$501&lt;$X122))+1,"")</f>
        <v/>
      </c>
      <c r="W122">
        <f>IF($A122="","",IF(OR($T122=TRUE(),$T122="TRUE"),1,0))</f>
        <v/>
      </c>
      <c r="X122">
        <f>IF($U122=1,IFERROR(IF(VALUE($A122)&lt;100000000,VALUE($A122),1000000000),IFERROR(IF(VALUE(MID($A122,2,20))&lt;100000000,VALUE(MID($A122,2,20)),1000000000),1000000000))+ROW()/100000,"")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IF($A123="","",E123*N123/100)</f>
        <v/>
      </c>
      <c r="J123" s="7" t="n"/>
      <c r="K123" s="7">
        <f>IF($A123="","",S123*N123)</f>
        <v/>
      </c>
      <c r="L123" s="7">
        <f>IF($A123="","",N123-K123)</f>
        <v/>
      </c>
      <c r="M123" s="7">
        <f>IF($A123="","",L123-F123)</f>
        <v/>
      </c>
      <c r="N123" s="7" t="n"/>
      <c r="Q123" s="11" t="n"/>
      <c r="S123">
        <f>IF($A123="","",IF($W123=1,Settings!$C$6,Settings!$C$7)*1)</f>
        <v/>
      </c>
      <c r="U123">
        <f>IF($A123="","",IF(COUNTIF($A$2:$A123,$A123)=1,1,0))</f>
        <v/>
      </c>
      <c r="V123">
        <f>IF($U123=1,SUMPRODUCT(--($X$2:$X$501&lt;$X123))+1,"")</f>
        <v/>
      </c>
      <c r="W123">
        <f>IF($A123="","",IF(OR($T123=TRUE(),$T123="TRUE"),1,0))</f>
        <v/>
      </c>
      <c r="X123">
        <f>IF($U123=1,IFERROR(IF(VALUE($A123)&lt;100000000,VALUE($A123),1000000000),IFERROR(IF(VALUE(MID($A123,2,20))&lt;100000000,VALUE(MID($A123,2,20)),1000000000),1000000000))+ROW()/100000,"")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IF($A124="","",E124*N124/100)</f>
        <v/>
      </c>
      <c r="J124" s="7" t="n"/>
      <c r="K124" s="7">
        <f>IF($A124="","",S124*N124)</f>
        <v/>
      </c>
      <c r="L124" s="7">
        <f>IF($A124="","",N124-K124)</f>
        <v/>
      </c>
      <c r="M124" s="7">
        <f>IF($A124="","",L124-F124)</f>
        <v/>
      </c>
      <c r="N124" s="7" t="n"/>
      <c r="Q124" s="11" t="n"/>
      <c r="S124">
        <f>IF($A124="","",IF($W124=1,Settings!$C$6,Settings!$C$7)*1)</f>
        <v/>
      </c>
      <c r="U124">
        <f>IF($A124="","",IF(COUNTIF($A$2:$A124,$A124)=1,1,0))</f>
        <v/>
      </c>
      <c r="V124">
        <f>IF($U124=1,SUMPRODUCT(--($X$2:$X$501&lt;$X124))+1,"")</f>
        <v/>
      </c>
      <c r="W124">
        <f>IF($A124="","",IF(OR($T124=TRUE(),$T124="TRUE"),1,0))</f>
        <v/>
      </c>
      <c r="X124">
        <f>IF($U124=1,IFERROR(IF(VALUE($A124)&lt;100000000,VALUE($A124),1000000000),IFERROR(IF(VALUE(MID($A124,2,20))&lt;100000000,VALUE(MID($A124,2,20)),1000000000),1000000000))+ROW()/100000,"")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IF($A125="","",E125*N125/100)</f>
        <v/>
      </c>
      <c r="J125" s="7" t="n"/>
      <c r="K125" s="7">
        <f>IF($A125="","",S125*N125)</f>
        <v/>
      </c>
      <c r="L125" s="7">
        <f>IF($A125="","",N125-K125)</f>
        <v/>
      </c>
      <c r="M125" s="7">
        <f>IF($A125="","",L125-F125)</f>
        <v/>
      </c>
      <c r="N125" s="7" t="n"/>
      <c r="Q125" s="11" t="n"/>
      <c r="S125">
        <f>IF($A125="","",IF($W125=1,Settings!$C$6,Settings!$C$7)*1)</f>
        <v/>
      </c>
      <c r="U125">
        <f>IF($A125="","",IF(COUNTIF($A$2:$A125,$A125)=1,1,0))</f>
        <v/>
      </c>
      <c r="V125">
        <f>IF($U125=1,SUMPRODUCT(--($X$2:$X$501&lt;$X125))+1,"")</f>
        <v/>
      </c>
      <c r="W125">
        <f>IF($A125="","",IF(OR($T125=TRUE(),$T125="TRUE"),1,0))</f>
        <v/>
      </c>
      <c r="X125">
        <f>IF($U125=1,IFERROR(IF(VALUE($A125)&lt;100000000,VALUE($A125),1000000000),IFERROR(IF(VALUE(MID($A125,2,20))&lt;100000000,VALUE(MID($A125,2,20)),1000000000),1000000000))+ROW()/100000,"")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IF($A126="","",E126*N126/100)</f>
        <v/>
      </c>
      <c r="J126" s="7" t="n"/>
      <c r="K126" s="7">
        <f>IF($A126="","",S126*N126)</f>
        <v/>
      </c>
      <c r="L126" s="7">
        <f>IF($A126="","",N126-K126)</f>
        <v/>
      </c>
      <c r="M126" s="7">
        <f>IF($A126="","",L126-F126)</f>
        <v/>
      </c>
      <c r="N126" s="7" t="n"/>
      <c r="Q126" s="11" t="n"/>
      <c r="S126">
        <f>IF($A126="","",IF($W126=1,Settings!$C$6,Settings!$C$7)*1)</f>
        <v/>
      </c>
      <c r="U126">
        <f>IF($A126="","",IF(COUNTIF($A$2:$A126,$A126)=1,1,0))</f>
        <v/>
      </c>
      <c r="V126">
        <f>IF($U126=1,SUMPRODUCT(--($X$2:$X$501&lt;$X126))+1,"")</f>
        <v/>
      </c>
      <c r="W126">
        <f>IF($A126="","",IF(OR($T126=TRUE(),$T126="TRUE"),1,0))</f>
        <v/>
      </c>
      <c r="X126">
        <f>IF($U126=1,IFERROR(IF(VALUE($A126)&lt;100000000,VALUE($A126),1000000000),IFERROR(IF(VALUE(MID($A126,2,20))&lt;100000000,VALUE(MID($A126,2,20)),1000000000),1000000000))+ROW()/100000,"")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IF($A127="","",E127*N127/100)</f>
        <v/>
      </c>
      <c r="J127" s="7" t="n"/>
      <c r="K127" s="7">
        <f>IF($A127="","",S127*N127)</f>
        <v/>
      </c>
      <c r="L127" s="7">
        <f>IF($A127="","",N127-K127)</f>
        <v/>
      </c>
      <c r="M127" s="7">
        <f>IF($A127="","",L127-F127)</f>
        <v/>
      </c>
      <c r="N127" s="7" t="n"/>
      <c r="Q127" s="11" t="n"/>
      <c r="S127">
        <f>IF($A127="","",IF($W127=1,Settings!$C$6,Settings!$C$7)*1)</f>
        <v/>
      </c>
      <c r="U127">
        <f>IF($A127="","",IF(COUNTIF($A$2:$A127,$A127)=1,1,0))</f>
        <v/>
      </c>
      <c r="V127">
        <f>IF($U127=1,SUMPRODUCT(--($X$2:$X$501&lt;$X127))+1,"")</f>
        <v/>
      </c>
      <c r="W127">
        <f>IF($A127="","",IF(OR($T127=TRUE(),$T127="TRUE"),1,0))</f>
        <v/>
      </c>
      <c r="X127">
        <f>IF($U127=1,IFERROR(IF(VALUE($A127)&lt;100000000,VALUE($A127),1000000000),IFERROR(IF(VALUE(MID($A127,2,20))&lt;100000000,VALUE(MID($A127,2,20)),1000000000),1000000000))+ROW()/100000,"")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IF($A128="","",E128*N128/100)</f>
        <v/>
      </c>
      <c r="J128" s="7" t="n"/>
      <c r="K128" s="7">
        <f>IF($A128="","",S128*N128)</f>
        <v/>
      </c>
      <c r="L128" s="7">
        <f>IF($A128="","",N128-K128)</f>
        <v/>
      </c>
      <c r="M128" s="7">
        <f>IF($A128="","",L128-F128)</f>
        <v/>
      </c>
      <c r="N128" s="7" t="n"/>
      <c r="Q128" s="11" t="n"/>
      <c r="S128">
        <f>IF($A128="","",IF($W128=1,Settings!$C$6,Settings!$C$7)*1)</f>
        <v/>
      </c>
      <c r="U128">
        <f>IF($A128="","",IF(COUNTIF($A$2:$A128,$A128)=1,1,0))</f>
        <v/>
      </c>
      <c r="V128">
        <f>IF($U128=1,SUMPRODUCT(--($X$2:$X$501&lt;$X128))+1,"")</f>
        <v/>
      </c>
      <c r="W128">
        <f>IF($A128="","",IF(OR($T128=TRUE(),$T128="TRUE"),1,0))</f>
        <v/>
      </c>
      <c r="X128">
        <f>IF($U128=1,IFERROR(IF(VALUE($A128)&lt;100000000,VALUE($A128),1000000000),IFERROR(IF(VALUE(MID($A128,2,20))&lt;100000000,VALUE(MID($A128,2,20)),1000000000),1000000000))+ROW()/100000,"")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IF($A129="","",E129*N129/100)</f>
        <v/>
      </c>
      <c r="J129" s="7" t="n"/>
      <c r="K129" s="7">
        <f>IF($A129="","",S129*N129)</f>
        <v/>
      </c>
      <c r="L129" s="7">
        <f>IF($A129="","",N129-K129)</f>
        <v/>
      </c>
      <c r="M129" s="7">
        <f>IF($A129="","",L129-F129)</f>
        <v/>
      </c>
      <c r="N129" s="7" t="n"/>
      <c r="Q129" s="11" t="n"/>
      <c r="S129">
        <f>IF($A129="","",IF($W129=1,Settings!$C$6,Settings!$C$7)*1)</f>
        <v/>
      </c>
      <c r="U129">
        <f>IF($A129="","",IF(COUNTIF($A$2:$A129,$A129)=1,1,0))</f>
        <v/>
      </c>
      <c r="V129">
        <f>IF($U129=1,SUMPRODUCT(--($X$2:$X$501&lt;$X129))+1,"")</f>
        <v/>
      </c>
      <c r="W129">
        <f>IF($A129="","",IF(OR($T129=TRUE(),$T129="TRUE"),1,0))</f>
        <v/>
      </c>
      <c r="X129">
        <f>IF($U129=1,IFERROR(IF(VALUE($A129)&lt;100000000,VALUE($A129),1000000000),IFERROR(IF(VALUE(MID($A129,2,20))&lt;100000000,VALUE(MID($A129,2,20)),1000000000),1000000000))+ROW()/100000,"")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IF($A130="","",E130*N130/100)</f>
        <v/>
      </c>
      <c r="J130" s="7" t="n"/>
      <c r="K130" s="7">
        <f>IF($A130="","",S130*N130)</f>
        <v/>
      </c>
      <c r="L130" s="7">
        <f>IF($A130="","",N130-K130)</f>
        <v/>
      </c>
      <c r="M130" s="7">
        <f>IF($A130="","",L130-F130)</f>
        <v/>
      </c>
      <c r="N130" s="7" t="n"/>
      <c r="Q130" s="11" t="n"/>
      <c r="S130">
        <f>IF($A130="","",IF($W130=1,Settings!$C$6,Settings!$C$7)*1)</f>
        <v/>
      </c>
      <c r="U130">
        <f>IF($A130="","",IF(COUNTIF($A$2:$A130,$A130)=1,1,0))</f>
        <v/>
      </c>
      <c r="V130">
        <f>IF($U130=1,SUMPRODUCT(--($X$2:$X$501&lt;$X130))+1,"")</f>
        <v/>
      </c>
      <c r="W130">
        <f>IF($A130="","",IF(OR($T130=TRUE(),$T130="TRUE"),1,0))</f>
        <v/>
      </c>
      <c r="X130">
        <f>IF($U130=1,IFERROR(IF(VALUE($A130)&lt;100000000,VALUE($A130),1000000000),IFERROR(IF(VALUE(MID($A130,2,20))&lt;100000000,VALUE(MID($A130,2,20)),1000000000),1000000000))+ROW()/100000,"")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IF($A131="","",E131*N131/100)</f>
        <v/>
      </c>
      <c r="J131" s="7" t="n"/>
      <c r="K131" s="7">
        <f>IF($A131="","",S131*N131)</f>
        <v/>
      </c>
      <c r="L131" s="7">
        <f>IF($A131="","",N131-K131)</f>
        <v/>
      </c>
      <c r="M131" s="7">
        <f>IF($A131="","",L131-F131)</f>
        <v/>
      </c>
      <c r="N131" s="7" t="n"/>
      <c r="Q131" s="11" t="n"/>
      <c r="S131">
        <f>IF($A131="","",IF($W131=1,Settings!$C$6,Settings!$C$7)*1)</f>
        <v/>
      </c>
      <c r="U131">
        <f>IF($A131="","",IF(COUNTIF($A$2:$A131,$A131)=1,1,0))</f>
        <v/>
      </c>
      <c r="V131">
        <f>IF($U131=1,SUMPRODUCT(--($X$2:$X$501&lt;$X131))+1,"")</f>
        <v/>
      </c>
      <c r="W131">
        <f>IF($A131="","",IF(OR($T131=TRUE(),$T131="TRUE"),1,0))</f>
        <v/>
      </c>
      <c r="X131">
        <f>IF($U131=1,IFERROR(IF(VALUE($A131)&lt;100000000,VALUE($A131),1000000000),IFERROR(IF(VALUE(MID($A131,2,20))&lt;100000000,VALUE(MID($A131,2,20)),1000000000),1000000000))+ROW()/100000,"")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IF($A132="","",E132*N132/100)</f>
        <v/>
      </c>
      <c r="J132" s="7" t="n"/>
      <c r="K132" s="7">
        <f>IF($A132="","",S132*N132)</f>
        <v/>
      </c>
      <c r="L132" s="7">
        <f>IF($A132="","",N132-K132)</f>
        <v/>
      </c>
      <c r="M132" s="7">
        <f>IF($A132="","",L132-F132)</f>
        <v/>
      </c>
      <c r="N132" s="7" t="n"/>
      <c r="Q132" s="11" t="n"/>
      <c r="S132">
        <f>IF($A132="","",IF($W132=1,Settings!$C$6,Settings!$C$7)*1)</f>
        <v/>
      </c>
      <c r="U132">
        <f>IF($A132="","",IF(COUNTIF($A$2:$A132,$A132)=1,1,0))</f>
        <v/>
      </c>
      <c r="V132">
        <f>IF($U132=1,SUMPRODUCT(--($X$2:$X$501&lt;$X132))+1,"")</f>
        <v/>
      </c>
      <c r="W132">
        <f>IF($A132="","",IF(OR($T132=TRUE(),$T132="TRUE"),1,0))</f>
        <v/>
      </c>
      <c r="X132">
        <f>IF($U132=1,IFERROR(IF(VALUE($A132)&lt;100000000,VALUE($A132),1000000000),IFERROR(IF(VALUE(MID($A132,2,20))&lt;100000000,VALUE(MID($A132,2,20)),1000000000),1000000000))+ROW()/100000,"")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IF($A133="","",E133*N133/100)</f>
        <v/>
      </c>
      <c r="J133" s="7" t="n"/>
      <c r="K133" s="7">
        <f>IF($A133="","",S133*N133)</f>
        <v/>
      </c>
      <c r="L133" s="7">
        <f>IF($A133="","",N133-K133)</f>
        <v/>
      </c>
      <c r="M133" s="7">
        <f>IF($A133="","",L133-F133)</f>
        <v/>
      </c>
      <c r="N133" s="7" t="n"/>
      <c r="Q133" s="11" t="n"/>
      <c r="S133">
        <f>IF($A133="","",IF($W133=1,Settings!$C$6,Settings!$C$7)*1)</f>
        <v/>
      </c>
      <c r="U133">
        <f>IF($A133="","",IF(COUNTIF($A$2:$A133,$A133)=1,1,0))</f>
        <v/>
      </c>
      <c r="V133">
        <f>IF($U133=1,SUMPRODUCT(--($X$2:$X$501&lt;$X133))+1,"")</f>
        <v/>
      </c>
      <c r="W133">
        <f>IF($A133="","",IF(OR($T133=TRUE(),$T133="TRUE"),1,0))</f>
        <v/>
      </c>
      <c r="X133">
        <f>IF($U133=1,IFERROR(IF(VALUE($A133)&lt;100000000,VALUE($A133),1000000000),IFERROR(IF(VALUE(MID($A133,2,20))&lt;100000000,VALUE(MID($A133,2,20)),1000000000),1000000000))+ROW()/100000,"")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IF($A134="","",E134*N134/100)</f>
        <v/>
      </c>
      <c r="J134" s="7" t="n"/>
      <c r="K134" s="7">
        <f>IF($A134="","",S134*N134)</f>
        <v/>
      </c>
      <c r="L134" s="7">
        <f>IF($A134="","",N134-K134)</f>
        <v/>
      </c>
      <c r="M134" s="7">
        <f>IF($A134="","",L134-F134)</f>
        <v/>
      </c>
      <c r="N134" s="7" t="n"/>
      <c r="Q134" s="11" t="n"/>
      <c r="S134">
        <f>IF($A134="","",IF($W134=1,Settings!$C$6,Settings!$C$7)*1)</f>
        <v/>
      </c>
      <c r="U134">
        <f>IF($A134="","",IF(COUNTIF($A$2:$A134,$A134)=1,1,0))</f>
        <v/>
      </c>
      <c r="V134">
        <f>IF($U134=1,SUMPRODUCT(--($X$2:$X$501&lt;$X134))+1,"")</f>
        <v/>
      </c>
      <c r="W134">
        <f>IF($A134="","",IF(OR($T134=TRUE(),$T134="TRUE"),1,0))</f>
        <v/>
      </c>
      <c r="X134">
        <f>IF($U134=1,IFERROR(IF(VALUE($A134)&lt;100000000,VALUE($A134),1000000000),IFERROR(IF(VALUE(MID($A134,2,20))&lt;100000000,VALUE(MID($A134,2,20)),1000000000),1000000000))+ROW()/100000,"")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IF($A135="","",E135*N135/100)</f>
        <v/>
      </c>
      <c r="J135" s="7" t="n"/>
      <c r="K135" s="7">
        <f>IF($A135="","",S135*N135)</f>
        <v/>
      </c>
      <c r="L135" s="7">
        <f>IF($A135="","",N135-K135)</f>
        <v/>
      </c>
      <c r="M135" s="7">
        <f>IF($A135="","",L135-F135)</f>
        <v/>
      </c>
      <c r="N135" s="7" t="n"/>
      <c r="Q135" s="11" t="n"/>
      <c r="S135">
        <f>IF($A135="","",IF($W135=1,Settings!$C$6,Settings!$C$7)*1)</f>
        <v/>
      </c>
      <c r="U135">
        <f>IF($A135="","",IF(COUNTIF($A$2:$A135,$A135)=1,1,0))</f>
        <v/>
      </c>
      <c r="V135">
        <f>IF($U135=1,SUMPRODUCT(--($X$2:$X$501&lt;$X135))+1,"")</f>
        <v/>
      </c>
      <c r="W135">
        <f>IF($A135="","",IF(OR($T135=TRUE(),$T135="TRUE"),1,0))</f>
        <v/>
      </c>
      <c r="X135">
        <f>IF($U135=1,IFERROR(IF(VALUE($A135)&lt;100000000,VALUE($A135),1000000000),IFERROR(IF(VALUE(MID($A135,2,20))&lt;100000000,VALUE(MID($A135,2,20)),1000000000),1000000000))+ROW()/100000,"")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IF($A136="","",E136*N136/100)</f>
        <v/>
      </c>
      <c r="J136" s="7" t="n"/>
      <c r="K136" s="7">
        <f>IF($A136="","",S136*N136)</f>
        <v/>
      </c>
      <c r="L136" s="7">
        <f>IF($A136="","",N136-K136)</f>
        <v/>
      </c>
      <c r="M136" s="7">
        <f>IF($A136="","",L136-F136)</f>
        <v/>
      </c>
      <c r="N136" s="7" t="n"/>
      <c r="Q136" s="11" t="n"/>
      <c r="S136">
        <f>IF($A136="","",IF($W136=1,Settings!$C$6,Settings!$C$7)*1)</f>
        <v/>
      </c>
      <c r="U136">
        <f>IF($A136="","",IF(COUNTIF($A$2:$A136,$A136)=1,1,0))</f>
        <v/>
      </c>
      <c r="V136">
        <f>IF($U136=1,SUMPRODUCT(--($X$2:$X$501&lt;$X136))+1,"")</f>
        <v/>
      </c>
      <c r="W136">
        <f>IF($A136="","",IF(OR($T136=TRUE(),$T136="TRUE"),1,0))</f>
        <v/>
      </c>
      <c r="X136">
        <f>IF($U136=1,IFERROR(IF(VALUE($A136)&lt;100000000,VALUE($A136),1000000000),IFERROR(IF(VALUE(MID($A136,2,20))&lt;100000000,VALUE(MID($A136,2,20)),1000000000),1000000000))+ROW()/100000,"")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IF($A137="","",E137*N137/100)</f>
        <v/>
      </c>
      <c r="J137" s="7" t="n"/>
      <c r="K137" s="7">
        <f>IF($A137="","",S137*N137)</f>
        <v/>
      </c>
      <c r="L137" s="7">
        <f>IF($A137="","",N137-K137)</f>
        <v/>
      </c>
      <c r="M137" s="7">
        <f>IF($A137="","",L137-F137)</f>
        <v/>
      </c>
      <c r="N137" s="7" t="n"/>
      <c r="Q137" s="11" t="n"/>
      <c r="S137">
        <f>IF($A137="","",IF($W137=1,Settings!$C$6,Settings!$C$7)*1)</f>
        <v/>
      </c>
      <c r="U137">
        <f>IF($A137="","",IF(COUNTIF($A$2:$A137,$A137)=1,1,0))</f>
        <v/>
      </c>
      <c r="V137">
        <f>IF($U137=1,SUMPRODUCT(--($X$2:$X$501&lt;$X137))+1,"")</f>
        <v/>
      </c>
      <c r="W137">
        <f>IF($A137="","",IF(OR($T137=TRUE(),$T137="TRUE"),1,0))</f>
        <v/>
      </c>
      <c r="X137">
        <f>IF($U137=1,IFERROR(IF(VALUE($A137)&lt;100000000,VALUE($A137),1000000000),IFERROR(IF(VALUE(MID($A137,2,20))&lt;100000000,VALUE(MID($A137,2,20)),1000000000),1000000000))+ROW()/100000,"")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IF($A138="","",E138*N138/100)</f>
        <v/>
      </c>
      <c r="J138" s="7" t="n"/>
      <c r="K138" s="7">
        <f>IF($A138="","",S138*N138)</f>
        <v/>
      </c>
      <c r="L138" s="7">
        <f>IF($A138="","",N138-K138)</f>
        <v/>
      </c>
      <c r="M138" s="7">
        <f>IF($A138="","",L138-F138)</f>
        <v/>
      </c>
      <c r="N138" s="7" t="n"/>
      <c r="Q138" s="11" t="n"/>
      <c r="S138">
        <f>IF($A138="","",IF($W138=1,Settings!$C$6,Settings!$C$7)*1)</f>
        <v/>
      </c>
      <c r="U138">
        <f>IF($A138="","",IF(COUNTIF($A$2:$A138,$A138)=1,1,0))</f>
        <v/>
      </c>
      <c r="V138">
        <f>IF($U138=1,SUMPRODUCT(--($X$2:$X$501&lt;$X138))+1,"")</f>
        <v/>
      </c>
      <c r="W138">
        <f>IF($A138="","",IF(OR($T138=TRUE(),$T138="TRUE"),1,0))</f>
        <v/>
      </c>
      <c r="X138">
        <f>IF($U138=1,IFERROR(IF(VALUE($A138)&lt;100000000,VALUE($A138),1000000000),IFERROR(IF(VALUE(MID($A138,2,20))&lt;100000000,VALUE(MID($A138,2,20)),1000000000),1000000000))+ROW()/100000,"")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IF($A139="","",E139*N139/100)</f>
        <v/>
      </c>
      <c r="J139" s="7" t="n"/>
      <c r="K139" s="7">
        <f>IF($A139="","",S139*N139)</f>
        <v/>
      </c>
      <c r="L139" s="7">
        <f>IF($A139="","",N139-K139)</f>
        <v/>
      </c>
      <c r="M139" s="7">
        <f>IF($A139="","",L139-F139)</f>
        <v/>
      </c>
      <c r="N139" s="7" t="n"/>
      <c r="Q139" s="11" t="n"/>
      <c r="S139">
        <f>IF($A139="","",IF($W139=1,Settings!$C$6,Settings!$C$7)*1)</f>
        <v/>
      </c>
      <c r="U139">
        <f>IF($A139="","",IF(COUNTIF($A$2:$A139,$A139)=1,1,0))</f>
        <v/>
      </c>
      <c r="V139">
        <f>IF($U139=1,SUMPRODUCT(--($X$2:$X$501&lt;$X139))+1,"")</f>
        <v/>
      </c>
      <c r="W139">
        <f>IF($A139="","",IF(OR($T139=TRUE(),$T139="TRUE"),1,0))</f>
        <v/>
      </c>
      <c r="X139">
        <f>IF($U139=1,IFERROR(IF(VALUE($A139)&lt;100000000,VALUE($A139),1000000000),IFERROR(IF(VALUE(MID($A139,2,20))&lt;100000000,VALUE(MID($A139,2,20)),1000000000),1000000000))+ROW()/100000,"")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IF($A140="","",E140*N140/100)</f>
        <v/>
      </c>
      <c r="J140" s="7" t="n"/>
      <c r="K140" s="7">
        <f>IF($A140="","",S140*N140)</f>
        <v/>
      </c>
      <c r="L140" s="7">
        <f>IF($A140="","",N140-K140)</f>
        <v/>
      </c>
      <c r="M140" s="7">
        <f>IF($A140="","",L140-F140)</f>
        <v/>
      </c>
      <c r="N140" s="7" t="n"/>
      <c r="Q140" s="11" t="n"/>
      <c r="S140">
        <f>IF($A140="","",IF($W140=1,Settings!$C$6,Settings!$C$7)*1)</f>
        <v/>
      </c>
      <c r="U140">
        <f>IF($A140="","",IF(COUNTIF($A$2:$A140,$A140)=1,1,0))</f>
        <v/>
      </c>
      <c r="V140">
        <f>IF($U140=1,SUMPRODUCT(--($X$2:$X$501&lt;$X140))+1,"")</f>
        <v/>
      </c>
      <c r="W140">
        <f>IF($A140="","",IF(OR($T140=TRUE(),$T140="TRUE"),1,0))</f>
        <v/>
      </c>
      <c r="X140">
        <f>IF($U140=1,IFERROR(IF(VALUE($A140)&lt;100000000,VALUE($A140),1000000000),IFERROR(IF(VALUE(MID($A140,2,20))&lt;100000000,VALUE(MID($A140,2,20)),1000000000),1000000000))+ROW()/100000,"")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IF($A141="","",E141*N141/100)</f>
        <v/>
      </c>
      <c r="J141" s="7" t="n"/>
      <c r="K141" s="7">
        <f>IF($A141="","",S141*N141)</f>
        <v/>
      </c>
      <c r="L141" s="7">
        <f>IF($A141="","",N141-K141)</f>
        <v/>
      </c>
      <c r="M141" s="7">
        <f>IF($A141="","",L141-F141)</f>
        <v/>
      </c>
      <c r="N141" s="7" t="n"/>
      <c r="Q141" s="11" t="n"/>
      <c r="S141">
        <f>IF($A141="","",IF($W141=1,Settings!$C$6,Settings!$C$7)*1)</f>
        <v/>
      </c>
      <c r="U141">
        <f>IF($A141="","",IF(COUNTIF($A$2:$A141,$A141)=1,1,0))</f>
        <v/>
      </c>
      <c r="V141">
        <f>IF($U141=1,SUMPRODUCT(--($X$2:$X$501&lt;$X141))+1,"")</f>
        <v/>
      </c>
      <c r="W141">
        <f>IF($A141="","",IF(OR($T141=TRUE(),$T141="TRUE"),1,0))</f>
        <v/>
      </c>
      <c r="X141">
        <f>IF($U141=1,IFERROR(IF(VALUE($A141)&lt;100000000,VALUE($A141),1000000000),IFERROR(IF(VALUE(MID($A141,2,20))&lt;100000000,VALUE(MID($A141,2,20)),1000000000),1000000000))+ROW()/100000,"")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IF($A142="","",E142*N142/100)</f>
        <v/>
      </c>
      <c r="J142" s="7" t="n"/>
      <c r="K142" s="7">
        <f>IF($A142="","",S142*N142)</f>
        <v/>
      </c>
      <c r="L142" s="7">
        <f>IF($A142="","",N142-K142)</f>
        <v/>
      </c>
      <c r="M142" s="7">
        <f>IF($A142="","",L142-F142)</f>
        <v/>
      </c>
      <c r="N142" s="7" t="n"/>
      <c r="Q142" s="11" t="n"/>
      <c r="S142">
        <f>IF($A142="","",IF($W142=1,Settings!$C$6,Settings!$C$7)*1)</f>
        <v/>
      </c>
      <c r="U142">
        <f>IF($A142="","",IF(COUNTIF($A$2:$A142,$A142)=1,1,0))</f>
        <v/>
      </c>
      <c r="V142">
        <f>IF($U142=1,SUMPRODUCT(--($X$2:$X$501&lt;$X142))+1,"")</f>
        <v/>
      </c>
      <c r="W142">
        <f>IF($A142="","",IF(OR($T142=TRUE(),$T142="TRUE"),1,0))</f>
        <v/>
      </c>
      <c r="X142">
        <f>IF($U142=1,IFERROR(IF(VALUE($A142)&lt;100000000,VALUE($A142),1000000000),IFERROR(IF(VALUE(MID($A142,2,20))&lt;100000000,VALUE(MID($A142,2,20)),1000000000),1000000000))+ROW()/100000,"")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IF($A143="","",E143*N143/100)</f>
        <v/>
      </c>
      <c r="J143" s="7" t="n"/>
      <c r="K143" s="7">
        <f>IF($A143="","",S143*N143)</f>
        <v/>
      </c>
      <c r="L143" s="7">
        <f>IF($A143="","",N143-K143)</f>
        <v/>
      </c>
      <c r="M143" s="7">
        <f>IF($A143="","",L143-F143)</f>
        <v/>
      </c>
      <c r="N143" s="7" t="n"/>
      <c r="Q143" s="11" t="n"/>
      <c r="S143">
        <f>IF($A143="","",IF($W143=1,Settings!$C$6,Settings!$C$7)*1)</f>
        <v/>
      </c>
      <c r="U143">
        <f>IF($A143="","",IF(COUNTIF($A$2:$A143,$A143)=1,1,0))</f>
        <v/>
      </c>
      <c r="V143">
        <f>IF($U143=1,SUMPRODUCT(--($X$2:$X$501&lt;$X143))+1,"")</f>
        <v/>
      </c>
      <c r="W143">
        <f>IF($A143="","",IF(OR($T143=TRUE(),$T143="TRUE"),1,0))</f>
        <v/>
      </c>
      <c r="X143">
        <f>IF($U143=1,IFERROR(IF(VALUE($A143)&lt;100000000,VALUE($A143),1000000000),IFERROR(IF(VALUE(MID($A143,2,20))&lt;100000000,VALUE(MID($A143,2,20)),1000000000),1000000000))+ROW()/100000,"")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IF($A144="","",E144*N144/100)</f>
        <v/>
      </c>
      <c r="J144" s="7" t="n"/>
      <c r="K144" s="7">
        <f>IF($A144="","",S144*N144)</f>
        <v/>
      </c>
      <c r="L144" s="7">
        <f>IF($A144="","",N144-K144)</f>
        <v/>
      </c>
      <c r="M144" s="7">
        <f>IF($A144="","",L144-F144)</f>
        <v/>
      </c>
      <c r="N144" s="7" t="n"/>
      <c r="Q144" s="11" t="n"/>
      <c r="S144">
        <f>IF($A144="","",IF($W144=1,Settings!$C$6,Settings!$C$7)*1)</f>
        <v/>
      </c>
      <c r="U144">
        <f>IF($A144="","",IF(COUNTIF($A$2:$A144,$A144)=1,1,0))</f>
        <v/>
      </c>
      <c r="V144">
        <f>IF($U144=1,SUMPRODUCT(--($X$2:$X$501&lt;$X144))+1,"")</f>
        <v/>
      </c>
      <c r="W144">
        <f>IF($A144="","",IF(OR($T144=TRUE(),$T144="TRUE"),1,0))</f>
        <v/>
      </c>
      <c r="X144">
        <f>IF($U144=1,IFERROR(IF(VALUE($A144)&lt;100000000,VALUE($A144),1000000000),IFERROR(IF(VALUE(MID($A144,2,20))&lt;100000000,VALUE(MID($A144,2,20)),1000000000),1000000000))+ROW()/100000,"")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IF($A145="","",E145*N145/100)</f>
        <v/>
      </c>
      <c r="J145" s="7" t="n"/>
      <c r="K145" s="7">
        <f>IF($A145="","",S145*N145)</f>
        <v/>
      </c>
      <c r="L145" s="7">
        <f>IF($A145="","",N145-K145)</f>
        <v/>
      </c>
      <c r="M145" s="7">
        <f>IF($A145="","",L145-F145)</f>
        <v/>
      </c>
      <c r="N145" s="7" t="n"/>
      <c r="Q145" s="11" t="n"/>
      <c r="S145">
        <f>IF($A145="","",IF($W145=1,Settings!$C$6,Settings!$C$7)*1)</f>
        <v/>
      </c>
      <c r="U145">
        <f>IF($A145="","",IF(COUNTIF($A$2:$A145,$A145)=1,1,0))</f>
        <v/>
      </c>
      <c r="V145">
        <f>IF($U145=1,SUMPRODUCT(--($X$2:$X$501&lt;$X145))+1,"")</f>
        <v/>
      </c>
      <c r="W145">
        <f>IF($A145="","",IF(OR($T145=TRUE(),$T145="TRUE"),1,0))</f>
        <v/>
      </c>
      <c r="X145">
        <f>IF($U145=1,IFERROR(IF(VALUE($A145)&lt;100000000,VALUE($A145),1000000000),IFERROR(IF(VALUE(MID($A145,2,20))&lt;100000000,VALUE(MID($A145,2,20)),1000000000),1000000000))+ROW()/100000,"")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IF($A146="","",E146*N146/100)</f>
        <v/>
      </c>
      <c r="J146" s="7" t="n"/>
      <c r="K146" s="7">
        <f>IF($A146="","",S146*N146)</f>
        <v/>
      </c>
      <c r="L146" s="7">
        <f>IF($A146="","",N146-K146)</f>
        <v/>
      </c>
      <c r="M146" s="7">
        <f>IF($A146="","",L146-F146)</f>
        <v/>
      </c>
      <c r="N146" s="7" t="n"/>
      <c r="Q146" s="11" t="n"/>
      <c r="S146">
        <f>IF($A146="","",IF($W146=1,Settings!$C$6,Settings!$C$7)*1)</f>
        <v/>
      </c>
      <c r="U146">
        <f>IF($A146="","",IF(COUNTIF($A$2:$A146,$A146)=1,1,0))</f>
        <v/>
      </c>
      <c r="V146">
        <f>IF($U146=1,SUMPRODUCT(--($X$2:$X$501&lt;$X146))+1,"")</f>
        <v/>
      </c>
      <c r="W146">
        <f>IF($A146="","",IF(OR($T146=TRUE(),$T146="TRUE"),1,0))</f>
        <v/>
      </c>
      <c r="X146">
        <f>IF($U146=1,IFERROR(IF(VALUE($A146)&lt;100000000,VALUE($A146),1000000000),IFERROR(IF(VALUE(MID($A146,2,20))&lt;100000000,VALUE(MID($A146,2,20)),1000000000),1000000000))+ROW()/100000,"")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IF($A147="","",E147*N147/100)</f>
        <v/>
      </c>
      <c r="J147" s="7" t="n"/>
      <c r="K147" s="7">
        <f>IF($A147="","",S147*N147)</f>
        <v/>
      </c>
      <c r="L147" s="7">
        <f>IF($A147="","",N147-K147)</f>
        <v/>
      </c>
      <c r="M147" s="7">
        <f>IF($A147="","",L147-F147)</f>
        <v/>
      </c>
      <c r="N147" s="7" t="n"/>
      <c r="Q147" s="11" t="n"/>
      <c r="S147">
        <f>IF($A147="","",IF($W147=1,Settings!$C$6,Settings!$C$7)*1)</f>
        <v/>
      </c>
      <c r="U147">
        <f>IF($A147="","",IF(COUNTIF($A$2:$A147,$A147)=1,1,0))</f>
        <v/>
      </c>
      <c r="V147">
        <f>IF($U147=1,SUMPRODUCT(--($X$2:$X$501&lt;$X147))+1,"")</f>
        <v/>
      </c>
      <c r="W147">
        <f>IF($A147="","",IF(OR($T147=TRUE(),$T147="TRUE"),1,0))</f>
        <v/>
      </c>
      <c r="X147">
        <f>IF($U147=1,IFERROR(IF(VALUE($A147)&lt;100000000,VALUE($A147),1000000000),IFERROR(IF(VALUE(MID($A147,2,20))&lt;100000000,VALUE(MID($A147,2,20)),1000000000),1000000000))+ROW()/100000,"")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IF($A148="","",E148*N148/100)</f>
        <v/>
      </c>
      <c r="J148" s="7" t="n"/>
      <c r="K148" s="7">
        <f>IF($A148="","",S148*N148)</f>
        <v/>
      </c>
      <c r="L148" s="7">
        <f>IF($A148="","",N148-K148)</f>
        <v/>
      </c>
      <c r="M148" s="7">
        <f>IF($A148="","",L148-F148)</f>
        <v/>
      </c>
      <c r="N148" s="7" t="n"/>
      <c r="Q148" s="11" t="n"/>
      <c r="S148">
        <f>IF($A148="","",IF($W148=1,Settings!$C$6,Settings!$C$7)*1)</f>
        <v/>
      </c>
      <c r="U148">
        <f>IF($A148="","",IF(COUNTIF($A$2:$A148,$A148)=1,1,0))</f>
        <v/>
      </c>
      <c r="V148">
        <f>IF($U148=1,SUMPRODUCT(--($X$2:$X$501&lt;$X148))+1,"")</f>
        <v/>
      </c>
      <c r="W148">
        <f>IF($A148="","",IF(OR($T148=TRUE(),$T148="TRUE"),1,0))</f>
        <v/>
      </c>
      <c r="X148">
        <f>IF($U148=1,IFERROR(IF(VALUE($A148)&lt;100000000,VALUE($A148),1000000000),IFERROR(IF(VALUE(MID($A148,2,20))&lt;100000000,VALUE(MID($A148,2,20)),1000000000),1000000000))+ROW()/100000,"")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IF($A149="","",E149*N149/100)</f>
        <v/>
      </c>
      <c r="J149" s="7" t="n"/>
      <c r="K149" s="7">
        <f>IF($A149="","",S149*N149)</f>
        <v/>
      </c>
      <c r="L149" s="7">
        <f>IF($A149="","",N149-K149)</f>
        <v/>
      </c>
      <c r="M149" s="7">
        <f>IF($A149="","",L149-F149)</f>
        <v/>
      </c>
      <c r="N149" s="7" t="n"/>
      <c r="Q149" s="11" t="n"/>
      <c r="S149">
        <f>IF($A149="","",IF($W149=1,Settings!$C$6,Settings!$C$7)*1)</f>
        <v/>
      </c>
      <c r="U149">
        <f>IF($A149="","",IF(COUNTIF($A$2:$A149,$A149)=1,1,0))</f>
        <v/>
      </c>
      <c r="V149">
        <f>IF($U149=1,SUMPRODUCT(--($X$2:$X$501&lt;$X149))+1,"")</f>
        <v/>
      </c>
      <c r="W149">
        <f>IF($A149="","",IF(OR($T149=TRUE(),$T149="TRUE"),1,0))</f>
        <v/>
      </c>
      <c r="X149">
        <f>IF($U149=1,IFERROR(IF(VALUE($A149)&lt;100000000,VALUE($A149),1000000000),IFERROR(IF(VALUE(MID($A149,2,20))&lt;100000000,VALUE(MID($A149,2,20)),1000000000),1000000000))+ROW()/100000,"")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IF($A150="","",E150*N150/100)</f>
        <v/>
      </c>
      <c r="J150" s="7" t="n"/>
      <c r="K150" s="7">
        <f>IF($A150="","",S150*N150)</f>
        <v/>
      </c>
      <c r="L150" s="7">
        <f>IF($A150="","",N150-K150)</f>
        <v/>
      </c>
      <c r="M150" s="7">
        <f>IF($A150="","",L150-F150)</f>
        <v/>
      </c>
      <c r="N150" s="7" t="n"/>
      <c r="Q150" s="11" t="n"/>
      <c r="S150">
        <f>IF($A150="","",IF($W150=1,Settings!$C$6,Settings!$C$7)*1)</f>
        <v/>
      </c>
      <c r="U150">
        <f>IF($A150="","",IF(COUNTIF($A$2:$A150,$A150)=1,1,0))</f>
        <v/>
      </c>
      <c r="V150">
        <f>IF($U150=1,SUMPRODUCT(--($X$2:$X$501&lt;$X150))+1,"")</f>
        <v/>
      </c>
      <c r="W150">
        <f>IF($A150="","",IF(OR($T150=TRUE(),$T150="TRUE"),1,0))</f>
        <v/>
      </c>
      <c r="X150">
        <f>IF($U150=1,IFERROR(IF(VALUE($A150)&lt;100000000,VALUE($A150),1000000000),IFERROR(IF(VALUE(MID($A150,2,20))&lt;100000000,VALUE(MID($A150,2,20)),1000000000),1000000000))+ROW()/100000,"")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IF($A151="","",E151*N151/100)</f>
        <v/>
      </c>
      <c r="J151" s="7" t="n"/>
      <c r="K151" s="7">
        <f>IF($A151="","",S151*N151)</f>
        <v/>
      </c>
      <c r="L151" s="7">
        <f>IF($A151="","",N151-K151)</f>
        <v/>
      </c>
      <c r="M151" s="7">
        <f>IF($A151="","",L151-F151)</f>
        <v/>
      </c>
      <c r="N151" s="7" t="n"/>
      <c r="Q151" s="11" t="n"/>
      <c r="S151">
        <f>IF($A151="","",IF($W151=1,Settings!$C$6,Settings!$C$7)*1)</f>
        <v/>
      </c>
      <c r="U151">
        <f>IF($A151="","",IF(COUNTIF($A$2:$A151,$A151)=1,1,0))</f>
        <v/>
      </c>
      <c r="V151">
        <f>IF($U151=1,SUMPRODUCT(--($X$2:$X$501&lt;$X151))+1,"")</f>
        <v/>
      </c>
      <c r="W151">
        <f>IF($A151="","",IF(OR($T151=TRUE(),$T151="TRUE"),1,0))</f>
        <v/>
      </c>
      <c r="X151">
        <f>IF($U151=1,IFERROR(IF(VALUE($A151)&lt;100000000,VALUE($A151),1000000000),IFERROR(IF(VALUE(MID($A151,2,20))&lt;100000000,VALUE(MID($A151,2,20)),1000000000),1000000000))+ROW()/100000,"")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IF($A152="","",E152*N152/100)</f>
        <v/>
      </c>
      <c r="J152" s="7" t="n"/>
      <c r="K152" s="7">
        <f>IF($A152="","",S152*N152)</f>
        <v/>
      </c>
      <c r="L152" s="7">
        <f>IF($A152="","",N152-K152)</f>
        <v/>
      </c>
      <c r="M152" s="7">
        <f>IF($A152="","",L152-F152)</f>
        <v/>
      </c>
      <c r="N152" s="7" t="n"/>
      <c r="Q152" s="11" t="n"/>
      <c r="S152">
        <f>IF($A152="","",IF($W152=1,Settings!$C$6,Settings!$C$7)*1)</f>
        <v/>
      </c>
      <c r="U152">
        <f>IF($A152="","",IF(COUNTIF($A$2:$A152,$A152)=1,1,0))</f>
        <v/>
      </c>
      <c r="V152">
        <f>IF($U152=1,SUMPRODUCT(--($X$2:$X$501&lt;$X152))+1,"")</f>
        <v/>
      </c>
      <c r="W152">
        <f>IF($A152="","",IF(OR($T152=TRUE(),$T152="TRUE"),1,0))</f>
        <v/>
      </c>
      <c r="X152">
        <f>IF($U152=1,IFERROR(IF(VALUE($A152)&lt;100000000,VALUE($A152),1000000000),IFERROR(IF(VALUE(MID($A152,2,20))&lt;100000000,VALUE(MID($A152,2,20)),1000000000),1000000000))+ROW()/100000,"")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IF($A153="","",E153*N153/100)</f>
        <v/>
      </c>
      <c r="J153" s="7" t="n"/>
      <c r="K153" s="7">
        <f>IF($A153="","",S153*N153)</f>
        <v/>
      </c>
      <c r="L153" s="7">
        <f>IF($A153="","",N153-K153)</f>
        <v/>
      </c>
      <c r="M153" s="7">
        <f>IF($A153="","",L153-F153)</f>
        <v/>
      </c>
      <c r="N153" s="7" t="n"/>
      <c r="Q153" s="11" t="n"/>
      <c r="S153">
        <f>IF($A153="","",IF($W153=1,Settings!$C$6,Settings!$C$7)*1)</f>
        <v/>
      </c>
      <c r="U153">
        <f>IF($A153="","",IF(COUNTIF($A$2:$A153,$A153)=1,1,0))</f>
        <v/>
      </c>
      <c r="V153">
        <f>IF($U153=1,SUMPRODUCT(--($X$2:$X$501&lt;$X153))+1,"")</f>
        <v/>
      </c>
      <c r="W153">
        <f>IF($A153="","",IF(OR($T153=TRUE(),$T153="TRUE"),1,0))</f>
        <v/>
      </c>
      <c r="X153">
        <f>IF($U153=1,IFERROR(IF(VALUE($A153)&lt;100000000,VALUE($A153),1000000000),IFERROR(IF(VALUE(MID($A153,2,20))&lt;100000000,VALUE(MID($A153,2,20)),1000000000),1000000000))+ROW()/100000,"")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IF($A154="","",E154*N154/100)</f>
        <v/>
      </c>
      <c r="J154" s="7" t="n"/>
      <c r="K154" s="7">
        <f>IF($A154="","",S154*N154)</f>
        <v/>
      </c>
      <c r="L154" s="7">
        <f>IF($A154="","",N154-K154)</f>
        <v/>
      </c>
      <c r="M154" s="7">
        <f>IF($A154="","",L154-F154)</f>
        <v/>
      </c>
      <c r="N154" s="7" t="n"/>
      <c r="Q154" s="11" t="n"/>
      <c r="S154">
        <f>IF($A154="","",IF($W154=1,Settings!$C$6,Settings!$C$7)*1)</f>
        <v/>
      </c>
      <c r="U154">
        <f>IF($A154="","",IF(COUNTIF($A$2:$A154,$A154)=1,1,0))</f>
        <v/>
      </c>
      <c r="V154">
        <f>IF($U154=1,SUMPRODUCT(--($X$2:$X$501&lt;$X154))+1,"")</f>
        <v/>
      </c>
      <c r="W154">
        <f>IF($A154="","",IF(OR($T154=TRUE(),$T154="TRUE"),1,0))</f>
        <v/>
      </c>
      <c r="X154">
        <f>IF($U154=1,IFERROR(IF(VALUE($A154)&lt;100000000,VALUE($A154),1000000000),IFERROR(IF(VALUE(MID($A154,2,20))&lt;100000000,VALUE(MID($A154,2,20)),1000000000),1000000000))+ROW()/100000,"")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IF($A155="","",E155*N155/100)</f>
        <v/>
      </c>
      <c r="J155" s="7" t="n"/>
      <c r="K155" s="7">
        <f>IF($A155="","",S155*N155)</f>
        <v/>
      </c>
      <c r="L155" s="7">
        <f>IF($A155="","",N155-K155)</f>
        <v/>
      </c>
      <c r="M155" s="7">
        <f>IF($A155="","",L155-F155)</f>
        <v/>
      </c>
      <c r="N155" s="7" t="n"/>
      <c r="Q155" s="11" t="n"/>
      <c r="S155">
        <f>IF($A155="","",IF($W155=1,Settings!$C$6,Settings!$C$7)*1)</f>
        <v/>
      </c>
      <c r="U155">
        <f>IF($A155="","",IF(COUNTIF($A$2:$A155,$A155)=1,1,0))</f>
        <v/>
      </c>
      <c r="V155">
        <f>IF($U155=1,SUMPRODUCT(--($X$2:$X$501&lt;$X155))+1,"")</f>
        <v/>
      </c>
      <c r="W155">
        <f>IF($A155="","",IF(OR($T155=TRUE(),$T155="TRUE"),1,0))</f>
        <v/>
      </c>
      <c r="X155">
        <f>IF($U155=1,IFERROR(IF(VALUE($A155)&lt;100000000,VALUE($A155),1000000000),IFERROR(IF(VALUE(MID($A155,2,20))&lt;100000000,VALUE(MID($A155,2,20)),1000000000),1000000000))+ROW()/100000,"")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IF($A156="","",E156*N156/100)</f>
        <v/>
      </c>
      <c r="J156" s="7" t="n"/>
      <c r="K156" s="7">
        <f>IF($A156="","",S156*N156)</f>
        <v/>
      </c>
      <c r="L156" s="7">
        <f>IF($A156="","",N156-K156)</f>
        <v/>
      </c>
      <c r="M156" s="7">
        <f>IF($A156="","",L156-F156)</f>
        <v/>
      </c>
      <c r="N156" s="7" t="n"/>
      <c r="Q156" s="11" t="n"/>
      <c r="S156">
        <f>IF($A156="","",IF($W156=1,Settings!$C$6,Settings!$C$7)*1)</f>
        <v/>
      </c>
      <c r="U156">
        <f>IF($A156="","",IF(COUNTIF($A$2:$A156,$A156)=1,1,0))</f>
        <v/>
      </c>
      <c r="V156">
        <f>IF($U156=1,SUMPRODUCT(--($X$2:$X$501&lt;$X156))+1,"")</f>
        <v/>
      </c>
      <c r="W156">
        <f>IF($A156="","",IF(OR($T156=TRUE(),$T156="TRUE"),1,0))</f>
        <v/>
      </c>
      <c r="X156">
        <f>IF($U156=1,IFERROR(IF(VALUE($A156)&lt;100000000,VALUE($A156),1000000000),IFERROR(IF(VALUE(MID($A156,2,20))&lt;100000000,VALUE(MID($A156,2,20)),1000000000),1000000000))+ROW()/100000,"")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IF($A157="","",E157*N157/100)</f>
        <v/>
      </c>
      <c r="J157" s="7" t="n"/>
      <c r="K157" s="7">
        <f>IF($A157="","",S157*N157)</f>
        <v/>
      </c>
      <c r="L157" s="7">
        <f>IF($A157="","",N157-K157)</f>
        <v/>
      </c>
      <c r="M157" s="7">
        <f>IF($A157="","",L157-F157)</f>
        <v/>
      </c>
      <c r="N157" s="7" t="n"/>
      <c r="Q157" s="11" t="n"/>
      <c r="S157">
        <f>IF($A157="","",IF($W157=1,Settings!$C$6,Settings!$C$7)*1)</f>
        <v/>
      </c>
      <c r="U157">
        <f>IF($A157="","",IF(COUNTIF($A$2:$A157,$A157)=1,1,0))</f>
        <v/>
      </c>
      <c r="V157">
        <f>IF($U157=1,SUMPRODUCT(--($X$2:$X$501&lt;$X157))+1,"")</f>
        <v/>
      </c>
      <c r="W157">
        <f>IF($A157="","",IF(OR($T157=TRUE(),$T157="TRUE"),1,0))</f>
        <v/>
      </c>
      <c r="X157">
        <f>IF($U157=1,IFERROR(IF(VALUE($A157)&lt;100000000,VALUE($A157),1000000000),IFERROR(IF(VALUE(MID($A157,2,20))&lt;100000000,VALUE(MID($A157,2,20)),1000000000),1000000000))+ROW()/100000,"")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IF($A158="","",E158*N158/100)</f>
        <v/>
      </c>
      <c r="J158" s="7" t="n"/>
      <c r="K158" s="7">
        <f>IF($A158="","",S158*N158)</f>
        <v/>
      </c>
      <c r="L158" s="7">
        <f>IF($A158="","",N158-K158)</f>
        <v/>
      </c>
      <c r="M158" s="7">
        <f>IF($A158="","",L158-F158)</f>
        <v/>
      </c>
      <c r="N158" s="7" t="n"/>
      <c r="Q158" s="11" t="n"/>
      <c r="S158">
        <f>IF($A158="","",IF($W158=1,Settings!$C$6,Settings!$C$7)*1)</f>
        <v/>
      </c>
      <c r="U158">
        <f>IF($A158="","",IF(COUNTIF($A$2:$A158,$A158)=1,1,0))</f>
        <v/>
      </c>
      <c r="V158">
        <f>IF($U158=1,SUMPRODUCT(--($X$2:$X$501&lt;$X158))+1,"")</f>
        <v/>
      </c>
      <c r="W158">
        <f>IF($A158="","",IF(OR($T158=TRUE(),$T158="TRUE"),1,0))</f>
        <v/>
      </c>
      <c r="X158">
        <f>IF($U158=1,IFERROR(IF(VALUE($A158)&lt;100000000,VALUE($A158),1000000000),IFERROR(IF(VALUE(MID($A158,2,20))&lt;100000000,VALUE(MID($A158,2,20)),1000000000),1000000000))+ROW()/100000,"")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IF($A159="","",E159*N159/100)</f>
        <v/>
      </c>
      <c r="J159" s="7" t="n"/>
      <c r="K159" s="7">
        <f>IF($A159="","",S159*N159)</f>
        <v/>
      </c>
      <c r="L159" s="7">
        <f>IF($A159="","",N159-K159)</f>
        <v/>
      </c>
      <c r="M159" s="7">
        <f>IF($A159="","",L159-F159)</f>
        <v/>
      </c>
      <c r="N159" s="7" t="n"/>
      <c r="Q159" s="11" t="n"/>
      <c r="S159">
        <f>IF($A159="","",IF($W159=1,Settings!$C$6,Settings!$C$7)*1)</f>
        <v/>
      </c>
      <c r="U159">
        <f>IF($A159="","",IF(COUNTIF($A$2:$A159,$A159)=1,1,0))</f>
        <v/>
      </c>
      <c r="V159">
        <f>IF($U159=1,SUMPRODUCT(--($X$2:$X$501&lt;$X159))+1,"")</f>
        <v/>
      </c>
      <c r="W159">
        <f>IF($A159="","",IF(OR($T159=TRUE(),$T159="TRUE"),1,0))</f>
        <v/>
      </c>
      <c r="X159">
        <f>IF($U159=1,IFERROR(IF(VALUE($A159)&lt;100000000,VALUE($A159),1000000000),IFERROR(IF(VALUE(MID($A159,2,20))&lt;100000000,VALUE(MID($A159,2,20)),1000000000),1000000000))+ROW()/100000,"")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IF($A160="","",E160*N160/100)</f>
        <v/>
      </c>
      <c r="J160" s="7" t="n"/>
      <c r="K160" s="7">
        <f>IF($A160="","",S160*N160)</f>
        <v/>
      </c>
      <c r="L160" s="7">
        <f>IF($A160="","",N160-K160)</f>
        <v/>
      </c>
      <c r="M160" s="7">
        <f>IF($A160="","",L160-F160)</f>
        <v/>
      </c>
      <c r="N160" s="7" t="n"/>
      <c r="Q160" s="11" t="n"/>
      <c r="S160">
        <f>IF($A160="","",IF($W160=1,Settings!$C$6,Settings!$C$7)*1)</f>
        <v/>
      </c>
      <c r="U160">
        <f>IF($A160="","",IF(COUNTIF($A$2:$A160,$A160)=1,1,0))</f>
        <v/>
      </c>
      <c r="V160">
        <f>IF($U160=1,SUMPRODUCT(--($X$2:$X$501&lt;$X160))+1,"")</f>
        <v/>
      </c>
      <c r="W160">
        <f>IF($A160="","",IF(OR($T160=TRUE(),$T160="TRUE"),1,0))</f>
        <v/>
      </c>
      <c r="X160">
        <f>IF($U160=1,IFERROR(IF(VALUE($A160)&lt;100000000,VALUE($A160),1000000000),IFERROR(IF(VALUE(MID($A160,2,20))&lt;100000000,VALUE(MID($A160,2,20)),1000000000),1000000000))+ROW()/100000,"")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IF($A161="","",E161*N161/100)</f>
        <v/>
      </c>
      <c r="J161" s="7" t="n"/>
      <c r="K161" s="7">
        <f>IF($A161="","",S161*N161)</f>
        <v/>
      </c>
      <c r="L161" s="7">
        <f>IF($A161="","",N161-K161)</f>
        <v/>
      </c>
      <c r="M161" s="7">
        <f>IF($A161="","",L161-F161)</f>
        <v/>
      </c>
      <c r="N161" s="7" t="n"/>
      <c r="Q161" s="11" t="n"/>
      <c r="S161">
        <f>IF($A161="","",IF($W161=1,Settings!$C$6,Settings!$C$7)*1)</f>
        <v/>
      </c>
      <c r="U161">
        <f>IF($A161="","",IF(COUNTIF($A$2:$A161,$A161)=1,1,0))</f>
        <v/>
      </c>
      <c r="V161">
        <f>IF($U161=1,SUMPRODUCT(--($X$2:$X$501&lt;$X161))+1,"")</f>
        <v/>
      </c>
      <c r="W161">
        <f>IF($A161="","",IF(OR($T161=TRUE(),$T161="TRUE"),1,0))</f>
        <v/>
      </c>
      <c r="X161">
        <f>IF($U161=1,IFERROR(IF(VALUE($A161)&lt;100000000,VALUE($A161),1000000000),IFERROR(IF(VALUE(MID($A161,2,20))&lt;100000000,VALUE(MID($A161,2,20)),1000000000),1000000000))+ROW()/100000,"")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IF($A162="","",E162*N162/100)</f>
        <v/>
      </c>
      <c r="J162" s="7" t="n"/>
      <c r="K162" s="7">
        <f>IF($A162="","",S162*N162)</f>
        <v/>
      </c>
      <c r="L162" s="7">
        <f>IF($A162="","",N162-K162)</f>
        <v/>
      </c>
      <c r="M162" s="7">
        <f>IF($A162="","",L162-F162)</f>
        <v/>
      </c>
      <c r="N162" s="7" t="n"/>
      <c r="Q162" s="11" t="n"/>
      <c r="S162">
        <f>IF($A162="","",IF($W162=1,Settings!$C$6,Settings!$C$7)*1)</f>
        <v/>
      </c>
      <c r="U162">
        <f>IF($A162="","",IF(COUNTIF($A$2:$A162,$A162)=1,1,0))</f>
        <v/>
      </c>
      <c r="V162">
        <f>IF($U162=1,SUMPRODUCT(--($X$2:$X$501&lt;$X162))+1,"")</f>
        <v/>
      </c>
      <c r="W162">
        <f>IF($A162="","",IF(OR($T162=TRUE(),$T162="TRUE"),1,0))</f>
        <v/>
      </c>
      <c r="X162">
        <f>IF($U162=1,IFERROR(IF(VALUE($A162)&lt;100000000,VALUE($A162),1000000000),IFERROR(IF(VALUE(MID($A162,2,20))&lt;100000000,VALUE(MID($A162,2,20)),1000000000),1000000000))+ROW()/100000,"")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IF($A163="","",E163*N163/100)</f>
        <v/>
      </c>
      <c r="J163" s="7" t="n"/>
      <c r="K163" s="7">
        <f>IF($A163="","",S163*N163)</f>
        <v/>
      </c>
      <c r="L163" s="7">
        <f>IF($A163="","",N163-K163)</f>
        <v/>
      </c>
      <c r="M163" s="7">
        <f>IF($A163="","",L163-F163)</f>
        <v/>
      </c>
      <c r="N163" s="7" t="n"/>
      <c r="Q163" s="11" t="n"/>
      <c r="S163">
        <f>IF($A163="","",IF($W163=1,Settings!$C$6,Settings!$C$7)*1)</f>
        <v/>
      </c>
      <c r="U163">
        <f>IF($A163="","",IF(COUNTIF($A$2:$A163,$A163)=1,1,0))</f>
        <v/>
      </c>
      <c r="V163">
        <f>IF($U163=1,SUMPRODUCT(--($X$2:$X$501&lt;$X163))+1,"")</f>
        <v/>
      </c>
      <c r="W163">
        <f>IF($A163="","",IF(OR($T163=TRUE(),$T163="TRUE"),1,0))</f>
        <v/>
      </c>
      <c r="X163">
        <f>IF($U163=1,IFERROR(IF(VALUE($A163)&lt;100000000,VALUE($A163),1000000000),IFERROR(IF(VALUE(MID($A163,2,20))&lt;100000000,VALUE(MID($A163,2,20)),1000000000),1000000000))+ROW()/100000,"")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IF($A164="","",E164*N164/100)</f>
        <v/>
      </c>
      <c r="J164" s="7" t="n"/>
      <c r="K164" s="7">
        <f>IF($A164="","",S164*N164)</f>
        <v/>
      </c>
      <c r="L164" s="7">
        <f>IF($A164="","",N164-K164)</f>
        <v/>
      </c>
      <c r="M164" s="7">
        <f>IF($A164="","",L164-F164)</f>
        <v/>
      </c>
      <c r="N164" s="7" t="n"/>
      <c r="Q164" s="11" t="n"/>
      <c r="S164">
        <f>IF($A164="","",IF($W164=1,Settings!$C$6,Settings!$C$7)*1)</f>
        <v/>
      </c>
      <c r="U164">
        <f>IF($A164="","",IF(COUNTIF($A$2:$A164,$A164)=1,1,0))</f>
        <v/>
      </c>
      <c r="V164">
        <f>IF($U164=1,SUMPRODUCT(--($X$2:$X$501&lt;$X164))+1,"")</f>
        <v/>
      </c>
      <c r="W164">
        <f>IF($A164="","",IF(OR($T164=TRUE(),$T164="TRUE"),1,0))</f>
        <v/>
      </c>
      <c r="X164">
        <f>IF($U164=1,IFERROR(IF(VALUE($A164)&lt;100000000,VALUE($A164),1000000000),IFERROR(IF(VALUE(MID($A164,2,20))&lt;100000000,VALUE(MID($A164,2,20)),1000000000),1000000000))+ROW()/100000,"")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IF($A165="","",E165*N165/100)</f>
        <v/>
      </c>
      <c r="J165" s="7" t="n"/>
      <c r="K165" s="7">
        <f>IF($A165="","",S165*N165)</f>
        <v/>
      </c>
      <c r="L165" s="7">
        <f>IF($A165="","",N165-K165)</f>
        <v/>
      </c>
      <c r="M165" s="7">
        <f>IF($A165="","",L165-F165)</f>
        <v/>
      </c>
      <c r="N165" s="7" t="n"/>
      <c r="Q165" s="11" t="n"/>
      <c r="S165">
        <f>IF($A165="","",IF($W165=1,Settings!$C$6,Settings!$C$7)*1)</f>
        <v/>
      </c>
      <c r="U165">
        <f>IF($A165="","",IF(COUNTIF($A$2:$A165,$A165)=1,1,0))</f>
        <v/>
      </c>
      <c r="V165">
        <f>IF($U165=1,SUMPRODUCT(--($X$2:$X$501&lt;$X165))+1,"")</f>
        <v/>
      </c>
      <c r="W165">
        <f>IF($A165="","",IF(OR($T165=TRUE(),$T165="TRUE"),1,0))</f>
        <v/>
      </c>
      <c r="X165">
        <f>IF($U165=1,IFERROR(IF(VALUE($A165)&lt;100000000,VALUE($A165),1000000000),IFERROR(IF(VALUE(MID($A165,2,20))&lt;100000000,VALUE(MID($A165,2,20)),1000000000),1000000000))+ROW()/100000,"")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IF($A166="","",E166*N166/100)</f>
        <v/>
      </c>
      <c r="J166" s="7" t="n"/>
      <c r="K166" s="7">
        <f>IF($A166="","",S166*N166)</f>
        <v/>
      </c>
      <c r="L166" s="7">
        <f>IF($A166="","",N166-K166)</f>
        <v/>
      </c>
      <c r="M166" s="7">
        <f>IF($A166="","",L166-F166)</f>
        <v/>
      </c>
      <c r="N166" s="7" t="n"/>
      <c r="Q166" s="11" t="n"/>
      <c r="S166">
        <f>IF($A166="","",IF($W166=1,Settings!$C$6,Settings!$C$7)*1)</f>
        <v/>
      </c>
      <c r="U166">
        <f>IF($A166="","",IF(COUNTIF($A$2:$A166,$A166)=1,1,0))</f>
        <v/>
      </c>
      <c r="V166">
        <f>IF($U166=1,SUMPRODUCT(--($X$2:$X$501&lt;$X166))+1,"")</f>
        <v/>
      </c>
      <c r="W166">
        <f>IF($A166="","",IF(OR($T166=TRUE(),$T166="TRUE"),1,0))</f>
        <v/>
      </c>
      <c r="X166">
        <f>IF($U166=1,IFERROR(IF(VALUE($A166)&lt;100000000,VALUE($A166),1000000000),IFERROR(IF(VALUE(MID($A166,2,20))&lt;100000000,VALUE(MID($A166,2,20)),1000000000),1000000000))+ROW()/100000,"")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IF($A167="","",E167*N167/100)</f>
        <v/>
      </c>
      <c r="J167" s="7" t="n"/>
      <c r="K167" s="7">
        <f>IF($A167="","",S167*N167)</f>
        <v/>
      </c>
      <c r="L167" s="7">
        <f>IF($A167="","",N167-K167)</f>
        <v/>
      </c>
      <c r="M167" s="7">
        <f>IF($A167="","",L167-F167)</f>
        <v/>
      </c>
      <c r="N167" s="7" t="n"/>
      <c r="Q167" s="11" t="n"/>
      <c r="S167">
        <f>IF($A167="","",IF($W167=1,Settings!$C$6,Settings!$C$7)*1)</f>
        <v/>
      </c>
      <c r="U167">
        <f>IF($A167="","",IF(COUNTIF($A$2:$A167,$A167)=1,1,0))</f>
        <v/>
      </c>
      <c r="V167">
        <f>IF($U167=1,SUMPRODUCT(--($X$2:$X$501&lt;$X167))+1,"")</f>
        <v/>
      </c>
      <c r="W167">
        <f>IF($A167="","",IF(OR($T167=TRUE(),$T167="TRUE"),1,0))</f>
        <v/>
      </c>
      <c r="X167">
        <f>IF($U167=1,IFERROR(IF(VALUE($A167)&lt;100000000,VALUE($A167),1000000000),IFERROR(IF(VALUE(MID($A167,2,20))&lt;100000000,VALUE(MID($A167,2,20)),1000000000),1000000000))+ROW()/100000,"")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IF($A168="","",E168*N168/100)</f>
        <v/>
      </c>
      <c r="J168" s="7" t="n"/>
      <c r="K168" s="7">
        <f>IF($A168="","",S168*N168)</f>
        <v/>
      </c>
      <c r="L168" s="7">
        <f>IF($A168="","",N168-K168)</f>
        <v/>
      </c>
      <c r="M168" s="7">
        <f>IF($A168="","",L168-F168)</f>
        <v/>
      </c>
      <c r="N168" s="7" t="n"/>
      <c r="Q168" s="11" t="n"/>
      <c r="S168">
        <f>IF($A168="","",IF($W168=1,Settings!$C$6,Settings!$C$7)*1)</f>
        <v/>
      </c>
      <c r="U168">
        <f>IF($A168="","",IF(COUNTIF($A$2:$A168,$A168)=1,1,0))</f>
        <v/>
      </c>
      <c r="V168">
        <f>IF($U168=1,SUMPRODUCT(--($X$2:$X$501&lt;$X168))+1,"")</f>
        <v/>
      </c>
      <c r="W168">
        <f>IF($A168="","",IF(OR($T168=TRUE(),$T168="TRUE"),1,0))</f>
        <v/>
      </c>
      <c r="X168">
        <f>IF($U168=1,IFERROR(IF(VALUE($A168)&lt;100000000,VALUE($A168),1000000000),IFERROR(IF(VALUE(MID($A168,2,20))&lt;100000000,VALUE(MID($A168,2,20)),1000000000),1000000000))+ROW()/100000,"")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IF($A169="","",E169*N169/100)</f>
        <v/>
      </c>
      <c r="J169" s="7" t="n"/>
      <c r="K169" s="7">
        <f>IF($A169="","",S169*N169)</f>
        <v/>
      </c>
      <c r="L169" s="7">
        <f>IF($A169="","",N169-K169)</f>
        <v/>
      </c>
      <c r="M169" s="7">
        <f>IF($A169="","",L169-F169)</f>
        <v/>
      </c>
      <c r="N169" s="7" t="n"/>
      <c r="Q169" s="11" t="n"/>
      <c r="S169">
        <f>IF($A169="","",IF($W169=1,Settings!$C$6,Settings!$C$7)*1)</f>
        <v/>
      </c>
      <c r="U169">
        <f>IF($A169="","",IF(COUNTIF($A$2:$A169,$A169)=1,1,0))</f>
        <v/>
      </c>
      <c r="V169">
        <f>IF($U169=1,SUMPRODUCT(--($X$2:$X$501&lt;$X169))+1,"")</f>
        <v/>
      </c>
      <c r="W169">
        <f>IF($A169="","",IF(OR($T169=TRUE(),$T169="TRUE"),1,0))</f>
        <v/>
      </c>
      <c r="X169">
        <f>IF($U169=1,IFERROR(IF(VALUE($A169)&lt;100000000,VALUE($A169),1000000000),IFERROR(IF(VALUE(MID($A169,2,20))&lt;100000000,VALUE(MID($A169,2,20)),1000000000),1000000000))+ROW()/100000,"")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IF($A170="","",E170*N170/100)</f>
        <v/>
      </c>
      <c r="J170" s="7" t="n"/>
      <c r="K170" s="7">
        <f>IF($A170="","",S170*N170)</f>
        <v/>
      </c>
      <c r="L170" s="7">
        <f>IF($A170="","",N170-K170)</f>
        <v/>
      </c>
      <c r="M170" s="7">
        <f>IF($A170="","",L170-F170)</f>
        <v/>
      </c>
      <c r="N170" s="7" t="n"/>
      <c r="Q170" s="11" t="n"/>
      <c r="S170">
        <f>IF($A170="","",IF($W170=1,Settings!$C$6,Settings!$C$7)*1)</f>
        <v/>
      </c>
      <c r="U170">
        <f>IF($A170="","",IF(COUNTIF($A$2:$A170,$A170)=1,1,0))</f>
        <v/>
      </c>
      <c r="V170">
        <f>IF($U170=1,SUMPRODUCT(--($X$2:$X$501&lt;$X170))+1,"")</f>
        <v/>
      </c>
      <c r="W170">
        <f>IF($A170="","",IF(OR($T170=TRUE(),$T170="TRUE"),1,0))</f>
        <v/>
      </c>
      <c r="X170">
        <f>IF($U170=1,IFERROR(IF(VALUE($A170)&lt;100000000,VALUE($A170),1000000000),IFERROR(IF(VALUE(MID($A170,2,20))&lt;100000000,VALUE(MID($A170,2,20)),1000000000),1000000000))+ROW()/100000,"")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IF($A171="","",E171*N171/100)</f>
        <v/>
      </c>
      <c r="J171" s="7" t="n"/>
      <c r="K171" s="7">
        <f>IF($A171="","",S171*N171)</f>
        <v/>
      </c>
      <c r="L171" s="7">
        <f>IF($A171="","",N171-K171)</f>
        <v/>
      </c>
      <c r="M171" s="7">
        <f>IF($A171="","",L171-F171)</f>
        <v/>
      </c>
      <c r="N171" s="7" t="n"/>
      <c r="Q171" s="11" t="n"/>
      <c r="S171">
        <f>IF($A171="","",IF($W171=1,Settings!$C$6,Settings!$C$7)*1)</f>
        <v/>
      </c>
      <c r="U171">
        <f>IF($A171="","",IF(COUNTIF($A$2:$A171,$A171)=1,1,0))</f>
        <v/>
      </c>
      <c r="V171">
        <f>IF($U171=1,SUMPRODUCT(--($X$2:$X$501&lt;$X171))+1,"")</f>
        <v/>
      </c>
      <c r="W171">
        <f>IF($A171="","",IF(OR($T171=TRUE(),$T171="TRUE"),1,0))</f>
        <v/>
      </c>
      <c r="X171">
        <f>IF($U171=1,IFERROR(IF(VALUE($A171)&lt;100000000,VALUE($A171),1000000000),IFERROR(IF(VALUE(MID($A171,2,20))&lt;100000000,VALUE(MID($A171,2,20)),1000000000),1000000000))+ROW()/100000,"")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IF($A172="","",E172*N172/100)</f>
        <v/>
      </c>
      <c r="J172" s="7" t="n"/>
      <c r="K172" s="7">
        <f>IF($A172="","",S172*N172)</f>
        <v/>
      </c>
      <c r="L172" s="7">
        <f>IF($A172="","",N172-K172)</f>
        <v/>
      </c>
      <c r="M172" s="7">
        <f>IF($A172="","",L172-F172)</f>
        <v/>
      </c>
      <c r="N172" s="7" t="n"/>
      <c r="Q172" s="11" t="n"/>
      <c r="S172">
        <f>IF($A172="","",IF($W172=1,Settings!$C$6,Settings!$C$7)*1)</f>
        <v/>
      </c>
      <c r="U172">
        <f>IF($A172="","",IF(COUNTIF($A$2:$A172,$A172)=1,1,0))</f>
        <v/>
      </c>
      <c r="V172">
        <f>IF($U172=1,SUMPRODUCT(--($X$2:$X$501&lt;$X172))+1,"")</f>
        <v/>
      </c>
      <c r="W172">
        <f>IF($A172="","",IF(OR($T172=TRUE(),$T172="TRUE"),1,0))</f>
        <v/>
      </c>
      <c r="X172">
        <f>IF($U172=1,IFERROR(IF(VALUE($A172)&lt;100000000,VALUE($A172),1000000000),IFERROR(IF(VALUE(MID($A172,2,20))&lt;100000000,VALUE(MID($A172,2,20)),1000000000),1000000000))+ROW()/100000,"")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IF($A173="","",E173*N173/100)</f>
        <v/>
      </c>
      <c r="J173" s="7" t="n"/>
      <c r="K173" s="7">
        <f>IF($A173="","",S173*N173)</f>
        <v/>
      </c>
      <c r="L173" s="7">
        <f>IF($A173="","",N173-K173)</f>
        <v/>
      </c>
      <c r="M173" s="7">
        <f>IF($A173="","",L173-F173)</f>
        <v/>
      </c>
      <c r="N173" s="7" t="n"/>
      <c r="Q173" s="11" t="n"/>
      <c r="S173">
        <f>IF($A173="","",IF($W173=1,Settings!$C$6,Settings!$C$7)*1)</f>
        <v/>
      </c>
      <c r="U173">
        <f>IF($A173="","",IF(COUNTIF($A$2:$A173,$A173)=1,1,0))</f>
        <v/>
      </c>
      <c r="V173">
        <f>IF($U173=1,SUMPRODUCT(--($X$2:$X$501&lt;$X173))+1,"")</f>
        <v/>
      </c>
      <c r="W173">
        <f>IF($A173="","",IF(OR($T173=TRUE(),$T173="TRUE"),1,0))</f>
        <v/>
      </c>
      <c r="X173">
        <f>IF($U173=1,IFERROR(IF(VALUE($A173)&lt;100000000,VALUE($A173),1000000000),IFERROR(IF(VALUE(MID($A173,2,20))&lt;100000000,VALUE(MID($A173,2,20)),1000000000),1000000000))+ROW()/100000,"")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IF($A174="","",E174*N174/100)</f>
        <v/>
      </c>
      <c r="J174" s="7" t="n"/>
      <c r="K174" s="7">
        <f>IF($A174="","",S174*N174)</f>
        <v/>
      </c>
      <c r="L174" s="7">
        <f>IF($A174="","",N174-K174)</f>
        <v/>
      </c>
      <c r="M174" s="7">
        <f>IF($A174="","",L174-F174)</f>
        <v/>
      </c>
      <c r="N174" s="7" t="n"/>
      <c r="Q174" s="11" t="n"/>
      <c r="S174">
        <f>IF($A174="","",IF($W174=1,Settings!$C$6,Settings!$C$7)*1)</f>
        <v/>
      </c>
      <c r="U174">
        <f>IF($A174="","",IF(COUNTIF($A$2:$A174,$A174)=1,1,0))</f>
        <v/>
      </c>
      <c r="V174">
        <f>IF($U174=1,SUMPRODUCT(--($X$2:$X$501&lt;$X174))+1,"")</f>
        <v/>
      </c>
      <c r="W174">
        <f>IF($A174="","",IF(OR($T174=TRUE(),$T174="TRUE"),1,0))</f>
        <v/>
      </c>
      <c r="X174">
        <f>IF($U174=1,IFERROR(IF(VALUE($A174)&lt;100000000,VALUE($A174),1000000000),IFERROR(IF(VALUE(MID($A174,2,20))&lt;100000000,VALUE(MID($A174,2,20)),1000000000),1000000000))+ROW()/100000,"")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IF($A175="","",E175*N175/100)</f>
        <v/>
      </c>
      <c r="J175" s="7" t="n"/>
      <c r="K175" s="7">
        <f>IF($A175="","",S175*N175)</f>
        <v/>
      </c>
      <c r="L175" s="7">
        <f>IF($A175="","",N175-K175)</f>
        <v/>
      </c>
      <c r="M175" s="7">
        <f>IF($A175="","",L175-F175)</f>
        <v/>
      </c>
      <c r="N175" s="7" t="n"/>
      <c r="Q175" s="11" t="n"/>
      <c r="S175">
        <f>IF($A175="","",IF($W175=1,Settings!$C$6,Settings!$C$7)*1)</f>
        <v/>
      </c>
      <c r="U175">
        <f>IF($A175="","",IF(COUNTIF($A$2:$A175,$A175)=1,1,0))</f>
        <v/>
      </c>
      <c r="V175">
        <f>IF($U175=1,SUMPRODUCT(--($X$2:$X$501&lt;$X175))+1,"")</f>
        <v/>
      </c>
      <c r="W175">
        <f>IF($A175="","",IF(OR($T175=TRUE(),$T175="TRUE"),1,0))</f>
        <v/>
      </c>
      <c r="X175">
        <f>IF($U175=1,IFERROR(IF(VALUE($A175)&lt;100000000,VALUE($A175),1000000000),IFERROR(IF(VALUE(MID($A175,2,20))&lt;100000000,VALUE(MID($A175,2,20)),1000000000),1000000000))+ROW()/100000,"")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IF($A176="","",E176*N176/100)</f>
        <v/>
      </c>
      <c r="J176" s="7" t="n"/>
      <c r="K176" s="7">
        <f>IF($A176="","",S176*N176)</f>
        <v/>
      </c>
      <c r="L176" s="7">
        <f>IF($A176="","",N176-K176)</f>
        <v/>
      </c>
      <c r="M176" s="7">
        <f>IF($A176="","",L176-F176)</f>
        <v/>
      </c>
      <c r="N176" s="7" t="n"/>
      <c r="Q176" s="11" t="n"/>
      <c r="S176">
        <f>IF($A176="","",IF($W176=1,Settings!$C$6,Settings!$C$7)*1)</f>
        <v/>
      </c>
      <c r="U176">
        <f>IF($A176="","",IF(COUNTIF($A$2:$A176,$A176)=1,1,0))</f>
        <v/>
      </c>
      <c r="V176">
        <f>IF($U176=1,SUMPRODUCT(--($X$2:$X$501&lt;$X176))+1,"")</f>
        <v/>
      </c>
      <c r="W176">
        <f>IF($A176="","",IF(OR($T176=TRUE(),$T176="TRUE"),1,0))</f>
        <v/>
      </c>
      <c r="X176">
        <f>IF($U176=1,IFERROR(IF(VALUE($A176)&lt;100000000,VALUE($A176),1000000000),IFERROR(IF(VALUE(MID($A176,2,20))&lt;100000000,VALUE(MID($A176,2,20)),1000000000),1000000000))+ROW()/100000,"")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IF($A177="","",E177*N177/100)</f>
        <v/>
      </c>
      <c r="J177" s="7" t="n"/>
      <c r="K177" s="7">
        <f>IF($A177="","",S177*N177)</f>
        <v/>
      </c>
      <c r="L177" s="7">
        <f>IF($A177="","",N177-K177)</f>
        <v/>
      </c>
      <c r="M177" s="7">
        <f>IF($A177="","",L177-F177)</f>
        <v/>
      </c>
      <c r="N177" s="7" t="n"/>
      <c r="Q177" s="11" t="n"/>
      <c r="S177">
        <f>IF($A177="","",IF($W177=1,Settings!$C$6,Settings!$C$7)*1)</f>
        <v/>
      </c>
      <c r="U177">
        <f>IF($A177="","",IF(COUNTIF($A$2:$A177,$A177)=1,1,0))</f>
        <v/>
      </c>
      <c r="V177">
        <f>IF($U177=1,SUMPRODUCT(--($X$2:$X$501&lt;$X177))+1,"")</f>
        <v/>
      </c>
      <c r="W177">
        <f>IF($A177="","",IF(OR($T177=TRUE(),$T177="TRUE"),1,0))</f>
        <v/>
      </c>
      <c r="X177">
        <f>IF($U177=1,IFERROR(IF(VALUE($A177)&lt;100000000,VALUE($A177),1000000000),IFERROR(IF(VALUE(MID($A177,2,20))&lt;100000000,VALUE(MID($A177,2,20)),1000000000),1000000000))+ROW()/100000,"")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IF($A178="","",E178*N178/100)</f>
        <v/>
      </c>
      <c r="J178" s="7" t="n"/>
      <c r="K178" s="7">
        <f>IF($A178="","",S178*N178)</f>
        <v/>
      </c>
      <c r="L178" s="7">
        <f>IF($A178="","",N178-K178)</f>
        <v/>
      </c>
      <c r="M178" s="7">
        <f>IF($A178="","",L178-F178)</f>
        <v/>
      </c>
      <c r="N178" s="7" t="n"/>
      <c r="Q178" s="11" t="n"/>
      <c r="S178">
        <f>IF($A178="","",IF($W178=1,Settings!$C$6,Settings!$C$7)*1)</f>
        <v/>
      </c>
      <c r="U178">
        <f>IF($A178="","",IF(COUNTIF($A$2:$A178,$A178)=1,1,0))</f>
        <v/>
      </c>
      <c r="V178">
        <f>IF($U178=1,SUMPRODUCT(--($X$2:$X$501&lt;$X178))+1,"")</f>
        <v/>
      </c>
      <c r="W178">
        <f>IF($A178="","",IF(OR($T178=TRUE(),$T178="TRUE"),1,0))</f>
        <v/>
      </c>
      <c r="X178">
        <f>IF($U178=1,IFERROR(IF(VALUE($A178)&lt;100000000,VALUE($A178),1000000000),IFERROR(IF(VALUE(MID($A178,2,20))&lt;100000000,VALUE(MID($A178,2,20)),1000000000),1000000000))+ROW()/100000,"")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IF($A179="","",E179*N179/100)</f>
        <v/>
      </c>
      <c r="J179" s="7" t="n"/>
      <c r="K179" s="7">
        <f>IF($A179="","",S179*N179)</f>
        <v/>
      </c>
      <c r="L179" s="7">
        <f>IF($A179="","",N179-K179)</f>
        <v/>
      </c>
      <c r="M179" s="7">
        <f>IF($A179="","",L179-F179)</f>
        <v/>
      </c>
      <c r="N179" s="7" t="n"/>
      <c r="Q179" s="11" t="n"/>
      <c r="S179">
        <f>IF($A179="","",IF($W179=1,Settings!$C$6,Settings!$C$7)*1)</f>
        <v/>
      </c>
      <c r="U179">
        <f>IF($A179="","",IF(COUNTIF($A$2:$A179,$A179)=1,1,0))</f>
        <v/>
      </c>
      <c r="V179">
        <f>IF($U179=1,SUMPRODUCT(--($X$2:$X$501&lt;$X179))+1,"")</f>
        <v/>
      </c>
      <c r="W179">
        <f>IF($A179="","",IF(OR($T179=TRUE(),$T179="TRUE"),1,0))</f>
        <v/>
      </c>
      <c r="X179">
        <f>IF($U179=1,IFERROR(IF(VALUE($A179)&lt;100000000,VALUE($A179),1000000000),IFERROR(IF(VALUE(MID($A179,2,20))&lt;100000000,VALUE(MID($A179,2,20)),1000000000),1000000000))+ROW()/100000,"")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IF($A180="","",E180*N180/100)</f>
        <v/>
      </c>
      <c r="J180" s="7" t="n"/>
      <c r="K180" s="7">
        <f>IF($A180="","",S180*N180)</f>
        <v/>
      </c>
      <c r="L180" s="7">
        <f>IF($A180="","",N180-K180)</f>
        <v/>
      </c>
      <c r="M180" s="7">
        <f>IF($A180="","",L180-F180)</f>
        <v/>
      </c>
      <c r="N180" s="7" t="n"/>
      <c r="Q180" s="11" t="n"/>
      <c r="S180">
        <f>IF($A180="","",IF($W180=1,Settings!$C$6,Settings!$C$7)*1)</f>
        <v/>
      </c>
      <c r="U180">
        <f>IF($A180="","",IF(COUNTIF($A$2:$A180,$A180)=1,1,0))</f>
        <v/>
      </c>
      <c r="V180">
        <f>IF($U180=1,SUMPRODUCT(--($X$2:$X$501&lt;$X180))+1,"")</f>
        <v/>
      </c>
      <c r="W180">
        <f>IF($A180="","",IF(OR($T180=TRUE(),$T180="TRUE"),1,0))</f>
        <v/>
      </c>
      <c r="X180">
        <f>IF($U180=1,IFERROR(IF(VALUE($A180)&lt;100000000,VALUE($A180),1000000000),IFERROR(IF(VALUE(MID($A180,2,20))&lt;100000000,VALUE(MID($A180,2,20)),1000000000),1000000000))+ROW()/100000,"")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IF($A181="","",E181*N181/100)</f>
        <v/>
      </c>
      <c r="J181" s="7" t="n"/>
      <c r="K181" s="7">
        <f>IF($A181="","",S181*N181)</f>
        <v/>
      </c>
      <c r="L181" s="7">
        <f>IF($A181="","",N181-K181)</f>
        <v/>
      </c>
      <c r="M181" s="7">
        <f>IF($A181="","",L181-F181)</f>
        <v/>
      </c>
      <c r="N181" s="7" t="n"/>
      <c r="Q181" s="11" t="n"/>
      <c r="S181">
        <f>IF($A181="","",IF($W181=1,Settings!$C$6,Settings!$C$7)*1)</f>
        <v/>
      </c>
      <c r="U181">
        <f>IF($A181="","",IF(COUNTIF($A$2:$A181,$A181)=1,1,0))</f>
        <v/>
      </c>
      <c r="V181">
        <f>IF($U181=1,SUMPRODUCT(--($X$2:$X$501&lt;$X181))+1,"")</f>
        <v/>
      </c>
      <c r="W181">
        <f>IF($A181="","",IF(OR($T181=TRUE(),$T181="TRUE"),1,0))</f>
        <v/>
      </c>
      <c r="X181">
        <f>IF($U181=1,IFERROR(IF(VALUE($A181)&lt;100000000,VALUE($A181),1000000000),IFERROR(IF(VALUE(MID($A181,2,20))&lt;100000000,VALUE(MID($A181,2,20)),1000000000),1000000000))+ROW()/100000,"")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IF($A182="","",E182*N182/100)</f>
        <v/>
      </c>
      <c r="J182" s="7" t="n"/>
      <c r="K182" s="7">
        <f>IF($A182="","",S182*N182)</f>
        <v/>
      </c>
      <c r="L182" s="7">
        <f>IF($A182="","",N182-K182)</f>
        <v/>
      </c>
      <c r="M182" s="7">
        <f>IF($A182="","",L182-F182)</f>
        <v/>
      </c>
      <c r="N182" s="7" t="n"/>
      <c r="Q182" s="11" t="n"/>
      <c r="S182">
        <f>IF($A182="","",IF($W182=1,Settings!$C$6,Settings!$C$7)*1)</f>
        <v/>
      </c>
      <c r="U182">
        <f>IF($A182="","",IF(COUNTIF($A$2:$A182,$A182)=1,1,0))</f>
        <v/>
      </c>
      <c r="V182">
        <f>IF($U182=1,SUMPRODUCT(--($X$2:$X$501&lt;$X182))+1,"")</f>
        <v/>
      </c>
      <c r="W182">
        <f>IF($A182="","",IF(OR($T182=TRUE(),$T182="TRUE"),1,0))</f>
        <v/>
      </c>
      <c r="X182">
        <f>IF($U182=1,IFERROR(IF(VALUE($A182)&lt;100000000,VALUE($A182),1000000000),IFERROR(IF(VALUE(MID($A182,2,20))&lt;100000000,VALUE(MID($A182,2,20)),1000000000),1000000000))+ROW()/100000,"")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IF($A183="","",E183*N183/100)</f>
        <v/>
      </c>
      <c r="J183" s="7" t="n"/>
      <c r="K183" s="7">
        <f>IF($A183="","",S183*N183)</f>
        <v/>
      </c>
      <c r="L183" s="7">
        <f>IF($A183="","",N183-K183)</f>
        <v/>
      </c>
      <c r="M183" s="7">
        <f>IF($A183="","",L183-F183)</f>
        <v/>
      </c>
      <c r="N183" s="7" t="n"/>
      <c r="Q183" s="11" t="n"/>
      <c r="S183">
        <f>IF($A183="","",IF($W183=1,Settings!$C$6,Settings!$C$7)*1)</f>
        <v/>
      </c>
      <c r="U183">
        <f>IF($A183="","",IF(COUNTIF($A$2:$A183,$A183)=1,1,0))</f>
        <v/>
      </c>
      <c r="V183">
        <f>IF($U183=1,SUMPRODUCT(--($X$2:$X$501&lt;$X183))+1,"")</f>
        <v/>
      </c>
      <c r="W183">
        <f>IF($A183="","",IF(OR($T183=TRUE(),$T183="TRUE"),1,0))</f>
        <v/>
      </c>
      <c r="X183">
        <f>IF($U183=1,IFERROR(IF(VALUE($A183)&lt;100000000,VALUE($A183),1000000000),IFERROR(IF(VALUE(MID($A183,2,20))&lt;100000000,VALUE(MID($A183,2,20)),1000000000),1000000000))+ROW()/100000,"")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IF($A184="","",E184*N184/100)</f>
        <v/>
      </c>
      <c r="J184" s="7" t="n"/>
      <c r="K184" s="7">
        <f>IF($A184="","",S184*N184)</f>
        <v/>
      </c>
      <c r="L184" s="7">
        <f>IF($A184="","",N184-K184)</f>
        <v/>
      </c>
      <c r="M184" s="7">
        <f>IF($A184="","",L184-F184)</f>
        <v/>
      </c>
      <c r="N184" s="7" t="n"/>
      <c r="Q184" s="11" t="n"/>
      <c r="S184">
        <f>IF($A184="","",IF($W184=1,Settings!$C$6,Settings!$C$7)*1)</f>
        <v/>
      </c>
      <c r="U184">
        <f>IF($A184="","",IF(COUNTIF($A$2:$A184,$A184)=1,1,0))</f>
        <v/>
      </c>
      <c r="V184">
        <f>IF($U184=1,SUMPRODUCT(--($X$2:$X$501&lt;$X184))+1,"")</f>
        <v/>
      </c>
      <c r="W184">
        <f>IF($A184="","",IF(OR($T184=TRUE(),$T184="TRUE"),1,0))</f>
        <v/>
      </c>
      <c r="X184">
        <f>IF($U184=1,IFERROR(IF(VALUE($A184)&lt;100000000,VALUE($A184),1000000000),IFERROR(IF(VALUE(MID($A184,2,20))&lt;100000000,VALUE(MID($A184,2,20)),1000000000),1000000000))+ROW()/100000,"")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IF($A185="","",E185*N185/100)</f>
        <v/>
      </c>
      <c r="J185" s="7" t="n"/>
      <c r="K185" s="7">
        <f>IF($A185="","",S185*N185)</f>
        <v/>
      </c>
      <c r="L185" s="7">
        <f>IF($A185="","",N185-K185)</f>
        <v/>
      </c>
      <c r="M185" s="7">
        <f>IF($A185="","",L185-F185)</f>
        <v/>
      </c>
      <c r="N185" s="7" t="n"/>
      <c r="Q185" s="11" t="n"/>
      <c r="S185">
        <f>IF($A185="","",IF($W185=1,Settings!$C$6,Settings!$C$7)*1)</f>
        <v/>
      </c>
      <c r="U185">
        <f>IF($A185="","",IF(COUNTIF($A$2:$A185,$A185)=1,1,0))</f>
        <v/>
      </c>
      <c r="V185">
        <f>IF($U185=1,SUMPRODUCT(--($X$2:$X$501&lt;$X185))+1,"")</f>
        <v/>
      </c>
      <c r="W185">
        <f>IF($A185="","",IF(OR($T185=TRUE(),$T185="TRUE"),1,0))</f>
        <v/>
      </c>
      <c r="X185">
        <f>IF($U185=1,IFERROR(IF(VALUE($A185)&lt;100000000,VALUE($A185),1000000000),IFERROR(IF(VALUE(MID($A185,2,20))&lt;100000000,VALUE(MID($A185,2,20)),1000000000),1000000000))+ROW()/100000,"")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IF($A186="","",E186*N186/100)</f>
        <v/>
      </c>
      <c r="J186" s="7" t="n"/>
      <c r="K186" s="7">
        <f>IF($A186="","",S186*N186)</f>
        <v/>
      </c>
      <c r="L186" s="7">
        <f>IF($A186="","",N186-K186)</f>
        <v/>
      </c>
      <c r="M186" s="7">
        <f>IF($A186="","",L186-F186)</f>
        <v/>
      </c>
      <c r="N186" s="7" t="n"/>
      <c r="Q186" s="11" t="n"/>
      <c r="S186">
        <f>IF($A186="","",IF($W186=1,Settings!$C$6,Settings!$C$7)*1)</f>
        <v/>
      </c>
      <c r="U186">
        <f>IF($A186="","",IF(COUNTIF($A$2:$A186,$A186)=1,1,0))</f>
        <v/>
      </c>
      <c r="V186">
        <f>IF($U186=1,SUMPRODUCT(--($X$2:$X$501&lt;$X186))+1,"")</f>
        <v/>
      </c>
      <c r="W186">
        <f>IF($A186="","",IF(OR($T186=TRUE(),$T186="TRUE"),1,0))</f>
        <v/>
      </c>
      <c r="X186">
        <f>IF($U186=1,IFERROR(IF(VALUE($A186)&lt;100000000,VALUE($A186),1000000000),IFERROR(IF(VALUE(MID($A186,2,20))&lt;100000000,VALUE(MID($A186,2,20)),1000000000),1000000000))+ROW()/100000,"")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IF($A187="","",E187*N187/100)</f>
        <v/>
      </c>
      <c r="J187" s="7" t="n"/>
      <c r="K187" s="7">
        <f>IF($A187="","",S187*N187)</f>
        <v/>
      </c>
      <c r="L187" s="7">
        <f>IF($A187="","",N187-K187)</f>
        <v/>
      </c>
      <c r="M187" s="7">
        <f>IF($A187="","",L187-F187)</f>
        <v/>
      </c>
      <c r="N187" s="7" t="n"/>
      <c r="Q187" s="11" t="n"/>
      <c r="S187">
        <f>IF($A187="","",IF($W187=1,Settings!$C$6,Settings!$C$7)*1)</f>
        <v/>
      </c>
      <c r="U187">
        <f>IF($A187="","",IF(COUNTIF($A$2:$A187,$A187)=1,1,0))</f>
        <v/>
      </c>
      <c r="V187">
        <f>IF($U187=1,SUMPRODUCT(--($X$2:$X$501&lt;$X187))+1,"")</f>
        <v/>
      </c>
      <c r="W187">
        <f>IF($A187="","",IF(OR($T187=TRUE(),$T187="TRUE"),1,0))</f>
        <v/>
      </c>
      <c r="X187">
        <f>IF($U187=1,IFERROR(IF(VALUE($A187)&lt;100000000,VALUE($A187),1000000000),IFERROR(IF(VALUE(MID($A187,2,20))&lt;100000000,VALUE(MID($A187,2,20)),1000000000),1000000000))+ROW()/100000,"")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IF($A188="","",E188*N188/100)</f>
        <v/>
      </c>
      <c r="J188" s="7" t="n"/>
      <c r="K188" s="7">
        <f>IF($A188="","",S188*N188)</f>
        <v/>
      </c>
      <c r="L188" s="7">
        <f>IF($A188="","",N188-K188)</f>
        <v/>
      </c>
      <c r="M188" s="7">
        <f>IF($A188="","",L188-F188)</f>
        <v/>
      </c>
      <c r="N188" s="7" t="n"/>
      <c r="Q188" s="11" t="n"/>
      <c r="S188">
        <f>IF($A188="","",IF($W188=1,Settings!$C$6,Settings!$C$7)*1)</f>
        <v/>
      </c>
      <c r="U188">
        <f>IF($A188="","",IF(COUNTIF($A$2:$A188,$A188)=1,1,0))</f>
        <v/>
      </c>
      <c r="V188">
        <f>IF($U188=1,SUMPRODUCT(--($X$2:$X$501&lt;$X188))+1,"")</f>
        <v/>
      </c>
      <c r="W188">
        <f>IF($A188="","",IF(OR($T188=TRUE(),$T188="TRUE"),1,0))</f>
        <v/>
      </c>
      <c r="X188">
        <f>IF($U188=1,IFERROR(IF(VALUE($A188)&lt;100000000,VALUE($A188),1000000000),IFERROR(IF(VALUE(MID($A188,2,20))&lt;100000000,VALUE(MID($A188,2,20)),1000000000),1000000000))+ROW()/100000,"")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IF($A189="","",E189*N189/100)</f>
        <v/>
      </c>
      <c r="J189" s="7" t="n"/>
      <c r="K189" s="7">
        <f>IF($A189="","",S189*N189)</f>
        <v/>
      </c>
      <c r="L189" s="7">
        <f>IF($A189="","",N189-K189)</f>
        <v/>
      </c>
      <c r="M189" s="7">
        <f>IF($A189="","",L189-F189)</f>
        <v/>
      </c>
      <c r="N189" s="7" t="n"/>
      <c r="Q189" s="11" t="n"/>
      <c r="S189">
        <f>IF($A189="","",IF($W189=1,Settings!$C$6,Settings!$C$7)*1)</f>
        <v/>
      </c>
      <c r="U189">
        <f>IF($A189="","",IF(COUNTIF($A$2:$A189,$A189)=1,1,0))</f>
        <v/>
      </c>
      <c r="V189">
        <f>IF($U189=1,SUMPRODUCT(--($X$2:$X$501&lt;$X189))+1,"")</f>
        <v/>
      </c>
      <c r="W189">
        <f>IF($A189="","",IF(OR($T189=TRUE(),$T189="TRUE"),1,0))</f>
        <v/>
      </c>
      <c r="X189">
        <f>IF($U189=1,IFERROR(IF(VALUE($A189)&lt;100000000,VALUE($A189),1000000000),IFERROR(IF(VALUE(MID($A189,2,20))&lt;100000000,VALUE(MID($A189,2,20)),1000000000),1000000000))+ROW()/100000,"")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IF($A190="","",E190*N190/100)</f>
        <v/>
      </c>
      <c r="J190" s="7" t="n"/>
      <c r="K190" s="7">
        <f>IF($A190="","",S190*N190)</f>
        <v/>
      </c>
      <c r="L190" s="7">
        <f>IF($A190="","",N190-K190)</f>
        <v/>
      </c>
      <c r="M190" s="7">
        <f>IF($A190="","",L190-F190)</f>
        <v/>
      </c>
      <c r="N190" s="7" t="n"/>
      <c r="Q190" s="11" t="n"/>
      <c r="S190">
        <f>IF($A190="","",IF($W190=1,Settings!$C$6,Settings!$C$7)*1)</f>
        <v/>
      </c>
      <c r="U190">
        <f>IF($A190="","",IF(COUNTIF($A$2:$A190,$A190)=1,1,0))</f>
        <v/>
      </c>
      <c r="V190">
        <f>IF($U190=1,SUMPRODUCT(--($X$2:$X$501&lt;$X190))+1,"")</f>
        <v/>
      </c>
      <c r="W190">
        <f>IF($A190="","",IF(OR($T190=TRUE(),$T190="TRUE"),1,0))</f>
        <v/>
      </c>
      <c r="X190">
        <f>IF($U190=1,IFERROR(IF(VALUE($A190)&lt;100000000,VALUE($A190),1000000000),IFERROR(IF(VALUE(MID($A190,2,20))&lt;100000000,VALUE(MID($A190,2,20)),1000000000),1000000000))+ROW()/100000,"")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IF($A191="","",E191*N191/100)</f>
        <v/>
      </c>
      <c r="J191" s="7" t="n"/>
      <c r="K191" s="7">
        <f>IF($A191="","",S191*N191)</f>
        <v/>
      </c>
      <c r="L191" s="7">
        <f>IF($A191="","",N191-K191)</f>
        <v/>
      </c>
      <c r="M191" s="7">
        <f>IF($A191="","",L191-F191)</f>
        <v/>
      </c>
      <c r="N191" s="7" t="n"/>
      <c r="Q191" s="11" t="n"/>
      <c r="S191">
        <f>IF($A191="","",IF($W191=1,Settings!$C$6,Settings!$C$7)*1)</f>
        <v/>
      </c>
      <c r="U191">
        <f>IF($A191="","",IF(COUNTIF($A$2:$A191,$A191)=1,1,0))</f>
        <v/>
      </c>
      <c r="V191">
        <f>IF($U191=1,SUMPRODUCT(--($X$2:$X$501&lt;$X191))+1,"")</f>
        <v/>
      </c>
      <c r="W191">
        <f>IF($A191="","",IF(OR($T191=TRUE(),$T191="TRUE"),1,0))</f>
        <v/>
      </c>
      <c r="X191">
        <f>IF($U191=1,IFERROR(IF(VALUE($A191)&lt;100000000,VALUE($A191),1000000000),IFERROR(IF(VALUE(MID($A191,2,20))&lt;100000000,VALUE(MID($A191,2,20)),1000000000),1000000000))+ROW()/100000,"")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IF($A192="","",E192*N192/100)</f>
        <v/>
      </c>
      <c r="J192" s="7" t="n"/>
      <c r="K192" s="7">
        <f>IF($A192="","",S192*N192)</f>
        <v/>
      </c>
      <c r="L192" s="7">
        <f>IF($A192="","",N192-K192)</f>
        <v/>
      </c>
      <c r="M192" s="7">
        <f>IF($A192="","",L192-F192)</f>
        <v/>
      </c>
      <c r="N192" s="7" t="n"/>
      <c r="Q192" s="11" t="n"/>
      <c r="S192">
        <f>IF($A192="","",IF($W192=1,Settings!$C$6,Settings!$C$7)*1)</f>
        <v/>
      </c>
      <c r="U192">
        <f>IF($A192="","",IF(COUNTIF($A$2:$A192,$A192)=1,1,0))</f>
        <v/>
      </c>
      <c r="V192">
        <f>IF($U192=1,SUMPRODUCT(--($X$2:$X$501&lt;$X192))+1,"")</f>
        <v/>
      </c>
      <c r="W192">
        <f>IF($A192="","",IF(OR($T192=TRUE(),$T192="TRUE"),1,0))</f>
        <v/>
      </c>
      <c r="X192">
        <f>IF($U192=1,IFERROR(IF(VALUE($A192)&lt;100000000,VALUE($A192),1000000000),IFERROR(IF(VALUE(MID($A192,2,20))&lt;100000000,VALUE(MID($A192,2,20)),1000000000),1000000000))+ROW()/100000,"")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IF($A193="","",E193*N193/100)</f>
        <v/>
      </c>
      <c r="J193" s="7" t="n"/>
      <c r="K193" s="7">
        <f>IF($A193="","",S193*N193)</f>
        <v/>
      </c>
      <c r="L193" s="7">
        <f>IF($A193="","",N193-K193)</f>
        <v/>
      </c>
      <c r="M193" s="7">
        <f>IF($A193="","",L193-F193)</f>
        <v/>
      </c>
      <c r="N193" s="7" t="n"/>
      <c r="Q193" s="11" t="n"/>
      <c r="S193">
        <f>IF($A193="","",IF($W193=1,Settings!$C$6,Settings!$C$7)*1)</f>
        <v/>
      </c>
      <c r="U193">
        <f>IF($A193="","",IF(COUNTIF($A$2:$A193,$A193)=1,1,0))</f>
        <v/>
      </c>
      <c r="V193">
        <f>IF($U193=1,SUMPRODUCT(--($X$2:$X$501&lt;$X193))+1,"")</f>
        <v/>
      </c>
      <c r="W193">
        <f>IF($A193="","",IF(OR($T193=TRUE(),$T193="TRUE"),1,0))</f>
        <v/>
      </c>
      <c r="X193">
        <f>IF($U193=1,IFERROR(IF(VALUE($A193)&lt;100000000,VALUE($A193),1000000000),IFERROR(IF(VALUE(MID($A193,2,20))&lt;100000000,VALUE(MID($A193,2,20)),1000000000),1000000000))+ROW()/100000,"")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IF($A194="","",E194*N194/100)</f>
        <v/>
      </c>
      <c r="J194" s="7" t="n"/>
      <c r="K194" s="7">
        <f>IF($A194="","",S194*N194)</f>
        <v/>
      </c>
      <c r="L194" s="7">
        <f>IF($A194="","",N194-K194)</f>
        <v/>
      </c>
      <c r="M194" s="7">
        <f>IF($A194="","",L194-F194)</f>
        <v/>
      </c>
      <c r="N194" s="7" t="n"/>
      <c r="Q194" s="11" t="n"/>
      <c r="S194">
        <f>IF($A194="","",IF($W194=1,Settings!$C$6,Settings!$C$7)*1)</f>
        <v/>
      </c>
      <c r="U194">
        <f>IF($A194="","",IF(COUNTIF($A$2:$A194,$A194)=1,1,0))</f>
        <v/>
      </c>
      <c r="V194">
        <f>IF($U194=1,SUMPRODUCT(--($X$2:$X$501&lt;$X194))+1,"")</f>
        <v/>
      </c>
      <c r="W194">
        <f>IF($A194="","",IF(OR($T194=TRUE(),$T194="TRUE"),1,0))</f>
        <v/>
      </c>
      <c r="X194">
        <f>IF($U194=1,IFERROR(IF(VALUE($A194)&lt;100000000,VALUE($A194),1000000000),IFERROR(IF(VALUE(MID($A194,2,20))&lt;100000000,VALUE(MID($A194,2,20)),1000000000),1000000000))+ROW()/100000,"")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IF($A195="","",E195*N195/100)</f>
        <v/>
      </c>
      <c r="J195" s="7" t="n"/>
      <c r="K195" s="7">
        <f>IF($A195="","",S195*N195)</f>
        <v/>
      </c>
      <c r="L195" s="7">
        <f>IF($A195="","",N195-K195)</f>
        <v/>
      </c>
      <c r="M195" s="7">
        <f>IF($A195="","",L195-F195)</f>
        <v/>
      </c>
      <c r="N195" s="7" t="n"/>
      <c r="Q195" s="11" t="n"/>
      <c r="S195">
        <f>IF($A195="","",IF($W195=1,Settings!$C$6,Settings!$C$7)*1)</f>
        <v/>
      </c>
      <c r="U195">
        <f>IF($A195="","",IF(COUNTIF($A$2:$A195,$A195)=1,1,0))</f>
        <v/>
      </c>
      <c r="V195">
        <f>IF($U195=1,SUMPRODUCT(--($X$2:$X$501&lt;$X195))+1,"")</f>
        <v/>
      </c>
      <c r="W195">
        <f>IF($A195="","",IF(OR($T195=TRUE(),$T195="TRUE"),1,0))</f>
        <v/>
      </c>
      <c r="X195">
        <f>IF($U195=1,IFERROR(IF(VALUE($A195)&lt;100000000,VALUE($A195),1000000000),IFERROR(IF(VALUE(MID($A195,2,20))&lt;100000000,VALUE(MID($A195,2,20)),1000000000),1000000000))+ROW()/100000,"")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IF($A196="","",E196*N196/100)</f>
        <v/>
      </c>
      <c r="J196" s="7" t="n"/>
      <c r="K196" s="7">
        <f>IF($A196="","",S196*N196)</f>
        <v/>
      </c>
      <c r="L196" s="7">
        <f>IF($A196="","",N196-K196)</f>
        <v/>
      </c>
      <c r="M196" s="7">
        <f>IF($A196="","",L196-F196)</f>
        <v/>
      </c>
      <c r="N196" s="7" t="n"/>
      <c r="Q196" s="11" t="n"/>
      <c r="S196">
        <f>IF($A196="","",IF($W196=1,Settings!$C$6,Settings!$C$7)*1)</f>
        <v/>
      </c>
      <c r="U196">
        <f>IF($A196="","",IF(COUNTIF($A$2:$A196,$A196)=1,1,0))</f>
        <v/>
      </c>
      <c r="V196">
        <f>IF($U196=1,SUMPRODUCT(--($X$2:$X$501&lt;$X196))+1,"")</f>
        <v/>
      </c>
      <c r="W196">
        <f>IF($A196="","",IF(OR($T196=TRUE(),$T196="TRUE"),1,0))</f>
        <v/>
      </c>
      <c r="X196">
        <f>IF($U196=1,IFERROR(IF(VALUE($A196)&lt;100000000,VALUE($A196),1000000000),IFERROR(IF(VALUE(MID($A196,2,20))&lt;100000000,VALUE(MID($A196,2,20)),1000000000),1000000000))+ROW()/100000,"")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IF($A197="","",E197*N197/100)</f>
        <v/>
      </c>
      <c r="J197" s="7" t="n"/>
      <c r="K197" s="7">
        <f>IF($A197="","",S197*N197)</f>
        <v/>
      </c>
      <c r="L197" s="7">
        <f>IF($A197="","",N197-K197)</f>
        <v/>
      </c>
      <c r="M197" s="7">
        <f>IF($A197="","",L197-F197)</f>
        <v/>
      </c>
      <c r="N197" s="7" t="n"/>
      <c r="Q197" s="11" t="n"/>
      <c r="S197">
        <f>IF($A197="","",IF($W197=1,Settings!$C$6,Settings!$C$7)*1)</f>
        <v/>
      </c>
      <c r="U197">
        <f>IF($A197="","",IF(COUNTIF($A$2:$A197,$A197)=1,1,0))</f>
        <v/>
      </c>
      <c r="V197">
        <f>IF($U197=1,SUMPRODUCT(--($X$2:$X$501&lt;$X197))+1,"")</f>
        <v/>
      </c>
      <c r="W197">
        <f>IF($A197="","",IF(OR($T197=TRUE(),$T197="TRUE"),1,0))</f>
        <v/>
      </c>
      <c r="X197">
        <f>IF($U197=1,IFERROR(IF(VALUE($A197)&lt;100000000,VALUE($A197),1000000000),IFERROR(IF(VALUE(MID($A197,2,20))&lt;100000000,VALUE(MID($A197,2,20)),1000000000),1000000000))+ROW()/100000,"")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IF($A198="","",E198*N198/100)</f>
        <v/>
      </c>
      <c r="J198" s="7" t="n"/>
      <c r="K198" s="7">
        <f>IF($A198="","",S198*N198)</f>
        <v/>
      </c>
      <c r="L198" s="7">
        <f>IF($A198="","",N198-K198)</f>
        <v/>
      </c>
      <c r="M198" s="7">
        <f>IF($A198="","",L198-F198)</f>
        <v/>
      </c>
      <c r="N198" s="7" t="n"/>
      <c r="Q198" s="11" t="n"/>
      <c r="S198">
        <f>IF($A198="","",IF($W198=1,Settings!$C$6,Settings!$C$7)*1)</f>
        <v/>
      </c>
      <c r="U198">
        <f>IF($A198="","",IF(COUNTIF($A$2:$A198,$A198)=1,1,0))</f>
        <v/>
      </c>
      <c r="V198">
        <f>IF($U198=1,SUMPRODUCT(--($X$2:$X$501&lt;$X198))+1,"")</f>
        <v/>
      </c>
      <c r="W198">
        <f>IF($A198="","",IF(OR($T198=TRUE(),$T198="TRUE"),1,0))</f>
        <v/>
      </c>
      <c r="X198">
        <f>IF($U198=1,IFERROR(IF(VALUE($A198)&lt;100000000,VALUE($A198),1000000000),IFERROR(IF(VALUE(MID($A198,2,20))&lt;100000000,VALUE(MID($A198,2,20)),1000000000),1000000000))+ROW()/100000,"")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IF($A199="","",E199*N199/100)</f>
        <v/>
      </c>
      <c r="J199" s="7" t="n"/>
      <c r="K199" s="7">
        <f>IF($A199="","",S199*N199)</f>
        <v/>
      </c>
      <c r="L199" s="7">
        <f>IF($A199="","",N199-K199)</f>
        <v/>
      </c>
      <c r="M199" s="7">
        <f>IF($A199="","",L199-F199)</f>
        <v/>
      </c>
      <c r="N199" s="7" t="n"/>
      <c r="Q199" s="11" t="n"/>
      <c r="S199">
        <f>IF($A199="","",IF($W199=1,Settings!$C$6,Settings!$C$7)*1)</f>
        <v/>
      </c>
      <c r="U199">
        <f>IF($A199="","",IF(COUNTIF($A$2:$A199,$A199)=1,1,0))</f>
        <v/>
      </c>
      <c r="V199">
        <f>IF($U199=1,SUMPRODUCT(--($X$2:$X$501&lt;$X199))+1,"")</f>
        <v/>
      </c>
      <c r="W199">
        <f>IF($A199="","",IF(OR($T199=TRUE(),$T199="TRUE"),1,0))</f>
        <v/>
      </c>
      <c r="X199">
        <f>IF($U199=1,IFERROR(IF(VALUE($A199)&lt;100000000,VALUE($A199),1000000000),IFERROR(IF(VALUE(MID($A199,2,20))&lt;100000000,VALUE(MID($A199,2,20)),1000000000),1000000000))+ROW()/100000,"")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IF($A200="","",E200*N200/100)</f>
        <v/>
      </c>
      <c r="J200" s="7" t="n"/>
      <c r="K200" s="7">
        <f>IF($A200="","",S200*N200)</f>
        <v/>
      </c>
      <c r="L200" s="7">
        <f>IF($A200="","",N200-K200)</f>
        <v/>
      </c>
      <c r="M200" s="7">
        <f>IF($A200="","",L200-F200)</f>
        <v/>
      </c>
      <c r="N200" s="7" t="n"/>
      <c r="Q200" s="11" t="n"/>
      <c r="S200">
        <f>IF($A200="","",IF($W200=1,Settings!$C$6,Settings!$C$7)*1)</f>
        <v/>
      </c>
      <c r="U200">
        <f>IF($A200="","",IF(COUNTIF($A$2:$A200,$A200)=1,1,0))</f>
        <v/>
      </c>
      <c r="V200">
        <f>IF($U200=1,SUMPRODUCT(--($X$2:$X$501&lt;$X200))+1,"")</f>
        <v/>
      </c>
      <c r="W200">
        <f>IF($A200="","",IF(OR($T200=TRUE(),$T200="TRUE"),1,0))</f>
        <v/>
      </c>
      <c r="X200">
        <f>IF($U200=1,IFERROR(IF(VALUE($A200)&lt;100000000,VALUE($A200),1000000000),IFERROR(IF(VALUE(MID($A200,2,20))&lt;100000000,VALUE(MID($A200,2,20)),1000000000),1000000000))+ROW()/100000,"")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IF($A201="","",E201*N201/100)</f>
        <v/>
      </c>
      <c r="J201" s="7" t="n"/>
      <c r="K201" s="7">
        <f>IF($A201="","",S201*N201)</f>
        <v/>
      </c>
      <c r="L201" s="7">
        <f>IF($A201="","",N201-K201)</f>
        <v/>
      </c>
      <c r="M201" s="7">
        <f>IF($A201="","",L201-F201)</f>
        <v/>
      </c>
      <c r="N201" s="7" t="n"/>
      <c r="Q201" s="11" t="n"/>
      <c r="S201">
        <f>IF($A201="","",IF($W201=1,Settings!$C$6,Settings!$C$7)*1)</f>
        <v/>
      </c>
      <c r="U201">
        <f>IF($A201="","",IF(COUNTIF($A$2:$A201,$A201)=1,1,0))</f>
        <v/>
      </c>
      <c r="V201">
        <f>IF($U201=1,SUMPRODUCT(--($X$2:$X$501&lt;$X201))+1,"")</f>
        <v/>
      </c>
      <c r="W201">
        <f>IF($A201="","",IF(OR($T201=TRUE(),$T201="TRUE"),1,0))</f>
        <v/>
      </c>
      <c r="X201">
        <f>IF($U201=1,IFERROR(IF(VALUE($A201)&lt;100000000,VALUE($A201),1000000000),IFERROR(IF(VALUE(MID($A201,2,20))&lt;100000000,VALUE(MID($A201,2,20)),1000000000),1000000000))+ROW()/100000,"")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IF($A202="","",E202*N202/100)</f>
        <v/>
      </c>
      <c r="J202" s="7" t="n"/>
      <c r="K202" s="7">
        <f>IF($A202="","",S202*N202)</f>
        <v/>
      </c>
      <c r="L202" s="7">
        <f>IF($A202="","",N202-K202)</f>
        <v/>
      </c>
      <c r="M202" s="7">
        <f>IF($A202="","",L202-F202)</f>
        <v/>
      </c>
      <c r="N202" s="7" t="n"/>
      <c r="Q202" s="11" t="n"/>
      <c r="S202">
        <f>IF($A202="","",IF($W202=1,Settings!$C$6,Settings!$C$7)*1)</f>
        <v/>
      </c>
      <c r="U202">
        <f>IF($A202="","",IF(COUNTIF($A$2:$A202,$A202)=1,1,0))</f>
        <v/>
      </c>
      <c r="V202">
        <f>IF($U202=1,SUMPRODUCT(--($X$2:$X$501&lt;$X202))+1,"")</f>
        <v/>
      </c>
      <c r="W202">
        <f>IF($A202="","",IF(OR($T202=TRUE(),$T202="TRUE"),1,0))</f>
        <v/>
      </c>
      <c r="X202">
        <f>IF($U202=1,IFERROR(IF(VALUE($A202)&lt;100000000,VALUE($A202),1000000000),IFERROR(IF(VALUE(MID($A202,2,20))&lt;100000000,VALUE(MID($A202,2,20)),1000000000),1000000000))+ROW()/100000,"")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IF($A203="","",E203*N203/100)</f>
        <v/>
      </c>
      <c r="J203" s="7" t="n"/>
      <c r="K203" s="7">
        <f>IF($A203="","",S203*N203)</f>
        <v/>
      </c>
      <c r="L203" s="7">
        <f>IF($A203="","",N203-K203)</f>
        <v/>
      </c>
      <c r="M203" s="7">
        <f>IF($A203="","",L203-F203)</f>
        <v/>
      </c>
      <c r="N203" s="7" t="n"/>
      <c r="Q203" s="11" t="n"/>
      <c r="S203">
        <f>IF($A203="","",IF($W203=1,Settings!$C$6,Settings!$C$7)*1)</f>
        <v/>
      </c>
      <c r="U203">
        <f>IF($A203="","",IF(COUNTIF($A$2:$A203,$A203)=1,1,0))</f>
        <v/>
      </c>
      <c r="V203">
        <f>IF($U203=1,SUMPRODUCT(--($X$2:$X$501&lt;$X203))+1,"")</f>
        <v/>
      </c>
      <c r="W203">
        <f>IF($A203="","",IF(OR($T203=TRUE(),$T203="TRUE"),1,0))</f>
        <v/>
      </c>
      <c r="X203">
        <f>IF($U203=1,IFERROR(IF(VALUE($A203)&lt;100000000,VALUE($A203),1000000000),IFERROR(IF(VALUE(MID($A203,2,20))&lt;100000000,VALUE(MID($A203,2,20)),1000000000),1000000000))+ROW()/100000,"")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IF($A204="","",E204*N204/100)</f>
        <v/>
      </c>
      <c r="J204" s="7" t="n"/>
      <c r="K204" s="7">
        <f>IF($A204="","",S204*N204)</f>
        <v/>
      </c>
      <c r="L204" s="7">
        <f>IF($A204="","",N204-K204)</f>
        <v/>
      </c>
      <c r="M204" s="7">
        <f>IF($A204="","",L204-F204)</f>
        <v/>
      </c>
      <c r="N204" s="7" t="n"/>
      <c r="Q204" s="11" t="n"/>
      <c r="S204">
        <f>IF($A204="","",IF($W204=1,Settings!$C$6,Settings!$C$7)*1)</f>
        <v/>
      </c>
      <c r="U204">
        <f>IF($A204="","",IF(COUNTIF($A$2:$A204,$A204)=1,1,0))</f>
        <v/>
      </c>
      <c r="V204">
        <f>IF($U204=1,SUMPRODUCT(--($X$2:$X$501&lt;$X204))+1,"")</f>
        <v/>
      </c>
      <c r="W204">
        <f>IF($A204="","",IF(OR($T204=TRUE(),$T204="TRUE"),1,0))</f>
        <v/>
      </c>
      <c r="X204">
        <f>IF($U204=1,IFERROR(IF(VALUE($A204)&lt;100000000,VALUE($A204),1000000000),IFERROR(IF(VALUE(MID($A204,2,20))&lt;100000000,VALUE(MID($A204,2,20)),1000000000),1000000000))+ROW()/100000,"")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IF($A205="","",E205*N205/100)</f>
        <v/>
      </c>
      <c r="J205" s="7" t="n"/>
      <c r="K205" s="7">
        <f>IF($A205="","",S205*N205)</f>
        <v/>
      </c>
      <c r="L205" s="7">
        <f>IF($A205="","",N205-K205)</f>
        <v/>
      </c>
      <c r="M205" s="7">
        <f>IF($A205="","",L205-F205)</f>
        <v/>
      </c>
      <c r="N205" s="7" t="n"/>
      <c r="Q205" s="11" t="n"/>
      <c r="S205">
        <f>IF($A205="","",IF($W205=1,Settings!$C$6,Settings!$C$7)*1)</f>
        <v/>
      </c>
      <c r="U205">
        <f>IF($A205="","",IF(COUNTIF($A$2:$A205,$A205)=1,1,0))</f>
        <v/>
      </c>
      <c r="V205">
        <f>IF($U205=1,SUMPRODUCT(--($X$2:$X$501&lt;$X205))+1,"")</f>
        <v/>
      </c>
      <c r="W205">
        <f>IF($A205="","",IF(OR($T205=TRUE(),$T205="TRUE"),1,0))</f>
        <v/>
      </c>
      <c r="X205">
        <f>IF($U205=1,IFERROR(IF(VALUE($A205)&lt;100000000,VALUE($A205),1000000000),IFERROR(IF(VALUE(MID($A205,2,20))&lt;100000000,VALUE(MID($A205,2,20)),1000000000),1000000000))+ROW()/100000,"")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IF($A206="","",E206*N206/100)</f>
        <v/>
      </c>
      <c r="J206" s="7" t="n"/>
      <c r="K206" s="7">
        <f>IF($A206="","",S206*N206)</f>
        <v/>
      </c>
      <c r="L206" s="7">
        <f>IF($A206="","",N206-K206)</f>
        <v/>
      </c>
      <c r="M206" s="7">
        <f>IF($A206="","",L206-F206)</f>
        <v/>
      </c>
      <c r="N206" s="7" t="n"/>
      <c r="Q206" s="11" t="n"/>
      <c r="S206">
        <f>IF($A206="","",IF($W206=1,Settings!$C$6,Settings!$C$7)*1)</f>
        <v/>
      </c>
      <c r="U206">
        <f>IF($A206="","",IF(COUNTIF($A$2:$A206,$A206)=1,1,0))</f>
        <v/>
      </c>
      <c r="V206">
        <f>IF($U206=1,SUMPRODUCT(--($X$2:$X$501&lt;$X206))+1,"")</f>
        <v/>
      </c>
      <c r="W206">
        <f>IF($A206="","",IF(OR($T206=TRUE(),$T206="TRUE"),1,0))</f>
        <v/>
      </c>
      <c r="X206">
        <f>IF($U206=1,IFERROR(IF(VALUE($A206)&lt;100000000,VALUE($A206),1000000000),IFERROR(IF(VALUE(MID($A206,2,20))&lt;100000000,VALUE(MID($A206,2,20)),1000000000),1000000000))+ROW()/100000,"")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IF($A207="","",E207*N207/100)</f>
        <v/>
      </c>
      <c r="J207" s="7" t="n"/>
      <c r="K207" s="7">
        <f>IF($A207="","",S207*N207)</f>
        <v/>
      </c>
      <c r="L207" s="7">
        <f>IF($A207="","",N207-K207)</f>
        <v/>
      </c>
      <c r="M207" s="7">
        <f>IF($A207="","",L207-F207)</f>
        <v/>
      </c>
      <c r="N207" s="7" t="n"/>
      <c r="Q207" s="11" t="n"/>
      <c r="S207">
        <f>IF($A207="","",IF($W207=1,Settings!$C$6,Settings!$C$7)*1)</f>
        <v/>
      </c>
      <c r="U207">
        <f>IF($A207="","",IF(COUNTIF($A$2:$A207,$A207)=1,1,0))</f>
        <v/>
      </c>
      <c r="V207">
        <f>IF($U207=1,SUMPRODUCT(--($X$2:$X$501&lt;$X207))+1,"")</f>
        <v/>
      </c>
      <c r="W207">
        <f>IF($A207="","",IF(OR($T207=TRUE(),$T207="TRUE"),1,0))</f>
        <v/>
      </c>
      <c r="X207">
        <f>IF($U207=1,IFERROR(IF(VALUE($A207)&lt;100000000,VALUE($A207),1000000000),IFERROR(IF(VALUE(MID($A207,2,20))&lt;100000000,VALUE(MID($A207,2,20)),1000000000),1000000000))+ROW()/100000,"")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IF($A208="","",E208*N208/100)</f>
        <v/>
      </c>
      <c r="J208" s="7" t="n"/>
      <c r="K208" s="7">
        <f>IF($A208="","",S208*N208)</f>
        <v/>
      </c>
      <c r="L208" s="7">
        <f>IF($A208="","",N208-K208)</f>
        <v/>
      </c>
      <c r="M208" s="7">
        <f>IF($A208="","",L208-F208)</f>
        <v/>
      </c>
      <c r="N208" s="7" t="n"/>
      <c r="Q208" s="11" t="n"/>
      <c r="S208">
        <f>IF($A208="","",IF($W208=1,Settings!$C$6,Settings!$C$7)*1)</f>
        <v/>
      </c>
      <c r="U208">
        <f>IF($A208="","",IF(COUNTIF($A$2:$A208,$A208)=1,1,0))</f>
        <v/>
      </c>
      <c r="V208">
        <f>IF($U208=1,SUMPRODUCT(--($X$2:$X$501&lt;$X208))+1,"")</f>
        <v/>
      </c>
      <c r="W208">
        <f>IF($A208="","",IF(OR($T208=TRUE(),$T208="TRUE"),1,0))</f>
        <v/>
      </c>
      <c r="X208">
        <f>IF($U208=1,IFERROR(IF(VALUE($A208)&lt;100000000,VALUE($A208),1000000000),IFERROR(IF(VALUE(MID($A208,2,20))&lt;100000000,VALUE(MID($A208,2,20)),1000000000),1000000000))+ROW()/100000,"")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IF($A209="","",E209*N209/100)</f>
        <v/>
      </c>
      <c r="J209" s="7" t="n"/>
      <c r="K209" s="7">
        <f>IF($A209="","",S209*N209)</f>
        <v/>
      </c>
      <c r="L209" s="7">
        <f>IF($A209="","",N209-K209)</f>
        <v/>
      </c>
      <c r="M209" s="7">
        <f>IF($A209="","",L209-F209)</f>
        <v/>
      </c>
      <c r="N209" s="7" t="n"/>
      <c r="Q209" s="11" t="n"/>
      <c r="S209">
        <f>IF($A209="","",IF($W209=1,Settings!$C$6,Settings!$C$7)*1)</f>
        <v/>
      </c>
      <c r="U209">
        <f>IF($A209="","",IF(COUNTIF($A$2:$A209,$A209)=1,1,0))</f>
        <v/>
      </c>
      <c r="V209">
        <f>IF($U209=1,SUMPRODUCT(--($X$2:$X$501&lt;$X209))+1,"")</f>
        <v/>
      </c>
      <c r="W209">
        <f>IF($A209="","",IF(OR($T209=TRUE(),$T209="TRUE"),1,0))</f>
        <v/>
      </c>
      <c r="X209">
        <f>IF($U209=1,IFERROR(IF(VALUE($A209)&lt;100000000,VALUE($A209),1000000000),IFERROR(IF(VALUE(MID($A209,2,20))&lt;100000000,VALUE(MID($A209,2,20)),1000000000),1000000000))+ROW()/100000,"")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IF($A210="","",E210*N210/100)</f>
        <v/>
      </c>
      <c r="J210" s="7" t="n"/>
      <c r="K210" s="7">
        <f>IF($A210="","",S210*N210)</f>
        <v/>
      </c>
      <c r="L210" s="7">
        <f>IF($A210="","",N210-K210)</f>
        <v/>
      </c>
      <c r="M210" s="7">
        <f>IF($A210="","",L210-F210)</f>
        <v/>
      </c>
      <c r="N210" s="7" t="n"/>
      <c r="Q210" s="11" t="n"/>
      <c r="S210">
        <f>IF($A210="","",IF($W210=1,Settings!$C$6,Settings!$C$7)*1)</f>
        <v/>
      </c>
      <c r="U210">
        <f>IF($A210="","",IF(COUNTIF($A$2:$A210,$A210)=1,1,0))</f>
        <v/>
      </c>
      <c r="V210">
        <f>IF($U210=1,SUMPRODUCT(--($X$2:$X$501&lt;$X210))+1,"")</f>
        <v/>
      </c>
      <c r="W210">
        <f>IF($A210="","",IF(OR($T210=TRUE(),$T210="TRUE"),1,0))</f>
        <v/>
      </c>
      <c r="X210">
        <f>IF($U210=1,IFERROR(IF(VALUE($A210)&lt;100000000,VALUE($A210),1000000000),IFERROR(IF(VALUE(MID($A210,2,20))&lt;100000000,VALUE(MID($A210,2,20)),1000000000),1000000000))+ROW()/100000,"")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IF($A211="","",E211*N211/100)</f>
        <v/>
      </c>
      <c r="J211" s="7" t="n"/>
      <c r="K211" s="7">
        <f>IF($A211="","",S211*N211)</f>
        <v/>
      </c>
      <c r="L211" s="7">
        <f>IF($A211="","",N211-K211)</f>
        <v/>
      </c>
      <c r="M211" s="7">
        <f>IF($A211="","",L211-F211)</f>
        <v/>
      </c>
      <c r="N211" s="7" t="n"/>
      <c r="Q211" s="11" t="n"/>
      <c r="S211">
        <f>IF($A211="","",IF($W211=1,Settings!$C$6,Settings!$C$7)*1)</f>
        <v/>
      </c>
      <c r="U211">
        <f>IF($A211="","",IF(COUNTIF($A$2:$A211,$A211)=1,1,0))</f>
        <v/>
      </c>
      <c r="V211">
        <f>IF($U211=1,SUMPRODUCT(--($X$2:$X$501&lt;$X211))+1,"")</f>
        <v/>
      </c>
      <c r="W211">
        <f>IF($A211="","",IF(OR($T211=TRUE(),$T211="TRUE"),1,0))</f>
        <v/>
      </c>
      <c r="X211">
        <f>IF($U211=1,IFERROR(IF(VALUE($A211)&lt;100000000,VALUE($A211),1000000000),IFERROR(IF(VALUE(MID($A211,2,20))&lt;100000000,VALUE(MID($A211,2,20)),1000000000),1000000000))+ROW()/100000,"")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IF($A212="","",E212*N212/100)</f>
        <v/>
      </c>
      <c r="J212" s="7" t="n"/>
      <c r="K212" s="7">
        <f>IF($A212="","",S212*N212)</f>
        <v/>
      </c>
      <c r="L212" s="7">
        <f>IF($A212="","",N212-K212)</f>
        <v/>
      </c>
      <c r="M212" s="7">
        <f>IF($A212="","",L212-F212)</f>
        <v/>
      </c>
      <c r="N212" s="7" t="n"/>
      <c r="Q212" s="11" t="n"/>
      <c r="S212">
        <f>IF($A212="","",IF($W212=1,Settings!$C$6,Settings!$C$7)*1)</f>
        <v/>
      </c>
      <c r="U212">
        <f>IF($A212="","",IF(COUNTIF($A$2:$A212,$A212)=1,1,0))</f>
        <v/>
      </c>
      <c r="V212">
        <f>IF($U212=1,SUMPRODUCT(--($X$2:$X$501&lt;$X212))+1,"")</f>
        <v/>
      </c>
      <c r="W212">
        <f>IF($A212="","",IF(OR($T212=TRUE(),$T212="TRUE"),1,0))</f>
        <v/>
      </c>
      <c r="X212">
        <f>IF($U212=1,IFERROR(IF(VALUE($A212)&lt;100000000,VALUE($A212),1000000000),IFERROR(IF(VALUE(MID($A212,2,20))&lt;100000000,VALUE(MID($A212,2,20)),1000000000),1000000000))+ROW()/100000,"")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IF($A213="","",E213*N213/100)</f>
        <v/>
      </c>
      <c r="J213" s="7" t="n"/>
      <c r="K213" s="7">
        <f>IF($A213="","",S213*N213)</f>
        <v/>
      </c>
      <c r="L213" s="7">
        <f>IF($A213="","",N213-K213)</f>
        <v/>
      </c>
      <c r="M213" s="7">
        <f>IF($A213="","",L213-F213)</f>
        <v/>
      </c>
      <c r="N213" s="7" t="n"/>
      <c r="Q213" s="11" t="n"/>
      <c r="S213">
        <f>IF($A213="","",IF($W213=1,Settings!$C$6,Settings!$C$7)*1)</f>
        <v/>
      </c>
      <c r="U213">
        <f>IF($A213="","",IF(COUNTIF($A$2:$A213,$A213)=1,1,0))</f>
        <v/>
      </c>
      <c r="V213">
        <f>IF($U213=1,SUMPRODUCT(--($X$2:$X$501&lt;$X213))+1,"")</f>
        <v/>
      </c>
      <c r="W213">
        <f>IF($A213="","",IF(OR($T213=TRUE(),$T213="TRUE"),1,0))</f>
        <v/>
      </c>
      <c r="X213">
        <f>IF($U213=1,IFERROR(IF(VALUE($A213)&lt;100000000,VALUE($A213),1000000000),IFERROR(IF(VALUE(MID($A213,2,20))&lt;100000000,VALUE(MID($A213,2,20)),1000000000),1000000000))+ROW()/100000,"")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IF($A214="","",E214*N214/100)</f>
        <v/>
      </c>
      <c r="J214" s="7" t="n"/>
      <c r="K214" s="7">
        <f>IF($A214="","",S214*N214)</f>
        <v/>
      </c>
      <c r="L214" s="7">
        <f>IF($A214="","",N214-K214)</f>
        <v/>
      </c>
      <c r="M214" s="7">
        <f>IF($A214="","",L214-F214)</f>
        <v/>
      </c>
      <c r="N214" s="7" t="n"/>
      <c r="Q214" s="11" t="n"/>
      <c r="S214">
        <f>IF($A214="","",IF($W214=1,Settings!$C$6,Settings!$C$7)*1)</f>
        <v/>
      </c>
      <c r="U214">
        <f>IF($A214="","",IF(COUNTIF($A$2:$A214,$A214)=1,1,0))</f>
        <v/>
      </c>
      <c r="V214">
        <f>IF($U214=1,SUMPRODUCT(--($X$2:$X$501&lt;$X214))+1,"")</f>
        <v/>
      </c>
      <c r="W214">
        <f>IF($A214="","",IF(OR($T214=TRUE(),$T214="TRUE"),1,0))</f>
        <v/>
      </c>
      <c r="X214">
        <f>IF($U214=1,IFERROR(IF(VALUE($A214)&lt;100000000,VALUE($A214),1000000000),IFERROR(IF(VALUE(MID($A214,2,20))&lt;100000000,VALUE(MID($A214,2,20)),1000000000),1000000000))+ROW()/100000,"")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IF($A215="","",E215*N215/100)</f>
        <v/>
      </c>
      <c r="J215" s="7" t="n"/>
      <c r="K215" s="7">
        <f>IF($A215="","",S215*N215)</f>
        <v/>
      </c>
      <c r="L215" s="7">
        <f>IF($A215="","",N215-K215)</f>
        <v/>
      </c>
      <c r="M215" s="7">
        <f>IF($A215="","",L215-F215)</f>
        <v/>
      </c>
      <c r="N215" s="7" t="n"/>
      <c r="Q215" s="11" t="n"/>
      <c r="S215">
        <f>IF($A215="","",IF($W215=1,Settings!$C$6,Settings!$C$7)*1)</f>
        <v/>
      </c>
      <c r="U215">
        <f>IF($A215="","",IF(COUNTIF($A$2:$A215,$A215)=1,1,0))</f>
        <v/>
      </c>
      <c r="V215">
        <f>IF($U215=1,SUMPRODUCT(--($X$2:$X$501&lt;$X215))+1,"")</f>
        <v/>
      </c>
      <c r="W215">
        <f>IF($A215="","",IF(OR($T215=TRUE(),$T215="TRUE"),1,0))</f>
        <v/>
      </c>
      <c r="X215">
        <f>IF($U215=1,IFERROR(IF(VALUE($A215)&lt;100000000,VALUE($A215),1000000000),IFERROR(IF(VALUE(MID($A215,2,20))&lt;100000000,VALUE(MID($A215,2,20)),1000000000),1000000000))+ROW()/100000,"")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IF($A216="","",E216*N216/100)</f>
        <v/>
      </c>
      <c r="J216" s="7" t="n"/>
      <c r="K216" s="7">
        <f>IF($A216="","",S216*N216)</f>
        <v/>
      </c>
      <c r="L216" s="7">
        <f>IF($A216="","",N216-K216)</f>
        <v/>
      </c>
      <c r="M216" s="7">
        <f>IF($A216="","",L216-F216)</f>
        <v/>
      </c>
      <c r="N216" s="7" t="n"/>
      <c r="Q216" s="11" t="n"/>
      <c r="S216">
        <f>IF($A216="","",IF($W216=1,Settings!$C$6,Settings!$C$7)*1)</f>
        <v/>
      </c>
      <c r="U216">
        <f>IF($A216="","",IF(COUNTIF($A$2:$A216,$A216)=1,1,0))</f>
        <v/>
      </c>
      <c r="V216">
        <f>IF($U216=1,SUMPRODUCT(--($X$2:$X$501&lt;$X216))+1,"")</f>
        <v/>
      </c>
      <c r="W216">
        <f>IF($A216="","",IF(OR($T216=TRUE(),$T216="TRUE"),1,0))</f>
        <v/>
      </c>
      <c r="X216">
        <f>IF($U216=1,IFERROR(IF(VALUE($A216)&lt;100000000,VALUE($A216),1000000000),IFERROR(IF(VALUE(MID($A216,2,20))&lt;100000000,VALUE(MID($A216,2,20)),1000000000),1000000000))+ROW()/100000,"")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IF($A217="","",E217*N217/100)</f>
        <v/>
      </c>
      <c r="J217" s="7" t="n"/>
      <c r="K217" s="7">
        <f>IF($A217="","",S217*N217)</f>
        <v/>
      </c>
      <c r="L217" s="7">
        <f>IF($A217="","",N217-K217)</f>
        <v/>
      </c>
      <c r="M217" s="7">
        <f>IF($A217="","",L217-F217)</f>
        <v/>
      </c>
      <c r="N217" s="7" t="n"/>
      <c r="Q217" s="11" t="n"/>
      <c r="S217">
        <f>IF($A217="","",IF($W217=1,Settings!$C$6,Settings!$C$7)*1)</f>
        <v/>
      </c>
      <c r="U217">
        <f>IF($A217="","",IF(COUNTIF($A$2:$A217,$A217)=1,1,0))</f>
        <v/>
      </c>
      <c r="V217">
        <f>IF($U217=1,SUMPRODUCT(--($X$2:$X$501&lt;$X217))+1,"")</f>
        <v/>
      </c>
      <c r="W217">
        <f>IF($A217="","",IF(OR($T217=TRUE(),$T217="TRUE"),1,0))</f>
        <v/>
      </c>
      <c r="X217">
        <f>IF($U217=1,IFERROR(IF(VALUE($A217)&lt;100000000,VALUE($A217),1000000000),IFERROR(IF(VALUE(MID($A217,2,20))&lt;100000000,VALUE(MID($A217,2,20)),1000000000),1000000000))+ROW()/100000,"")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IF($A218="","",E218*N218/100)</f>
        <v/>
      </c>
      <c r="J218" s="7" t="n"/>
      <c r="K218" s="7">
        <f>IF($A218="","",S218*N218)</f>
        <v/>
      </c>
      <c r="L218" s="7">
        <f>IF($A218="","",N218-K218)</f>
        <v/>
      </c>
      <c r="M218" s="7">
        <f>IF($A218="","",L218-F218)</f>
        <v/>
      </c>
      <c r="N218" s="7" t="n"/>
      <c r="Q218" s="11" t="n"/>
      <c r="S218">
        <f>IF($A218="","",IF($W218=1,Settings!$C$6,Settings!$C$7)*1)</f>
        <v/>
      </c>
      <c r="U218">
        <f>IF($A218="","",IF(COUNTIF($A$2:$A218,$A218)=1,1,0))</f>
        <v/>
      </c>
      <c r="V218">
        <f>IF($U218=1,SUMPRODUCT(--($X$2:$X$501&lt;$X218))+1,"")</f>
        <v/>
      </c>
      <c r="W218">
        <f>IF($A218="","",IF(OR($T218=TRUE(),$T218="TRUE"),1,0))</f>
        <v/>
      </c>
      <c r="X218">
        <f>IF($U218=1,IFERROR(IF(VALUE($A218)&lt;100000000,VALUE($A218),1000000000),IFERROR(IF(VALUE(MID($A218,2,20))&lt;100000000,VALUE(MID($A218,2,20)),1000000000),1000000000))+ROW()/100000,"")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IF($A219="","",E219*N219/100)</f>
        <v/>
      </c>
      <c r="J219" s="7" t="n"/>
      <c r="K219" s="7">
        <f>IF($A219="","",S219*N219)</f>
        <v/>
      </c>
      <c r="L219" s="7">
        <f>IF($A219="","",N219-K219)</f>
        <v/>
      </c>
      <c r="M219" s="7">
        <f>IF($A219="","",L219-F219)</f>
        <v/>
      </c>
      <c r="N219" s="7" t="n"/>
      <c r="Q219" s="11" t="n"/>
      <c r="S219">
        <f>IF($A219="","",IF($W219=1,Settings!$C$6,Settings!$C$7)*1)</f>
        <v/>
      </c>
      <c r="U219">
        <f>IF($A219="","",IF(COUNTIF($A$2:$A219,$A219)=1,1,0))</f>
        <v/>
      </c>
      <c r="V219">
        <f>IF($U219=1,SUMPRODUCT(--($X$2:$X$501&lt;$X219))+1,"")</f>
        <v/>
      </c>
      <c r="W219">
        <f>IF($A219="","",IF(OR($T219=TRUE(),$T219="TRUE"),1,0))</f>
        <v/>
      </c>
      <c r="X219">
        <f>IF($U219=1,IFERROR(IF(VALUE($A219)&lt;100000000,VALUE($A219),1000000000),IFERROR(IF(VALUE(MID($A219,2,20))&lt;100000000,VALUE(MID($A219,2,20)),1000000000),1000000000))+ROW()/100000,"")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IF($A220="","",E220*N220/100)</f>
        <v/>
      </c>
      <c r="J220" s="7" t="n"/>
      <c r="K220" s="7">
        <f>IF($A220="","",S220*N220)</f>
        <v/>
      </c>
      <c r="L220" s="7">
        <f>IF($A220="","",N220-K220)</f>
        <v/>
      </c>
      <c r="M220" s="7">
        <f>IF($A220="","",L220-F220)</f>
        <v/>
      </c>
      <c r="N220" s="7" t="n"/>
      <c r="Q220" s="11" t="n"/>
      <c r="S220">
        <f>IF($A220="","",IF($W220=1,Settings!$C$6,Settings!$C$7)*1)</f>
        <v/>
      </c>
      <c r="U220">
        <f>IF($A220="","",IF(COUNTIF($A$2:$A220,$A220)=1,1,0))</f>
        <v/>
      </c>
      <c r="V220">
        <f>IF($U220=1,SUMPRODUCT(--($X$2:$X$501&lt;$X220))+1,"")</f>
        <v/>
      </c>
      <c r="W220">
        <f>IF($A220="","",IF(OR($T220=TRUE(),$T220="TRUE"),1,0))</f>
        <v/>
      </c>
      <c r="X220">
        <f>IF($U220=1,IFERROR(IF(VALUE($A220)&lt;100000000,VALUE($A220),1000000000),IFERROR(IF(VALUE(MID($A220,2,20))&lt;100000000,VALUE(MID($A220,2,20)),1000000000),1000000000))+ROW()/100000,"")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IF($A221="","",E221*N221/100)</f>
        <v/>
      </c>
      <c r="J221" s="7" t="n"/>
      <c r="K221" s="7">
        <f>IF($A221="","",S221*N221)</f>
        <v/>
      </c>
      <c r="L221" s="7">
        <f>IF($A221="","",N221-K221)</f>
        <v/>
      </c>
      <c r="M221" s="7">
        <f>IF($A221="","",L221-F221)</f>
        <v/>
      </c>
      <c r="N221" s="7" t="n"/>
      <c r="Q221" s="11" t="n"/>
      <c r="S221">
        <f>IF($A221="","",IF($W221=1,Settings!$C$6,Settings!$C$7)*1)</f>
        <v/>
      </c>
      <c r="U221">
        <f>IF($A221="","",IF(COUNTIF($A$2:$A221,$A221)=1,1,0))</f>
        <v/>
      </c>
      <c r="V221">
        <f>IF($U221=1,SUMPRODUCT(--($X$2:$X$501&lt;$X221))+1,"")</f>
        <v/>
      </c>
      <c r="W221">
        <f>IF($A221="","",IF(OR($T221=TRUE(),$T221="TRUE"),1,0))</f>
        <v/>
      </c>
      <c r="X221">
        <f>IF($U221=1,IFERROR(IF(VALUE($A221)&lt;100000000,VALUE($A221),1000000000),IFERROR(IF(VALUE(MID($A221,2,20))&lt;100000000,VALUE(MID($A221,2,20)),1000000000),1000000000))+ROW()/100000,"")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IF($A222="","",E222*N222/100)</f>
        <v/>
      </c>
      <c r="J222" s="7" t="n"/>
      <c r="K222" s="7">
        <f>IF($A222="","",S222*N222)</f>
        <v/>
      </c>
      <c r="L222" s="7">
        <f>IF($A222="","",N222-K222)</f>
        <v/>
      </c>
      <c r="M222" s="7">
        <f>IF($A222="","",L222-F222)</f>
        <v/>
      </c>
      <c r="N222" s="7" t="n"/>
      <c r="Q222" s="11" t="n"/>
      <c r="S222">
        <f>IF($A222="","",IF($W222=1,Settings!$C$6,Settings!$C$7)*1)</f>
        <v/>
      </c>
      <c r="U222">
        <f>IF($A222="","",IF(COUNTIF($A$2:$A222,$A222)=1,1,0))</f>
        <v/>
      </c>
      <c r="V222">
        <f>IF($U222=1,SUMPRODUCT(--($X$2:$X$501&lt;$X222))+1,"")</f>
        <v/>
      </c>
      <c r="W222">
        <f>IF($A222="","",IF(OR($T222=TRUE(),$T222="TRUE"),1,0))</f>
        <v/>
      </c>
      <c r="X222">
        <f>IF($U222=1,IFERROR(IF(VALUE($A222)&lt;100000000,VALUE($A222),1000000000),IFERROR(IF(VALUE(MID($A222,2,20))&lt;100000000,VALUE(MID($A222,2,20)),1000000000),1000000000))+ROW()/100000,"")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IF($A223="","",E223*N223/100)</f>
        <v/>
      </c>
      <c r="J223" s="7" t="n"/>
      <c r="K223" s="7">
        <f>IF($A223="","",S223*N223)</f>
        <v/>
      </c>
      <c r="L223" s="7">
        <f>IF($A223="","",N223-K223)</f>
        <v/>
      </c>
      <c r="M223" s="7">
        <f>IF($A223="","",L223-F223)</f>
        <v/>
      </c>
      <c r="N223" s="7" t="n"/>
      <c r="Q223" s="11" t="n"/>
      <c r="S223">
        <f>IF($A223="","",IF($W223=1,Settings!$C$6,Settings!$C$7)*1)</f>
        <v/>
      </c>
      <c r="U223">
        <f>IF($A223="","",IF(COUNTIF($A$2:$A223,$A223)=1,1,0))</f>
        <v/>
      </c>
      <c r="V223">
        <f>IF($U223=1,SUMPRODUCT(--($X$2:$X$501&lt;$X223))+1,"")</f>
        <v/>
      </c>
      <c r="W223">
        <f>IF($A223="","",IF(OR($T223=TRUE(),$T223="TRUE"),1,0))</f>
        <v/>
      </c>
      <c r="X223">
        <f>IF($U223=1,IFERROR(IF(VALUE($A223)&lt;100000000,VALUE($A223),1000000000),IFERROR(IF(VALUE(MID($A223,2,20))&lt;100000000,VALUE(MID($A223,2,20)),1000000000),1000000000))+ROW()/100000,"")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IF($A224="","",E224*N224/100)</f>
        <v/>
      </c>
      <c r="J224" s="7" t="n"/>
      <c r="K224" s="7">
        <f>IF($A224="","",S224*N224)</f>
        <v/>
      </c>
      <c r="L224" s="7">
        <f>IF($A224="","",N224-K224)</f>
        <v/>
      </c>
      <c r="M224" s="7">
        <f>IF($A224="","",L224-F224)</f>
        <v/>
      </c>
      <c r="N224" s="7" t="n"/>
      <c r="Q224" s="11" t="n"/>
      <c r="S224">
        <f>IF($A224="","",IF($W224=1,Settings!$C$6,Settings!$C$7)*1)</f>
        <v/>
      </c>
      <c r="U224">
        <f>IF($A224="","",IF(COUNTIF($A$2:$A224,$A224)=1,1,0))</f>
        <v/>
      </c>
      <c r="V224">
        <f>IF($U224=1,SUMPRODUCT(--($X$2:$X$501&lt;$X224))+1,"")</f>
        <v/>
      </c>
      <c r="W224">
        <f>IF($A224="","",IF(OR($T224=TRUE(),$T224="TRUE"),1,0))</f>
        <v/>
      </c>
      <c r="X224">
        <f>IF($U224=1,IFERROR(IF(VALUE($A224)&lt;100000000,VALUE($A224),1000000000),IFERROR(IF(VALUE(MID($A224,2,20))&lt;100000000,VALUE(MID($A224,2,20)),1000000000),1000000000))+ROW()/100000,"")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IF($A225="","",E225*N225/100)</f>
        <v/>
      </c>
      <c r="J225" s="7" t="n"/>
      <c r="K225" s="7">
        <f>IF($A225="","",S225*N225)</f>
        <v/>
      </c>
      <c r="L225" s="7">
        <f>IF($A225="","",N225-K225)</f>
        <v/>
      </c>
      <c r="M225" s="7">
        <f>IF($A225="","",L225-F225)</f>
        <v/>
      </c>
      <c r="N225" s="7" t="n"/>
      <c r="Q225" s="11" t="n"/>
      <c r="S225">
        <f>IF($A225="","",IF($W225=1,Settings!$C$6,Settings!$C$7)*1)</f>
        <v/>
      </c>
      <c r="U225">
        <f>IF($A225="","",IF(COUNTIF($A$2:$A225,$A225)=1,1,0))</f>
        <v/>
      </c>
      <c r="V225">
        <f>IF($U225=1,SUMPRODUCT(--($X$2:$X$501&lt;$X225))+1,"")</f>
        <v/>
      </c>
      <c r="W225">
        <f>IF($A225="","",IF(OR($T225=TRUE(),$T225="TRUE"),1,0))</f>
        <v/>
      </c>
      <c r="X225">
        <f>IF($U225=1,IFERROR(IF(VALUE($A225)&lt;100000000,VALUE($A225),1000000000),IFERROR(IF(VALUE(MID($A225,2,20))&lt;100000000,VALUE(MID($A225,2,20)),1000000000),1000000000))+ROW()/100000,"")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IF($A226="","",E226*N226/100)</f>
        <v/>
      </c>
      <c r="J226" s="7" t="n"/>
      <c r="K226" s="7">
        <f>IF($A226="","",S226*N226)</f>
        <v/>
      </c>
      <c r="L226" s="7">
        <f>IF($A226="","",N226-K226)</f>
        <v/>
      </c>
      <c r="M226" s="7">
        <f>IF($A226="","",L226-F226)</f>
        <v/>
      </c>
      <c r="N226" s="7" t="n"/>
      <c r="Q226" s="11" t="n"/>
      <c r="S226">
        <f>IF($A226="","",IF($W226=1,Settings!$C$6,Settings!$C$7)*1)</f>
        <v/>
      </c>
      <c r="U226">
        <f>IF($A226="","",IF(COUNTIF($A$2:$A226,$A226)=1,1,0))</f>
        <v/>
      </c>
      <c r="V226">
        <f>IF($U226=1,SUMPRODUCT(--($X$2:$X$501&lt;$X226))+1,"")</f>
        <v/>
      </c>
      <c r="W226">
        <f>IF($A226="","",IF(OR($T226=TRUE(),$T226="TRUE"),1,0))</f>
        <v/>
      </c>
      <c r="X226">
        <f>IF($U226=1,IFERROR(IF(VALUE($A226)&lt;100000000,VALUE($A226),1000000000),IFERROR(IF(VALUE(MID($A226,2,20))&lt;100000000,VALUE(MID($A226,2,20)),1000000000),1000000000))+ROW()/100000,"")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IF($A227="","",E227*N227/100)</f>
        <v/>
      </c>
      <c r="J227" s="7" t="n"/>
      <c r="K227" s="7">
        <f>IF($A227="","",S227*N227)</f>
        <v/>
      </c>
      <c r="L227" s="7">
        <f>IF($A227="","",N227-K227)</f>
        <v/>
      </c>
      <c r="M227" s="7">
        <f>IF($A227="","",L227-F227)</f>
        <v/>
      </c>
      <c r="N227" s="7" t="n"/>
      <c r="Q227" s="11" t="n"/>
      <c r="S227">
        <f>IF($A227="","",IF($W227=1,Settings!$C$6,Settings!$C$7)*1)</f>
        <v/>
      </c>
      <c r="U227">
        <f>IF($A227="","",IF(COUNTIF($A$2:$A227,$A227)=1,1,0))</f>
        <v/>
      </c>
      <c r="V227">
        <f>IF($U227=1,SUMPRODUCT(--($X$2:$X$501&lt;$X227))+1,"")</f>
        <v/>
      </c>
      <c r="W227">
        <f>IF($A227="","",IF(OR($T227=TRUE(),$T227="TRUE"),1,0))</f>
        <v/>
      </c>
      <c r="X227">
        <f>IF($U227=1,IFERROR(IF(VALUE($A227)&lt;100000000,VALUE($A227),1000000000),IFERROR(IF(VALUE(MID($A227,2,20))&lt;100000000,VALUE(MID($A227,2,20)),1000000000),1000000000))+ROW()/100000,"")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IF($A228="","",E228*N228/100)</f>
        <v/>
      </c>
      <c r="J228" s="7" t="n"/>
      <c r="K228" s="7">
        <f>IF($A228="","",S228*N228)</f>
        <v/>
      </c>
      <c r="L228" s="7">
        <f>IF($A228="","",N228-K228)</f>
        <v/>
      </c>
      <c r="M228" s="7">
        <f>IF($A228="","",L228-F228)</f>
        <v/>
      </c>
      <c r="N228" s="7" t="n"/>
      <c r="Q228" s="11" t="n"/>
      <c r="S228">
        <f>IF($A228="","",IF($W228=1,Settings!$C$6,Settings!$C$7)*1)</f>
        <v/>
      </c>
      <c r="U228">
        <f>IF($A228="","",IF(COUNTIF($A$2:$A228,$A228)=1,1,0))</f>
        <v/>
      </c>
      <c r="V228">
        <f>IF($U228=1,SUMPRODUCT(--($X$2:$X$501&lt;$X228))+1,"")</f>
        <v/>
      </c>
      <c r="W228">
        <f>IF($A228="","",IF(OR($T228=TRUE(),$T228="TRUE"),1,0))</f>
        <v/>
      </c>
      <c r="X228">
        <f>IF($U228=1,IFERROR(IF(VALUE($A228)&lt;100000000,VALUE($A228),1000000000),IFERROR(IF(VALUE(MID($A228,2,20))&lt;100000000,VALUE(MID($A228,2,20)),1000000000),1000000000))+ROW()/100000,"")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IF($A229="","",E229*N229/100)</f>
        <v/>
      </c>
      <c r="J229" s="7" t="n"/>
      <c r="K229" s="7">
        <f>IF($A229="","",S229*N229)</f>
        <v/>
      </c>
      <c r="L229" s="7">
        <f>IF($A229="","",N229-K229)</f>
        <v/>
      </c>
      <c r="M229" s="7">
        <f>IF($A229="","",L229-F229)</f>
        <v/>
      </c>
      <c r="N229" s="7" t="n"/>
      <c r="Q229" s="11" t="n"/>
      <c r="S229">
        <f>IF($A229="","",IF($W229=1,Settings!$C$6,Settings!$C$7)*1)</f>
        <v/>
      </c>
      <c r="U229">
        <f>IF($A229="","",IF(COUNTIF($A$2:$A229,$A229)=1,1,0))</f>
        <v/>
      </c>
      <c r="V229">
        <f>IF($U229=1,SUMPRODUCT(--($X$2:$X$501&lt;$X229))+1,"")</f>
        <v/>
      </c>
      <c r="W229">
        <f>IF($A229="","",IF(OR($T229=TRUE(),$T229="TRUE"),1,0))</f>
        <v/>
      </c>
      <c r="X229">
        <f>IF($U229=1,IFERROR(IF(VALUE($A229)&lt;100000000,VALUE($A229),1000000000),IFERROR(IF(VALUE(MID($A229,2,20))&lt;100000000,VALUE(MID($A229,2,20)),1000000000),1000000000))+ROW()/100000,"")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IF($A230="","",E230*N230/100)</f>
        <v/>
      </c>
      <c r="J230" s="7" t="n"/>
      <c r="K230" s="7">
        <f>IF($A230="","",S230*N230)</f>
        <v/>
      </c>
      <c r="L230" s="7">
        <f>IF($A230="","",N230-K230)</f>
        <v/>
      </c>
      <c r="M230" s="7">
        <f>IF($A230="","",L230-F230)</f>
        <v/>
      </c>
      <c r="N230" s="7" t="n"/>
      <c r="Q230" s="11" t="n"/>
      <c r="S230">
        <f>IF($A230="","",IF($W230=1,Settings!$C$6,Settings!$C$7)*1)</f>
        <v/>
      </c>
      <c r="U230">
        <f>IF($A230="","",IF(COUNTIF($A$2:$A230,$A230)=1,1,0))</f>
        <v/>
      </c>
      <c r="V230">
        <f>IF($U230=1,SUMPRODUCT(--($X$2:$X$501&lt;$X230))+1,"")</f>
        <v/>
      </c>
      <c r="W230">
        <f>IF($A230="","",IF(OR($T230=TRUE(),$T230="TRUE"),1,0))</f>
        <v/>
      </c>
      <c r="X230">
        <f>IF($U230=1,IFERROR(IF(VALUE($A230)&lt;100000000,VALUE($A230),1000000000),IFERROR(IF(VALUE(MID($A230,2,20))&lt;100000000,VALUE(MID($A230,2,20)),1000000000),1000000000))+ROW()/100000,"")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IF($A231="","",E231*N231/100)</f>
        <v/>
      </c>
      <c r="J231" s="7" t="n"/>
      <c r="K231" s="7">
        <f>IF($A231="","",S231*N231)</f>
        <v/>
      </c>
      <c r="L231" s="7">
        <f>IF($A231="","",N231-K231)</f>
        <v/>
      </c>
      <c r="M231" s="7">
        <f>IF($A231="","",L231-F231)</f>
        <v/>
      </c>
      <c r="N231" s="7" t="n"/>
      <c r="Q231" s="11" t="n"/>
      <c r="S231">
        <f>IF($A231="","",IF($W231=1,Settings!$C$6,Settings!$C$7)*1)</f>
        <v/>
      </c>
      <c r="U231">
        <f>IF($A231="","",IF(COUNTIF($A$2:$A231,$A231)=1,1,0))</f>
        <v/>
      </c>
      <c r="V231">
        <f>IF($U231=1,SUMPRODUCT(--($X$2:$X$501&lt;$X231))+1,"")</f>
        <v/>
      </c>
      <c r="W231">
        <f>IF($A231="","",IF(OR($T231=TRUE(),$T231="TRUE"),1,0))</f>
        <v/>
      </c>
      <c r="X231">
        <f>IF($U231=1,IFERROR(IF(VALUE($A231)&lt;100000000,VALUE($A231),1000000000),IFERROR(IF(VALUE(MID($A231,2,20))&lt;100000000,VALUE(MID($A231,2,20)),1000000000),1000000000))+ROW()/100000,"")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IF($A232="","",E232*N232/100)</f>
        <v/>
      </c>
      <c r="J232" s="7" t="n"/>
      <c r="K232" s="7">
        <f>IF($A232="","",S232*N232)</f>
        <v/>
      </c>
      <c r="L232" s="7">
        <f>IF($A232="","",N232-K232)</f>
        <v/>
      </c>
      <c r="M232" s="7">
        <f>IF($A232="","",L232-F232)</f>
        <v/>
      </c>
      <c r="N232" s="7" t="n"/>
      <c r="Q232" s="11" t="n"/>
      <c r="S232">
        <f>IF($A232="","",IF($W232=1,Settings!$C$6,Settings!$C$7)*1)</f>
        <v/>
      </c>
      <c r="U232">
        <f>IF($A232="","",IF(COUNTIF($A$2:$A232,$A232)=1,1,0))</f>
        <v/>
      </c>
      <c r="V232">
        <f>IF($U232=1,SUMPRODUCT(--($X$2:$X$501&lt;$X232))+1,"")</f>
        <v/>
      </c>
      <c r="W232">
        <f>IF($A232="","",IF(OR($T232=TRUE(),$T232="TRUE"),1,0))</f>
        <v/>
      </c>
      <c r="X232">
        <f>IF($U232=1,IFERROR(IF(VALUE($A232)&lt;100000000,VALUE($A232),1000000000),IFERROR(IF(VALUE(MID($A232,2,20))&lt;100000000,VALUE(MID($A232,2,20)),1000000000),1000000000))+ROW()/100000,"")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IF($A233="","",E233*N233/100)</f>
        <v/>
      </c>
      <c r="J233" s="7" t="n"/>
      <c r="K233" s="7">
        <f>IF($A233="","",S233*N233)</f>
        <v/>
      </c>
      <c r="L233" s="7">
        <f>IF($A233="","",N233-K233)</f>
        <v/>
      </c>
      <c r="M233" s="7">
        <f>IF($A233="","",L233-F233)</f>
        <v/>
      </c>
      <c r="N233" s="7" t="n"/>
      <c r="Q233" s="11" t="n"/>
      <c r="S233">
        <f>IF($A233="","",IF($W233=1,Settings!$C$6,Settings!$C$7)*1)</f>
        <v/>
      </c>
      <c r="U233">
        <f>IF($A233="","",IF(COUNTIF($A$2:$A233,$A233)=1,1,0))</f>
        <v/>
      </c>
      <c r="V233">
        <f>IF($U233=1,SUMPRODUCT(--($X$2:$X$501&lt;$X233))+1,"")</f>
        <v/>
      </c>
      <c r="W233">
        <f>IF($A233="","",IF(OR($T233=TRUE(),$T233="TRUE"),1,0))</f>
        <v/>
      </c>
      <c r="X233">
        <f>IF($U233=1,IFERROR(IF(VALUE($A233)&lt;100000000,VALUE($A233),1000000000),IFERROR(IF(VALUE(MID($A233,2,20))&lt;100000000,VALUE(MID($A233,2,20)),1000000000),1000000000))+ROW()/100000,"")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IF($A234="","",E234*N234/100)</f>
        <v/>
      </c>
      <c r="J234" s="7" t="n"/>
      <c r="K234" s="7">
        <f>IF($A234="","",S234*N234)</f>
        <v/>
      </c>
      <c r="L234" s="7">
        <f>IF($A234="","",N234-K234)</f>
        <v/>
      </c>
      <c r="M234" s="7">
        <f>IF($A234="","",L234-F234)</f>
        <v/>
      </c>
      <c r="N234" s="7" t="n"/>
      <c r="Q234" s="11" t="n"/>
      <c r="S234">
        <f>IF($A234="","",IF($W234=1,Settings!$C$6,Settings!$C$7)*1)</f>
        <v/>
      </c>
      <c r="U234">
        <f>IF($A234="","",IF(COUNTIF($A$2:$A234,$A234)=1,1,0))</f>
        <v/>
      </c>
      <c r="V234">
        <f>IF($U234=1,SUMPRODUCT(--($X$2:$X$501&lt;$X234))+1,"")</f>
        <v/>
      </c>
      <c r="W234">
        <f>IF($A234="","",IF(OR($T234=TRUE(),$T234="TRUE"),1,0))</f>
        <v/>
      </c>
      <c r="X234">
        <f>IF($U234=1,IFERROR(IF(VALUE($A234)&lt;100000000,VALUE($A234),1000000000),IFERROR(IF(VALUE(MID($A234,2,20))&lt;100000000,VALUE(MID($A234,2,20)),1000000000),1000000000))+ROW()/100000,"")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IF($A235="","",E235*N235/100)</f>
        <v/>
      </c>
      <c r="J235" s="7" t="n"/>
      <c r="K235" s="7">
        <f>IF($A235="","",S235*N235)</f>
        <v/>
      </c>
      <c r="L235" s="7">
        <f>IF($A235="","",N235-K235)</f>
        <v/>
      </c>
      <c r="M235" s="7">
        <f>IF($A235="","",L235-F235)</f>
        <v/>
      </c>
      <c r="N235" s="7" t="n"/>
      <c r="Q235" s="11" t="n"/>
      <c r="S235">
        <f>IF($A235="","",IF($W235=1,Settings!$C$6,Settings!$C$7)*1)</f>
        <v/>
      </c>
      <c r="U235">
        <f>IF($A235="","",IF(COUNTIF($A$2:$A235,$A235)=1,1,0))</f>
        <v/>
      </c>
      <c r="V235">
        <f>IF($U235=1,SUMPRODUCT(--($X$2:$X$501&lt;$X235))+1,"")</f>
        <v/>
      </c>
      <c r="W235">
        <f>IF($A235="","",IF(OR($T235=TRUE(),$T235="TRUE"),1,0))</f>
        <v/>
      </c>
      <c r="X235">
        <f>IF($U235=1,IFERROR(IF(VALUE($A235)&lt;100000000,VALUE($A235),1000000000),IFERROR(IF(VALUE(MID($A235,2,20))&lt;100000000,VALUE(MID($A235,2,20)),1000000000),1000000000))+ROW()/100000,"")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IF($A236="","",E236*N236/100)</f>
        <v/>
      </c>
      <c r="J236" s="7" t="n"/>
      <c r="K236" s="7">
        <f>IF($A236="","",S236*N236)</f>
        <v/>
      </c>
      <c r="L236" s="7">
        <f>IF($A236="","",N236-K236)</f>
        <v/>
      </c>
      <c r="M236" s="7">
        <f>IF($A236="","",L236-F236)</f>
        <v/>
      </c>
      <c r="N236" s="7" t="n"/>
      <c r="Q236" s="11" t="n"/>
      <c r="S236">
        <f>IF($A236="","",IF($W236=1,Settings!$C$6,Settings!$C$7)*1)</f>
        <v/>
      </c>
      <c r="U236">
        <f>IF($A236="","",IF(COUNTIF($A$2:$A236,$A236)=1,1,0))</f>
        <v/>
      </c>
      <c r="V236">
        <f>IF($U236=1,SUMPRODUCT(--($X$2:$X$501&lt;$X236))+1,"")</f>
        <v/>
      </c>
      <c r="W236">
        <f>IF($A236="","",IF(OR($T236=TRUE(),$T236="TRUE"),1,0))</f>
        <v/>
      </c>
      <c r="X236">
        <f>IF($U236=1,IFERROR(IF(VALUE($A236)&lt;100000000,VALUE($A236),1000000000),IFERROR(IF(VALUE(MID($A236,2,20))&lt;100000000,VALUE(MID($A236,2,20)),1000000000),1000000000))+ROW()/100000,"")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IF($A237="","",E237*N237/100)</f>
        <v/>
      </c>
      <c r="J237" s="7" t="n"/>
      <c r="K237" s="7">
        <f>IF($A237="","",S237*N237)</f>
        <v/>
      </c>
      <c r="L237" s="7">
        <f>IF($A237="","",N237-K237)</f>
        <v/>
      </c>
      <c r="M237" s="7">
        <f>IF($A237="","",L237-F237)</f>
        <v/>
      </c>
      <c r="N237" s="7" t="n"/>
      <c r="Q237" s="11" t="n"/>
      <c r="S237">
        <f>IF($A237="","",IF($W237=1,Settings!$C$6,Settings!$C$7)*1)</f>
        <v/>
      </c>
      <c r="U237">
        <f>IF($A237="","",IF(COUNTIF($A$2:$A237,$A237)=1,1,0))</f>
        <v/>
      </c>
      <c r="V237">
        <f>IF($U237=1,SUMPRODUCT(--($X$2:$X$501&lt;$X237))+1,"")</f>
        <v/>
      </c>
      <c r="W237">
        <f>IF($A237="","",IF(OR($T237=TRUE(),$T237="TRUE"),1,0))</f>
        <v/>
      </c>
      <c r="X237">
        <f>IF($U237=1,IFERROR(IF(VALUE($A237)&lt;100000000,VALUE($A237),1000000000),IFERROR(IF(VALUE(MID($A237,2,20))&lt;100000000,VALUE(MID($A237,2,20)),1000000000),1000000000))+ROW()/100000,"")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IF($A238="","",E238*N238/100)</f>
        <v/>
      </c>
      <c r="J238" s="7" t="n"/>
      <c r="K238" s="7">
        <f>IF($A238="","",S238*N238)</f>
        <v/>
      </c>
      <c r="L238" s="7">
        <f>IF($A238="","",N238-K238)</f>
        <v/>
      </c>
      <c r="M238" s="7">
        <f>IF($A238="","",L238-F238)</f>
        <v/>
      </c>
      <c r="N238" s="7" t="n"/>
      <c r="Q238" s="11" t="n"/>
      <c r="S238">
        <f>IF($A238="","",IF($W238=1,Settings!$C$6,Settings!$C$7)*1)</f>
        <v/>
      </c>
      <c r="U238">
        <f>IF($A238="","",IF(COUNTIF($A$2:$A238,$A238)=1,1,0))</f>
        <v/>
      </c>
      <c r="V238">
        <f>IF($U238=1,SUMPRODUCT(--($X$2:$X$501&lt;$X238))+1,"")</f>
        <v/>
      </c>
      <c r="W238">
        <f>IF($A238="","",IF(OR($T238=TRUE(),$T238="TRUE"),1,0))</f>
        <v/>
      </c>
      <c r="X238">
        <f>IF($U238=1,IFERROR(IF(VALUE($A238)&lt;100000000,VALUE($A238),1000000000),IFERROR(IF(VALUE(MID($A238,2,20))&lt;100000000,VALUE(MID($A238,2,20)),1000000000),1000000000))+ROW()/100000,"")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IF($A239="","",E239*N239/100)</f>
        <v/>
      </c>
      <c r="J239" s="7" t="n"/>
      <c r="K239" s="7">
        <f>IF($A239="","",S239*N239)</f>
        <v/>
      </c>
      <c r="L239" s="7">
        <f>IF($A239="","",N239-K239)</f>
        <v/>
      </c>
      <c r="M239" s="7">
        <f>IF($A239="","",L239-F239)</f>
        <v/>
      </c>
      <c r="N239" s="7" t="n"/>
      <c r="Q239" s="11" t="n"/>
      <c r="S239">
        <f>IF($A239="","",IF($W239=1,Settings!$C$6,Settings!$C$7)*1)</f>
        <v/>
      </c>
      <c r="U239">
        <f>IF($A239="","",IF(COUNTIF($A$2:$A239,$A239)=1,1,0))</f>
        <v/>
      </c>
      <c r="V239">
        <f>IF($U239=1,SUMPRODUCT(--($X$2:$X$501&lt;$X239))+1,"")</f>
        <v/>
      </c>
      <c r="W239">
        <f>IF($A239="","",IF(OR($T239=TRUE(),$T239="TRUE"),1,0))</f>
        <v/>
      </c>
      <c r="X239">
        <f>IF($U239=1,IFERROR(IF(VALUE($A239)&lt;100000000,VALUE($A239),1000000000),IFERROR(IF(VALUE(MID($A239,2,20))&lt;100000000,VALUE(MID($A239,2,20)),1000000000),1000000000))+ROW()/100000,"")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IF($A240="","",E240*N240/100)</f>
        <v/>
      </c>
      <c r="J240" s="7" t="n"/>
      <c r="K240" s="7">
        <f>IF($A240="","",S240*N240)</f>
        <v/>
      </c>
      <c r="L240" s="7">
        <f>IF($A240="","",N240-K240)</f>
        <v/>
      </c>
      <c r="M240" s="7">
        <f>IF($A240="","",L240-F240)</f>
        <v/>
      </c>
      <c r="N240" s="7" t="n"/>
      <c r="Q240" s="11" t="n"/>
      <c r="S240">
        <f>IF($A240="","",IF($W240=1,Settings!$C$6,Settings!$C$7)*1)</f>
        <v/>
      </c>
      <c r="U240">
        <f>IF($A240="","",IF(COUNTIF($A$2:$A240,$A240)=1,1,0))</f>
        <v/>
      </c>
      <c r="V240">
        <f>IF($U240=1,SUMPRODUCT(--($X$2:$X$501&lt;$X240))+1,"")</f>
        <v/>
      </c>
      <c r="W240">
        <f>IF($A240="","",IF(OR($T240=TRUE(),$T240="TRUE"),1,0))</f>
        <v/>
      </c>
      <c r="X240">
        <f>IF($U240=1,IFERROR(IF(VALUE($A240)&lt;100000000,VALUE($A240),1000000000),IFERROR(IF(VALUE(MID($A240,2,20))&lt;100000000,VALUE(MID($A240,2,20)),1000000000),1000000000))+ROW()/100000,"")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IF($A241="","",E241*N241/100)</f>
        <v/>
      </c>
      <c r="J241" s="7" t="n"/>
      <c r="K241" s="7">
        <f>IF($A241="","",S241*N241)</f>
        <v/>
      </c>
      <c r="L241" s="7">
        <f>IF($A241="","",N241-K241)</f>
        <v/>
      </c>
      <c r="M241" s="7">
        <f>IF($A241="","",L241-F241)</f>
        <v/>
      </c>
      <c r="N241" s="7" t="n"/>
      <c r="Q241" s="11" t="n"/>
      <c r="S241">
        <f>IF($A241="","",IF($W241=1,Settings!$C$6,Settings!$C$7)*1)</f>
        <v/>
      </c>
      <c r="U241">
        <f>IF($A241="","",IF(COUNTIF($A$2:$A241,$A241)=1,1,0))</f>
        <v/>
      </c>
      <c r="V241">
        <f>IF($U241=1,SUMPRODUCT(--($X$2:$X$501&lt;$X241))+1,"")</f>
        <v/>
      </c>
      <c r="W241">
        <f>IF($A241="","",IF(OR($T241=TRUE(),$T241="TRUE"),1,0))</f>
        <v/>
      </c>
      <c r="X241">
        <f>IF($U241=1,IFERROR(IF(VALUE($A241)&lt;100000000,VALUE($A241),1000000000),IFERROR(IF(VALUE(MID($A241,2,20))&lt;100000000,VALUE(MID($A241,2,20)),1000000000),1000000000))+ROW()/100000,"")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IF($A242="","",E242*N242/100)</f>
        <v/>
      </c>
      <c r="J242" s="7" t="n"/>
      <c r="K242" s="7">
        <f>IF($A242="","",S242*N242)</f>
        <v/>
      </c>
      <c r="L242" s="7">
        <f>IF($A242="","",N242-K242)</f>
        <v/>
      </c>
      <c r="M242" s="7">
        <f>IF($A242="","",L242-F242)</f>
        <v/>
      </c>
      <c r="N242" s="7" t="n"/>
      <c r="Q242" s="11" t="n"/>
      <c r="S242">
        <f>IF($A242="","",IF($W242=1,Settings!$C$6,Settings!$C$7)*1)</f>
        <v/>
      </c>
      <c r="U242">
        <f>IF($A242="","",IF(COUNTIF($A$2:$A242,$A242)=1,1,0))</f>
        <v/>
      </c>
      <c r="V242">
        <f>IF($U242=1,SUMPRODUCT(--($X$2:$X$501&lt;$X242))+1,"")</f>
        <v/>
      </c>
      <c r="W242">
        <f>IF($A242="","",IF(OR($T242=TRUE(),$T242="TRUE"),1,0))</f>
        <v/>
      </c>
      <c r="X242">
        <f>IF($U242=1,IFERROR(IF(VALUE($A242)&lt;100000000,VALUE($A242),1000000000),IFERROR(IF(VALUE(MID($A242,2,20))&lt;100000000,VALUE(MID($A242,2,20)),1000000000),1000000000))+ROW()/100000,"")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IF($A243="","",E243*N243/100)</f>
        <v/>
      </c>
      <c r="J243" s="7" t="n"/>
      <c r="K243" s="7">
        <f>IF($A243="","",S243*N243)</f>
        <v/>
      </c>
      <c r="L243" s="7">
        <f>IF($A243="","",N243-K243)</f>
        <v/>
      </c>
      <c r="M243" s="7">
        <f>IF($A243="","",L243-F243)</f>
        <v/>
      </c>
      <c r="N243" s="7" t="n"/>
      <c r="Q243" s="11" t="n"/>
      <c r="S243">
        <f>IF($A243="","",IF($W243=1,Settings!$C$6,Settings!$C$7)*1)</f>
        <v/>
      </c>
      <c r="U243">
        <f>IF($A243="","",IF(COUNTIF($A$2:$A243,$A243)=1,1,0))</f>
        <v/>
      </c>
      <c r="V243">
        <f>IF($U243=1,SUMPRODUCT(--($X$2:$X$501&lt;$X243))+1,"")</f>
        <v/>
      </c>
      <c r="W243">
        <f>IF($A243="","",IF(OR($T243=TRUE(),$T243="TRUE"),1,0))</f>
        <v/>
      </c>
      <c r="X243">
        <f>IF($U243=1,IFERROR(IF(VALUE($A243)&lt;100000000,VALUE($A243),1000000000),IFERROR(IF(VALUE(MID($A243,2,20))&lt;100000000,VALUE(MID($A243,2,20)),1000000000),1000000000))+ROW()/100000,"")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IF($A244="","",E244*N244/100)</f>
        <v/>
      </c>
      <c r="J244" s="7" t="n"/>
      <c r="K244" s="7">
        <f>IF($A244="","",S244*N244)</f>
        <v/>
      </c>
      <c r="L244" s="7">
        <f>IF($A244="","",N244-K244)</f>
        <v/>
      </c>
      <c r="M244" s="7">
        <f>IF($A244="","",L244-F244)</f>
        <v/>
      </c>
      <c r="N244" s="7" t="n"/>
      <c r="Q244" s="11" t="n"/>
      <c r="S244">
        <f>IF($A244="","",IF($W244=1,Settings!$C$6,Settings!$C$7)*1)</f>
        <v/>
      </c>
      <c r="U244">
        <f>IF($A244="","",IF(COUNTIF($A$2:$A244,$A244)=1,1,0))</f>
        <v/>
      </c>
      <c r="V244">
        <f>IF($U244=1,SUMPRODUCT(--($X$2:$X$501&lt;$X244))+1,"")</f>
        <v/>
      </c>
      <c r="W244">
        <f>IF($A244="","",IF(OR($T244=TRUE(),$T244="TRUE"),1,0))</f>
        <v/>
      </c>
      <c r="X244">
        <f>IF($U244=1,IFERROR(IF(VALUE($A244)&lt;100000000,VALUE($A244),1000000000),IFERROR(IF(VALUE(MID($A244,2,20))&lt;100000000,VALUE(MID($A244,2,20)),1000000000),1000000000))+ROW()/100000,"")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IF($A245="","",E245*N245/100)</f>
        <v/>
      </c>
      <c r="J245" s="7" t="n"/>
      <c r="K245" s="7">
        <f>IF($A245="","",S245*N245)</f>
        <v/>
      </c>
      <c r="L245" s="7">
        <f>IF($A245="","",N245-K245)</f>
        <v/>
      </c>
      <c r="M245" s="7">
        <f>IF($A245="","",L245-F245)</f>
        <v/>
      </c>
      <c r="N245" s="7" t="n"/>
      <c r="Q245" s="11" t="n"/>
      <c r="S245">
        <f>IF($A245="","",IF($W245=1,Settings!$C$6,Settings!$C$7)*1)</f>
        <v/>
      </c>
      <c r="U245">
        <f>IF($A245="","",IF(COUNTIF($A$2:$A245,$A245)=1,1,0))</f>
        <v/>
      </c>
      <c r="V245">
        <f>IF($U245=1,SUMPRODUCT(--($X$2:$X$501&lt;$X245))+1,"")</f>
        <v/>
      </c>
      <c r="W245">
        <f>IF($A245="","",IF(OR($T245=TRUE(),$T245="TRUE"),1,0))</f>
        <v/>
      </c>
      <c r="X245">
        <f>IF($U245=1,IFERROR(IF(VALUE($A245)&lt;100000000,VALUE($A245),1000000000),IFERROR(IF(VALUE(MID($A245,2,20))&lt;100000000,VALUE(MID($A245,2,20)),1000000000),1000000000))+ROW()/100000,"")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IF($A246="","",E246*N246/100)</f>
        <v/>
      </c>
      <c r="J246" s="7" t="n"/>
      <c r="K246" s="7">
        <f>IF($A246="","",S246*N246)</f>
        <v/>
      </c>
      <c r="L246" s="7">
        <f>IF($A246="","",N246-K246)</f>
        <v/>
      </c>
      <c r="M246" s="7">
        <f>IF($A246="","",L246-F246)</f>
        <v/>
      </c>
      <c r="N246" s="7" t="n"/>
      <c r="Q246" s="11" t="n"/>
      <c r="S246">
        <f>IF($A246="","",IF($W246=1,Settings!$C$6,Settings!$C$7)*1)</f>
        <v/>
      </c>
      <c r="U246">
        <f>IF($A246="","",IF(COUNTIF($A$2:$A246,$A246)=1,1,0))</f>
        <v/>
      </c>
      <c r="V246">
        <f>IF($U246=1,SUMPRODUCT(--($X$2:$X$501&lt;$X246))+1,"")</f>
        <v/>
      </c>
      <c r="W246">
        <f>IF($A246="","",IF(OR($T246=TRUE(),$T246="TRUE"),1,0))</f>
        <v/>
      </c>
      <c r="X246">
        <f>IF($U246=1,IFERROR(IF(VALUE($A246)&lt;100000000,VALUE($A246),1000000000),IFERROR(IF(VALUE(MID($A246,2,20))&lt;100000000,VALUE(MID($A246,2,20)),1000000000),1000000000))+ROW()/100000,"")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IF($A247="","",E247*N247/100)</f>
        <v/>
      </c>
      <c r="J247" s="7" t="n"/>
      <c r="K247" s="7">
        <f>IF($A247="","",S247*N247)</f>
        <v/>
      </c>
      <c r="L247" s="7">
        <f>IF($A247="","",N247-K247)</f>
        <v/>
      </c>
      <c r="M247" s="7">
        <f>IF($A247="","",L247-F247)</f>
        <v/>
      </c>
      <c r="N247" s="7" t="n"/>
      <c r="Q247" s="11" t="n"/>
      <c r="S247">
        <f>IF($A247="","",IF($W247=1,Settings!$C$6,Settings!$C$7)*1)</f>
        <v/>
      </c>
      <c r="U247">
        <f>IF($A247="","",IF(COUNTIF($A$2:$A247,$A247)=1,1,0))</f>
        <v/>
      </c>
      <c r="V247">
        <f>IF($U247=1,SUMPRODUCT(--($X$2:$X$501&lt;$X247))+1,"")</f>
        <v/>
      </c>
      <c r="W247">
        <f>IF($A247="","",IF(OR($T247=TRUE(),$T247="TRUE"),1,0))</f>
        <v/>
      </c>
      <c r="X247">
        <f>IF($U247=1,IFERROR(IF(VALUE($A247)&lt;100000000,VALUE($A247),1000000000),IFERROR(IF(VALUE(MID($A247,2,20))&lt;100000000,VALUE(MID($A247,2,20)),1000000000),1000000000))+ROW()/100000,"")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IF($A248="","",E248*N248/100)</f>
        <v/>
      </c>
      <c r="J248" s="7" t="n"/>
      <c r="K248" s="7">
        <f>IF($A248="","",S248*N248)</f>
        <v/>
      </c>
      <c r="L248" s="7">
        <f>IF($A248="","",N248-K248)</f>
        <v/>
      </c>
      <c r="M248" s="7">
        <f>IF($A248="","",L248-F248)</f>
        <v/>
      </c>
      <c r="N248" s="7" t="n"/>
      <c r="Q248" s="11" t="n"/>
      <c r="S248">
        <f>IF($A248="","",IF($W248=1,Settings!$C$6,Settings!$C$7)*1)</f>
        <v/>
      </c>
      <c r="U248">
        <f>IF($A248="","",IF(COUNTIF($A$2:$A248,$A248)=1,1,0))</f>
        <v/>
      </c>
      <c r="V248">
        <f>IF($U248=1,SUMPRODUCT(--($X$2:$X$501&lt;$X248))+1,"")</f>
        <v/>
      </c>
      <c r="W248">
        <f>IF($A248="","",IF(OR($T248=TRUE(),$T248="TRUE"),1,0))</f>
        <v/>
      </c>
      <c r="X248">
        <f>IF($U248=1,IFERROR(IF(VALUE($A248)&lt;100000000,VALUE($A248),1000000000),IFERROR(IF(VALUE(MID($A248,2,20))&lt;100000000,VALUE(MID($A248,2,20)),1000000000),1000000000))+ROW()/100000,"")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IF($A249="","",E249*N249/100)</f>
        <v/>
      </c>
      <c r="J249" s="7" t="n"/>
      <c r="K249" s="7">
        <f>IF($A249="","",S249*N249)</f>
        <v/>
      </c>
      <c r="L249" s="7">
        <f>IF($A249="","",N249-K249)</f>
        <v/>
      </c>
      <c r="M249" s="7">
        <f>IF($A249="","",L249-F249)</f>
        <v/>
      </c>
      <c r="N249" s="7" t="n"/>
      <c r="Q249" s="11" t="n"/>
      <c r="S249">
        <f>IF($A249="","",IF($W249=1,Settings!$C$6,Settings!$C$7)*1)</f>
        <v/>
      </c>
      <c r="U249">
        <f>IF($A249="","",IF(COUNTIF($A$2:$A249,$A249)=1,1,0))</f>
        <v/>
      </c>
      <c r="V249">
        <f>IF($U249=1,SUMPRODUCT(--($X$2:$X$501&lt;$X249))+1,"")</f>
        <v/>
      </c>
      <c r="W249">
        <f>IF($A249="","",IF(OR($T249=TRUE(),$T249="TRUE"),1,0))</f>
        <v/>
      </c>
      <c r="X249">
        <f>IF($U249=1,IFERROR(IF(VALUE($A249)&lt;100000000,VALUE($A249),1000000000),IFERROR(IF(VALUE(MID($A249,2,20))&lt;100000000,VALUE(MID($A249,2,20)),1000000000),1000000000))+ROW()/100000,"")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IF($A250="","",E250*N250/100)</f>
        <v/>
      </c>
      <c r="J250" s="7" t="n"/>
      <c r="K250" s="7">
        <f>IF($A250="","",S250*N250)</f>
        <v/>
      </c>
      <c r="L250" s="7">
        <f>IF($A250="","",N250-K250)</f>
        <v/>
      </c>
      <c r="M250" s="7">
        <f>IF($A250="","",L250-F250)</f>
        <v/>
      </c>
      <c r="N250" s="7" t="n"/>
      <c r="Q250" s="11" t="n"/>
      <c r="S250">
        <f>IF($A250="","",IF($W250=1,Settings!$C$6,Settings!$C$7)*1)</f>
        <v/>
      </c>
      <c r="U250">
        <f>IF($A250="","",IF(COUNTIF($A$2:$A250,$A250)=1,1,0))</f>
        <v/>
      </c>
      <c r="V250">
        <f>IF($U250=1,SUMPRODUCT(--($X$2:$X$501&lt;$X250))+1,"")</f>
        <v/>
      </c>
      <c r="W250">
        <f>IF($A250="","",IF(OR($T250=TRUE(),$T250="TRUE"),1,0))</f>
        <v/>
      </c>
      <c r="X250">
        <f>IF($U250=1,IFERROR(IF(VALUE($A250)&lt;100000000,VALUE($A250),1000000000),IFERROR(IF(VALUE(MID($A250,2,20))&lt;100000000,VALUE(MID($A250,2,20)),1000000000),1000000000))+ROW()/100000,"")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IF($A251="","",E251*N251/100)</f>
        <v/>
      </c>
      <c r="J251" s="7" t="n"/>
      <c r="K251" s="7">
        <f>IF($A251="","",S251*N251)</f>
        <v/>
      </c>
      <c r="L251" s="7">
        <f>IF($A251="","",N251-K251)</f>
        <v/>
      </c>
      <c r="M251" s="7">
        <f>IF($A251="","",L251-F251)</f>
        <v/>
      </c>
      <c r="N251" s="7" t="n"/>
      <c r="Q251" s="11" t="n"/>
      <c r="S251">
        <f>IF($A251="","",IF($W251=1,Settings!$C$6,Settings!$C$7)*1)</f>
        <v/>
      </c>
      <c r="U251">
        <f>IF($A251="","",IF(COUNTIF($A$2:$A251,$A251)=1,1,0))</f>
        <v/>
      </c>
      <c r="V251">
        <f>IF($U251=1,SUMPRODUCT(--($X$2:$X$501&lt;$X251))+1,"")</f>
        <v/>
      </c>
      <c r="W251">
        <f>IF($A251="","",IF(OR($T251=TRUE(),$T251="TRUE"),1,0))</f>
        <v/>
      </c>
      <c r="X251">
        <f>IF($U251=1,IFERROR(IF(VALUE($A251)&lt;100000000,VALUE($A251),1000000000),IFERROR(IF(VALUE(MID($A251,2,20))&lt;100000000,VALUE(MID($A251,2,20)),1000000000),1000000000))+ROW()/100000,"")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IF($A252="","",E252*N252/100)</f>
        <v/>
      </c>
      <c r="J252" s="7" t="n"/>
      <c r="K252" s="7">
        <f>IF($A252="","",S252*N252)</f>
        <v/>
      </c>
      <c r="L252" s="7">
        <f>IF($A252="","",N252-K252)</f>
        <v/>
      </c>
      <c r="M252" s="7">
        <f>IF($A252="","",L252-F252)</f>
        <v/>
      </c>
      <c r="N252" s="7" t="n"/>
      <c r="Q252" s="11" t="n"/>
      <c r="S252">
        <f>IF($A252="","",IF($W252=1,Settings!$C$6,Settings!$C$7)*1)</f>
        <v/>
      </c>
      <c r="U252">
        <f>IF($A252="","",IF(COUNTIF($A$2:$A252,$A252)=1,1,0))</f>
        <v/>
      </c>
      <c r="V252">
        <f>IF($U252=1,SUMPRODUCT(--($X$2:$X$501&lt;$X252))+1,"")</f>
        <v/>
      </c>
      <c r="W252">
        <f>IF($A252="","",IF(OR($T252=TRUE(),$T252="TRUE"),1,0))</f>
        <v/>
      </c>
      <c r="X252">
        <f>IF($U252=1,IFERROR(IF(VALUE($A252)&lt;100000000,VALUE($A252),1000000000),IFERROR(IF(VALUE(MID($A252,2,20))&lt;100000000,VALUE(MID($A252,2,20)),1000000000),1000000000))+ROW()/100000,"")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IF($A253="","",E253*N253/100)</f>
        <v/>
      </c>
      <c r="J253" s="7" t="n"/>
      <c r="K253" s="7">
        <f>IF($A253="","",S253*N253)</f>
        <v/>
      </c>
      <c r="L253" s="7">
        <f>IF($A253="","",N253-K253)</f>
        <v/>
      </c>
      <c r="M253" s="7">
        <f>IF($A253="","",L253-F253)</f>
        <v/>
      </c>
      <c r="N253" s="7" t="n"/>
      <c r="Q253" s="11" t="n"/>
      <c r="S253">
        <f>IF($A253="","",IF($W253=1,Settings!$C$6,Settings!$C$7)*1)</f>
        <v/>
      </c>
      <c r="U253">
        <f>IF($A253="","",IF(COUNTIF($A$2:$A253,$A253)=1,1,0))</f>
        <v/>
      </c>
      <c r="V253">
        <f>IF($U253=1,SUMPRODUCT(--($X$2:$X$501&lt;$X253))+1,"")</f>
        <v/>
      </c>
      <c r="W253">
        <f>IF($A253="","",IF(OR($T253=TRUE(),$T253="TRUE"),1,0))</f>
        <v/>
      </c>
      <c r="X253">
        <f>IF($U253=1,IFERROR(IF(VALUE($A253)&lt;100000000,VALUE($A253),1000000000),IFERROR(IF(VALUE(MID($A253,2,20))&lt;100000000,VALUE(MID($A253,2,20)),1000000000),1000000000))+ROW()/100000,"")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IF($A254="","",E254*N254/100)</f>
        <v/>
      </c>
      <c r="J254" s="7" t="n"/>
      <c r="K254" s="7">
        <f>IF($A254="","",S254*N254)</f>
        <v/>
      </c>
      <c r="L254" s="7">
        <f>IF($A254="","",N254-K254)</f>
        <v/>
      </c>
      <c r="M254" s="7">
        <f>IF($A254="","",L254-F254)</f>
        <v/>
      </c>
      <c r="N254" s="7" t="n"/>
      <c r="Q254" s="11" t="n"/>
      <c r="S254">
        <f>IF($A254="","",IF($W254=1,Settings!$C$6,Settings!$C$7)*1)</f>
        <v/>
      </c>
      <c r="U254">
        <f>IF($A254="","",IF(COUNTIF($A$2:$A254,$A254)=1,1,0))</f>
        <v/>
      </c>
      <c r="V254">
        <f>IF($U254=1,SUMPRODUCT(--($X$2:$X$501&lt;$X254))+1,"")</f>
        <v/>
      </c>
      <c r="W254">
        <f>IF($A254="","",IF(OR($T254=TRUE(),$T254="TRUE"),1,0))</f>
        <v/>
      </c>
      <c r="X254">
        <f>IF($U254=1,IFERROR(IF(VALUE($A254)&lt;100000000,VALUE($A254),1000000000),IFERROR(IF(VALUE(MID($A254,2,20))&lt;100000000,VALUE(MID($A254,2,20)),1000000000),1000000000))+ROW()/100000,"")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IF($A255="","",E255*N255/100)</f>
        <v/>
      </c>
      <c r="J255" s="7" t="n"/>
      <c r="K255" s="7">
        <f>IF($A255="","",S255*N255)</f>
        <v/>
      </c>
      <c r="L255" s="7">
        <f>IF($A255="","",N255-K255)</f>
        <v/>
      </c>
      <c r="M255" s="7">
        <f>IF($A255="","",L255-F255)</f>
        <v/>
      </c>
      <c r="N255" s="7" t="n"/>
      <c r="Q255" s="11" t="n"/>
      <c r="S255">
        <f>IF($A255="","",IF($W255=1,Settings!$C$6,Settings!$C$7)*1)</f>
        <v/>
      </c>
      <c r="U255">
        <f>IF($A255="","",IF(COUNTIF($A$2:$A255,$A255)=1,1,0))</f>
        <v/>
      </c>
      <c r="V255">
        <f>IF($U255=1,SUMPRODUCT(--($X$2:$X$501&lt;$X255))+1,"")</f>
        <v/>
      </c>
      <c r="W255">
        <f>IF($A255="","",IF(OR($T255=TRUE(),$T255="TRUE"),1,0))</f>
        <v/>
      </c>
      <c r="X255">
        <f>IF($U255=1,IFERROR(IF(VALUE($A255)&lt;100000000,VALUE($A255),1000000000),IFERROR(IF(VALUE(MID($A255,2,20))&lt;100000000,VALUE(MID($A255,2,20)),1000000000),1000000000))+ROW()/100000,"")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IF($A256="","",E256*N256/100)</f>
        <v/>
      </c>
      <c r="J256" s="7" t="n"/>
      <c r="K256" s="7">
        <f>IF($A256="","",S256*N256)</f>
        <v/>
      </c>
      <c r="L256" s="7">
        <f>IF($A256="","",N256-K256)</f>
        <v/>
      </c>
      <c r="M256" s="7">
        <f>IF($A256="","",L256-F256)</f>
        <v/>
      </c>
      <c r="N256" s="7" t="n"/>
      <c r="Q256" s="11" t="n"/>
      <c r="S256">
        <f>IF($A256="","",IF($W256=1,Settings!$C$6,Settings!$C$7)*1)</f>
        <v/>
      </c>
      <c r="U256">
        <f>IF($A256="","",IF(COUNTIF($A$2:$A256,$A256)=1,1,0))</f>
        <v/>
      </c>
      <c r="V256">
        <f>IF($U256=1,SUMPRODUCT(--($X$2:$X$501&lt;$X256))+1,"")</f>
        <v/>
      </c>
      <c r="W256">
        <f>IF($A256="","",IF(OR($T256=TRUE(),$T256="TRUE"),1,0))</f>
        <v/>
      </c>
      <c r="X256">
        <f>IF($U256=1,IFERROR(IF(VALUE($A256)&lt;100000000,VALUE($A256),1000000000),IFERROR(IF(VALUE(MID($A256,2,20))&lt;100000000,VALUE(MID($A256,2,20)),1000000000),1000000000))+ROW()/100000,"")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IF($A257="","",E257*N257/100)</f>
        <v/>
      </c>
      <c r="J257" s="7" t="n"/>
      <c r="K257" s="7">
        <f>IF($A257="","",S257*N257)</f>
        <v/>
      </c>
      <c r="L257" s="7">
        <f>IF($A257="","",N257-K257)</f>
        <v/>
      </c>
      <c r="M257" s="7">
        <f>IF($A257="","",L257-F257)</f>
        <v/>
      </c>
      <c r="N257" s="7" t="n"/>
      <c r="Q257" s="11" t="n"/>
      <c r="S257">
        <f>IF($A257="","",IF($W257=1,Settings!$C$6,Settings!$C$7)*1)</f>
        <v/>
      </c>
      <c r="U257">
        <f>IF($A257="","",IF(COUNTIF($A$2:$A257,$A257)=1,1,0))</f>
        <v/>
      </c>
      <c r="V257">
        <f>IF($U257=1,SUMPRODUCT(--($X$2:$X$501&lt;$X257))+1,"")</f>
        <v/>
      </c>
      <c r="W257">
        <f>IF($A257="","",IF(OR($T257=TRUE(),$T257="TRUE"),1,0))</f>
        <v/>
      </c>
      <c r="X257">
        <f>IF($U257=1,IFERROR(IF(VALUE($A257)&lt;100000000,VALUE($A257),1000000000),IFERROR(IF(VALUE(MID($A257,2,20))&lt;100000000,VALUE(MID($A257,2,20)),1000000000),1000000000))+ROW()/100000,"")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IF($A258="","",E258*N258/100)</f>
        <v/>
      </c>
      <c r="J258" s="7" t="n"/>
      <c r="K258" s="7">
        <f>IF($A258="","",S258*N258)</f>
        <v/>
      </c>
      <c r="L258" s="7">
        <f>IF($A258="","",N258-K258)</f>
        <v/>
      </c>
      <c r="M258" s="7">
        <f>IF($A258="","",L258-F258)</f>
        <v/>
      </c>
      <c r="N258" s="7" t="n"/>
      <c r="Q258" s="11" t="n"/>
      <c r="S258">
        <f>IF($A258="","",IF($W258=1,Settings!$C$6,Settings!$C$7)*1)</f>
        <v/>
      </c>
      <c r="U258">
        <f>IF($A258="","",IF(COUNTIF($A$2:$A258,$A258)=1,1,0))</f>
        <v/>
      </c>
      <c r="V258">
        <f>IF($U258=1,SUMPRODUCT(--($X$2:$X$501&lt;$X258))+1,"")</f>
        <v/>
      </c>
      <c r="W258">
        <f>IF($A258="","",IF(OR($T258=TRUE(),$T258="TRUE"),1,0))</f>
        <v/>
      </c>
      <c r="X258">
        <f>IF($U258=1,IFERROR(IF(VALUE($A258)&lt;100000000,VALUE($A258),1000000000),IFERROR(IF(VALUE(MID($A258,2,20))&lt;100000000,VALUE(MID($A258,2,20)),1000000000),1000000000))+ROW()/100000,"")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IF($A259="","",E259*N259/100)</f>
        <v/>
      </c>
      <c r="J259" s="7" t="n"/>
      <c r="K259" s="7">
        <f>IF($A259="","",S259*N259)</f>
        <v/>
      </c>
      <c r="L259" s="7">
        <f>IF($A259="","",N259-K259)</f>
        <v/>
      </c>
      <c r="M259" s="7">
        <f>IF($A259="","",L259-F259)</f>
        <v/>
      </c>
      <c r="N259" s="7" t="n"/>
      <c r="Q259" s="11" t="n"/>
      <c r="S259">
        <f>IF($A259="","",IF($W259=1,Settings!$C$6,Settings!$C$7)*1)</f>
        <v/>
      </c>
      <c r="U259">
        <f>IF($A259="","",IF(COUNTIF($A$2:$A259,$A259)=1,1,0))</f>
        <v/>
      </c>
      <c r="V259">
        <f>IF($U259=1,SUMPRODUCT(--($X$2:$X$501&lt;$X259))+1,"")</f>
        <v/>
      </c>
      <c r="W259">
        <f>IF($A259="","",IF(OR($T259=TRUE(),$T259="TRUE"),1,0))</f>
        <v/>
      </c>
      <c r="X259">
        <f>IF($U259=1,IFERROR(IF(VALUE($A259)&lt;100000000,VALUE($A259),1000000000),IFERROR(IF(VALUE(MID($A259,2,20))&lt;100000000,VALUE(MID($A259,2,20)),1000000000),1000000000))+ROW()/100000,"")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IF($A260="","",E260*N260/100)</f>
        <v/>
      </c>
      <c r="J260" s="7" t="n"/>
      <c r="K260" s="7">
        <f>IF($A260="","",S260*N260)</f>
        <v/>
      </c>
      <c r="L260" s="7">
        <f>IF($A260="","",N260-K260)</f>
        <v/>
      </c>
      <c r="M260" s="7">
        <f>IF($A260="","",L260-F260)</f>
        <v/>
      </c>
      <c r="N260" s="7" t="n"/>
      <c r="Q260" s="11" t="n"/>
      <c r="S260">
        <f>IF($A260="","",IF($W260=1,Settings!$C$6,Settings!$C$7)*1)</f>
        <v/>
      </c>
      <c r="U260">
        <f>IF($A260="","",IF(COUNTIF($A$2:$A260,$A260)=1,1,0))</f>
        <v/>
      </c>
      <c r="V260">
        <f>IF($U260=1,SUMPRODUCT(--($X$2:$X$501&lt;$X260))+1,"")</f>
        <v/>
      </c>
      <c r="W260">
        <f>IF($A260="","",IF(OR($T260=TRUE(),$T260="TRUE"),1,0))</f>
        <v/>
      </c>
      <c r="X260">
        <f>IF($U260=1,IFERROR(IF(VALUE($A260)&lt;100000000,VALUE($A260),1000000000),IFERROR(IF(VALUE(MID($A260,2,20))&lt;100000000,VALUE(MID($A260,2,20)),1000000000),1000000000))+ROW()/100000,"")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IF($A261="","",E261*N261/100)</f>
        <v/>
      </c>
      <c r="J261" s="7" t="n"/>
      <c r="K261" s="7">
        <f>IF($A261="","",S261*N261)</f>
        <v/>
      </c>
      <c r="L261" s="7">
        <f>IF($A261="","",N261-K261)</f>
        <v/>
      </c>
      <c r="M261" s="7">
        <f>IF($A261="","",L261-F261)</f>
        <v/>
      </c>
      <c r="N261" s="7" t="n"/>
      <c r="Q261" s="11" t="n"/>
      <c r="S261">
        <f>IF($A261="","",IF($W261=1,Settings!$C$6,Settings!$C$7)*1)</f>
        <v/>
      </c>
      <c r="U261">
        <f>IF($A261="","",IF(COUNTIF($A$2:$A261,$A261)=1,1,0))</f>
        <v/>
      </c>
      <c r="V261">
        <f>IF($U261=1,SUMPRODUCT(--($X$2:$X$501&lt;$X261))+1,"")</f>
        <v/>
      </c>
      <c r="W261">
        <f>IF($A261="","",IF(OR($T261=TRUE(),$T261="TRUE"),1,0))</f>
        <v/>
      </c>
      <c r="X261">
        <f>IF($U261=1,IFERROR(IF(VALUE($A261)&lt;100000000,VALUE($A261),1000000000),IFERROR(IF(VALUE(MID($A261,2,20))&lt;100000000,VALUE(MID($A261,2,20)),1000000000),1000000000))+ROW()/100000,"")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IF($A262="","",E262*N262/100)</f>
        <v/>
      </c>
      <c r="J262" s="7" t="n"/>
      <c r="K262" s="7">
        <f>IF($A262="","",S262*N262)</f>
        <v/>
      </c>
      <c r="L262" s="7">
        <f>IF($A262="","",N262-K262)</f>
        <v/>
      </c>
      <c r="M262" s="7">
        <f>IF($A262="","",L262-F262)</f>
        <v/>
      </c>
      <c r="N262" s="7" t="n"/>
      <c r="Q262" s="11" t="n"/>
      <c r="S262">
        <f>IF($A262="","",IF($W262=1,Settings!$C$6,Settings!$C$7)*1)</f>
        <v/>
      </c>
      <c r="U262">
        <f>IF($A262="","",IF(COUNTIF($A$2:$A262,$A262)=1,1,0))</f>
        <v/>
      </c>
      <c r="V262">
        <f>IF($U262=1,SUMPRODUCT(--($X$2:$X$501&lt;$X262))+1,"")</f>
        <v/>
      </c>
      <c r="W262">
        <f>IF($A262="","",IF(OR($T262=TRUE(),$T262="TRUE"),1,0))</f>
        <v/>
      </c>
      <c r="X262">
        <f>IF($U262=1,IFERROR(IF(VALUE($A262)&lt;100000000,VALUE($A262),1000000000),IFERROR(IF(VALUE(MID($A262,2,20))&lt;100000000,VALUE(MID($A262,2,20)),1000000000),1000000000))+ROW()/100000,"")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IF($A263="","",E263*N263/100)</f>
        <v/>
      </c>
      <c r="J263" s="7" t="n"/>
      <c r="K263" s="7">
        <f>IF($A263="","",S263*N263)</f>
        <v/>
      </c>
      <c r="L263" s="7">
        <f>IF($A263="","",N263-K263)</f>
        <v/>
      </c>
      <c r="M263" s="7">
        <f>IF($A263="","",L263-F263)</f>
        <v/>
      </c>
      <c r="N263" s="7" t="n"/>
      <c r="Q263" s="11" t="n"/>
      <c r="S263">
        <f>IF($A263="","",IF($W263=1,Settings!$C$6,Settings!$C$7)*1)</f>
        <v/>
      </c>
      <c r="U263">
        <f>IF($A263="","",IF(COUNTIF($A$2:$A263,$A263)=1,1,0))</f>
        <v/>
      </c>
      <c r="V263">
        <f>IF($U263=1,SUMPRODUCT(--($X$2:$X$501&lt;$X263))+1,"")</f>
        <v/>
      </c>
      <c r="W263">
        <f>IF($A263="","",IF(OR($T263=TRUE(),$T263="TRUE"),1,0))</f>
        <v/>
      </c>
      <c r="X263">
        <f>IF($U263=1,IFERROR(IF(VALUE($A263)&lt;100000000,VALUE($A263),1000000000),IFERROR(IF(VALUE(MID($A263,2,20))&lt;100000000,VALUE(MID($A263,2,20)),1000000000),1000000000))+ROW()/100000,"")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IF($A264="","",E264*N264/100)</f>
        <v/>
      </c>
      <c r="J264" s="7" t="n"/>
      <c r="K264" s="7">
        <f>IF($A264="","",S264*N264)</f>
        <v/>
      </c>
      <c r="L264" s="7">
        <f>IF($A264="","",N264-K264)</f>
        <v/>
      </c>
      <c r="M264" s="7">
        <f>IF($A264="","",L264-F264)</f>
        <v/>
      </c>
      <c r="N264" s="7" t="n"/>
      <c r="Q264" s="11" t="n"/>
      <c r="S264">
        <f>IF($A264="","",IF($W264=1,Settings!$C$6,Settings!$C$7)*1)</f>
        <v/>
      </c>
      <c r="U264">
        <f>IF($A264="","",IF(COUNTIF($A$2:$A264,$A264)=1,1,0))</f>
        <v/>
      </c>
      <c r="V264">
        <f>IF($U264=1,SUMPRODUCT(--($X$2:$X$501&lt;$X264))+1,"")</f>
        <v/>
      </c>
      <c r="W264">
        <f>IF($A264="","",IF(OR($T264=TRUE(),$T264="TRUE"),1,0))</f>
        <v/>
      </c>
      <c r="X264">
        <f>IF($U264=1,IFERROR(IF(VALUE($A264)&lt;100000000,VALUE($A264),1000000000),IFERROR(IF(VALUE(MID($A264,2,20))&lt;100000000,VALUE(MID($A264,2,20)),1000000000),1000000000))+ROW()/100000,"")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IF($A265="","",E265*N265/100)</f>
        <v/>
      </c>
      <c r="J265" s="7" t="n"/>
      <c r="K265" s="7">
        <f>IF($A265="","",S265*N265)</f>
        <v/>
      </c>
      <c r="L265" s="7">
        <f>IF($A265="","",N265-K265)</f>
        <v/>
      </c>
      <c r="M265" s="7">
        <f>IF($A265="","",L265-F265)</f>
        <v/>
      </c>
      <c r="N265" s="7" t="n"/>
      <c r="Q265" s="11" t="n"/>
      <c r="S265">
        <f>IF($A265="","",IF($W265=1,Settings!$C$6,Settings!$C$7)*1)</f>
        <v/>
      </c>
      <c r="U265">
        <f>IF($A265="","",IF(COUNTIF($A$2:$A265,$A265)=1,1,0))</f>
        <v/>
      </c>
      <c r="V265">
        <f>IF($U265=1,SUMPRODUCT(--($X$2:$X$501&lt;$X265))+1,"")</f>
        <v/>
      </c>
      <c r="W265">
        <f>IF($A265="","",IF(OR($T265=TRUE(),$T265="TRUE"),1,0))</f>
        <v/>
      </c>
      <c r="X265">
        <f>IF($U265=1,IFERROR(IF(VALUE($A265)&lt;100000000,VALUE($A265),1000000000),IFERROR(IF(VALUE(MID($A265,2,20))&lt;100000000,VALUE(MID($A265,2,20)),1000000000),1000000000))+ROW()/100000,"")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IF($A266="","",E266*N266/100)</f>
        <v/>
      </c>
      <c r="J266" s="7" t="n"/>
      <c r="K266" s="7">
        <f>IF($A266="","",S266*N266)</f>
        <v/>
      </c>
      <c r="L266" s="7">
        <f>IF($A266="","",N266-K266)</f>
        <v/>
      </c>
      <c r="M266" s="7">
        <f>IF($A266="","",L266-F266)</f>
        <v/>
      </c>
      <c r="N266" s="7" t="n"/>
      <c r="Q266" s="11" t="n"/>
      <c r="S266">
        <f>IF($A266="","",IF($W266=1,Settings!$C$6,Settings!$C$7)*1)</f>
        <v/>
      </c>
      <c r="U266">
        <f>IF($A266="","",IF(COUNTIF($A$2:$A266,$A266)=1,1,0))</f>
        <v/>
      </c>
      <c r="V266">
        <f>IF($U266=1,SUMPRODUCT(--($X$2:$X$501&lt;$X266))+1,"")</f>
        <v/>
      </c>
      <c r="W266">
        <f>IF($A266="","",IF(OR($T266=TRUE(),$T266="TRUE"),1,0))</f>
        <v/>
      </c>
      <c r="X266">
        <f>IF($U266=1,IFERROR(IF(VALUE($A266)&lt;100000000,VALUE($A266),1000000000),IFERROR(IF(VALUE(MID($A266,2,20))&lt;100000000,VALUE(MID($A266,2,20)),1000000000),1000000000))+ROW()/100000,"")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IF($A267="","",E267*N267/100)</f>
        <v/>
      </c>
      <c r="J267" s="7" t="n"/>
      <c r="K267" s="7">
        <f>IF($A267="","",S267*N267)</f>
        <v/>
      </c>
      <c r="L267" s="7">
        <f>IF($A267="","",N267-K267)</f>
        <v/>
      </c>
      <c r="M267" s="7">
        <f>IF($A267="","",L267-F267)</f>
        <v/>
      </c>
      <c r="N267" s="7" t="n"/>
      <c r="Q267" s="11" t="n"/>
      <c r="S267">
        <f>IF($A267="","",IF($W267=1,Settings!$C$6,Settings!$C$7)*1)</f>
        <v/>
      </c>
      <c r="U267">
        <f>IF($A267="","",IF(COUNTIF($A$2:$A267,$A267)=1,1,0))</f>
        <v/>
      </c>
      <c r="V267">
        <f>IF($U267=1,SUMPRODUCT(--($X$2:$X$501&lt;$X267))+1,"")</f>
        <v/>
      </c>
      <c r="W267">
        <f>IF($A267="","",IF(OR($T267=TRUE(),$T267="TRUE"),1,0))</f>
        <v/>
      </c>
      <c r="X267">
        <f>IF($U267=1,IFERROR(IF(VALUE($A267)&lt;100000000,VALUE($A267),1000000000),IFERROR(IF(VALUE(MID($A267,2,20))&lt;100000000,VALUE(MID($A267,2,20)),1000000000),1000000000))+ROW()/100000,"")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IF($A268="","",E268*N268/100)</f>
        <v/>
      </c>
      <c r="J268" s="7" t="n"/>
      <c r="K268" s="7">
        <f>IF($A268="","",S268*N268)</f>
        <v/>
      </c>
      <c r="L268" s="7">
        <f>IF($A268="","",N268-K268)</f>
        <v/>
      </c>
      <c r="M268" s="7">
        <f>IF($A268="","",L268-F268)</f>
        <v/>
      </c>
      <c r="N268" s="7" t="n"/>
      <c r="Q268" s="11" t="n"/>
      <c r="S268">
        <f>IF($A268="","",IF($W268=1,Settings!$C$6,Settings!$C$7)*1)</f>
        <v/>
      </c>
      <c r="U268">
        <f>IF($A268="","",IF(COUNTIF($A$2:$A268,$A268)=1,1,0))</f>
        <v/>
      </c>
      <c r="V268">
        <f>IF($U268=1,SUMPRODUCT(--($X$2:$X$501&lt;$X268))+1,"")</f>
        <v/>
      </c>
      <c r="W268">
        <f>IF($A268="","",IF(OR($T268=TRUE(),$T268="TRUE"),1,0))</f>
        <v/>
      </c>
      <c r="X268">
        <f>IF($U268=1,IFERROR(IF(VALUE($A268)&lt;100000000,VALUE($A268),1000000000),IFERROR(IF(VALUE(MID($A268,2,20))&lt;100000000,VALUE(MID($A268,2,20)),1000000000),1000000000))+ROW()/100000,"")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IF($A269="","",E269*N269/100)</f>
        <v/>
      </c>
      <c r="J269" s="7" t="n"/>
      <c r="K269" s="7">
        <f>IF($A269="","",S269*N269)</f>
        <v/>
      </c>
      <c r="L269" s="7">
        <f>IF($A269="","",N269-K269)</f>
        <v/>
      </c>
      <c r="M269" s="7">
        <f>IF($A269="","",L269-F269)</f>
        <v/>
      </c>
      <c r="N269" s="7" t="n"/>
      <c r="Q269" s="11" t="n"/>
      <c r="S269">
        <f>IF($A269="","",IF($W269=1,Settings!$C$6,Settings!$C$7)*1)</f>
        <v/>
      </c>
      <c r="U269">
        <f>IF($A269="","",IF(COUNTIF($A$2:$A269,$A269)=1,1,0))</f>
        <v/>
      </c>
      <c r="V269">
        <f>IF($U269=1,SUMPRODUCT(--($X$2:$X$501&lt;$X269))+1,"")</f>
        <v/>
      </c>
      <c r="W269">
        <f>IF($A269="","",IF(OR($T269=TRUE(),$T269="TRUE"),1,0))</f>
        <v/>
      </c>
      <c r="X269">
        <f>IF($U269=1,IFERROR(IF(VALUE($A269)&lt;100000000,VALUE($A269),1000000000),IFERROR(IF(VALUE(MID($A269,2,20))&lt;100000000,VALUE(MID($A269,2,20)),1000000000),1000000000))+ROW()/100000,"")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IF($A270="","",E270*N270/100)</f>
        <v/>
      </c>
      <c r="J270" s="7" t="n"/>
      <c r="K270" s="7">
        <f>IF($A270="","",S270*N270)</f>
        <v/>
      </c>
      <c r="L270" s="7">
        <f>IF($A270="","",N270-K270)</f>
        <v/>
      </c>
      <c r="M270" s="7">
        <f>IF($A270="","",L270-F270)</f>
        <v/>
      </c>
      <c r="N270" s="7" t="n"/>
      <c r="Q270" s="11" t="n"/>
      <c r="S270">
        <f>IF($A270="","",IF($W270=1,Settings!$C$6,Settings!$C$7)*1)</f>
        <v/>
      </c>
      <c r="U270">
        <f>IF($A270="","",IF(COUNTIF($A$2:$A270,$A270)=1,1,0))</f>
        <v/>
      </c>
      <c r="V270">
        <f>IF($U270=1,SUMPRODUCT(--($X$2:$X$501&lt;$X270))+1,"")</f>
        <v/>
      </c>
      <c r="W270">
        <f>IF($A270="","",IF(OR($T270=TRUE(),$T270="TRUE"),1,0))</f>
        <v/>
      </c>
      <c r="X270">
        <f>IF($U270=1,IFERROR(IF(VALUE($A270)&lt;100000000,VALUE($A270),1000000000),IFERROR(IF(VALUE(MID($A270,2,20))&lt;100000000,VALUE(MID($A270,2,20)),1000000000),1000000000))+ROW()/100000,"")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IF($A271="","",E271*N271/100)</f>
        <v/>
      </c>
      <c r="J271" s="7" t="n"/>
      <c r="K271" s="7">
        <f>IF($A271="","",S271*N271)</f>
        <v/>
      </c>
      <c r="L271" s="7">
        <f>IF($A271="","",N271-K271)</f>
        <v/>
      </c>
      <c r="M271" s="7">
        <f>IF($A271="","",L271-F271)</f>
        <v/>
      </c>
      <c r="N271" s="7" t="n"/>
      <c r="Q271" s="11" t="n"/>
      <c r="S271">
        <f>IF($A271="","",IF($W271=1,Settings!$C$6,Settings!$C$7)*1)</f>
        <v/>
      </c>
      <c r="U271">
        <f>IF($A271="","",IF(COUNTIF($A$2:$A271,$A271)=1,1,0))</f>
        <v/>
      </c>
      <c r="V271">
        <f>IF($U271=1,SUMPRODUCT(--($X$2:$X$501&lt;$X271))+1,"")</f>
        <v/>
      </c>
      <c r="W271">
        <f>IF($A271="","",IF(OR($T271=TRUE(),$T271="TRUE"),1,0))</f>
        <v/>
      </c>
      <c r="X271">
        <f>IF($U271=1,IFERROR(IF(VALUE($A271)&lt;100000000,VALUE($A271),1000000000),IFERROR(IF(VALUE(MID($A271,2,20))&lt;100000000,VALUE(MID($A271,2,20)),1000000000),1000000000))+ROW()/100000,"")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IF($A272="","",E272*N272/100)</f>
        <v/>
      </c>
      <c r="J272" s="7" t="n"/>
      <c r="K272" s="7">
        <f>IF($A272="","",S272*N272)</f>
        <v/>
      </c>
      <c r="L272" s="7">
        <f>IF($A272="","",N272-K272)</f>
        <v/>
      </c>
      <c r="M272" s="7">
        <f>IF($A272="","",L272-F272)</f>
        <v/>
      </c>
      <c r="N272" s="7" t="n"/>
      <c r="Q272" s="11" t="n"/>
      <c r="S272">
        <f>IF($A272="","",IF($W272=1,Settings!$C$6,Settings!$C$7)*1)</f>
        <v/>
      </c>
      <c r="U272">
        <f>IF($A272="","",IF(COUNTIF($A$2:$A272,$A272)=1,1,0))</f>
        <v/>
      </c>
      <c r="V272">
        <f>IF($U272=1,SUMPRODUCT(--($X$2:$X$501&lt;$X272))+1,"")</f>
        <v/>
      </c>
      <c r="W272">
        <f>IF($A272="","",IF(OR($T272=TRUE(),$T272="TRUE"),1,0))</f>
        <v/>
      </c>
      <c r="X272">
        <f>IF($U272=1,IFERROR(IF(VALUE($A272)&lt;100000000,VALUE($A272),1000000000),IFERROR(IF(VALUE(MID($A272,2,20))&lt;100000000,VALUE(MID($A272,2,20)),1000000000),1000000000))+ROW()/100000,"")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IF($A273="","",E273*N273/100)</f>
        <v/>
      </c>
      <c r="J273" s="7" t="n"/>
      <c r="K273" s="7">
        <f>IF($A273="","",S273*N273)</f>
        <v/>
      </c>
      <c r="L273" s="7">
        <f>IF($A273="","",N273-K273)</f>
        <v/>
      </c>
      <c r="M273" s="7">
        <f>IF($A273="","",L273-F273)</f>
        <v/>
      </c>
      <c r="N273" s="7" t="n"/>
      <c r="Q273" s="11" t="n"/>
      <c r="S273">
        <f>IF($A273="","",IF($W273=1,Settings!$C$6,Settings!$C$7)*1)</f>
        <v/>
      </c>
      <c r="U273">
        <f>IF($A273="","",IF(COUNTIF($A$2:$A273,$A273)=1,1,0))</f>
        <v/>
      </c>
      <c r="V273">
        <f>IF($U273=1,SUMPRODUCT(--($X$2:$X$501&lt;$X273))+1,"")</f>
        <v/>
      </c>
      <c r="W273">
        <f>IF($A273="","",IF(OR($T273=TRUE(),$T273="TRUE"),1,0))</f>
        <v/>
      </c>
      <c r="X273">
        <f>IF($U273=1,IFERROR(IF(VALUE($A273)&lt;100000000,VALUE($A273),1000000000),IFERROR(IF(VALUE(MID($A273,2,20))&lt;100000000,VALUE(MID($A273,2,20)),1000000000),1000000000))+ROW()/100000,"")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IF($A274="","",E274*N274/100)</f>
        <v/>
      </c>
      <c r="J274" s="7" t="n"/>
      <c r="K274" s="7">
        <f>IF($A274="","",S274*N274)</f>
        <v/>
      </c>
      <c r="L274" s="7">
        <f>IF($A274="","",N274-K274)</f>
        <v/>
      </c>
      <c r="M274" s="7">
        <f>IF($A274="","",L274-F274)</f>
        <v/>
      </c>
      <c r="N274" s="7" t="n"/>
      <c r="Q274" s="11" t="n"/>
      <c r="S274">
        <f>IF($A274="","",IF($W274=1,Settings!$C$6,Settings!$C$7)*1)</f>
        <v/>
      </c>
      <c r="U274">
        <f>IF($A274="","",IF(COUNTIF($A$2:$A274,$A274)=1,1,0))</f>
        <v/>
      </c>
      <c r="V274">
        <f>IF($U274=1,SUMPRODUCT(--($X$2:$X$501&lt;$X274))+1,"")</f>
        <v/>
      </c>
      <c r="W274">
        <f>IF($A274="","",IF(OR($T274=TRUE(),$T274="TRUE"),1,0))</f>
        <v/>
      </c>
      <c r="X274">
        <f>IF($U274=1,IFERROR(IF(VALUE($A274)&lt;100000000,VALUE($A274),1000000000),IFERROR(IF(VALUE(MID($A274,2,20))&lt;100000000,VALUE(MID($A274,2,20)),1000000000),1000000000))+ROW()/100000,"")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IF($A275="","",E275*N275/100)</f>
        <v/>
      </c>
      <c r="J275" s="7" t="n"/>
      <c r="K275" s="7">
        <f>IF($A275="","",S275*N275)</f>
        <v/>
      </c>
      <c r="L275" s="7">
        <f>IF($A275="","",N275-K275)</f>
        <v/>
      </c>
      <c r="M275" s="7">
        <f>IF($A275="","",L275-F275)</f>
        <v/>
      </c>
      <c r="N275" s="7" t="n"/>
      <c r="Q275" s="11" t="n"/>
      <c r="S275">
        <f>IF($A275="","",IF($W275=1,Settings!$C$6,Settings!$C$7)*1)</f>
        <v/>
      </c>
      <c r="U275">
        <f>IF($A275="","",IF(COUNTIF($A$2:$A275,$A275)=1,1,0))</f>
        <v/>
      </c>
      <c r="V275">
        <f>IF($U275=1,SUMPRODUCT(--($X$2:$X$501&lt;$X275))+1,"")</f>
        <v/>
      </c>
      <c r="W275">
        <f>IF($A275="","",IF(OR($T275=TRUE(),$T275="TRUE"),1,0))</f>
        <v/>
      </c>
      <c r="X275">
        <f>IF($U275=1,IFERROR(IF(VALUE($A275)&lt;100000000,VALUE($A275),1000000000),IFERROR(IF(VALUE(MID($A275,2,20))&lt;100000000,VALUE(MID($A275,2,20)),1000000000),1000000000))+ROW()/100000,"")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IF($A276="","",E276*N276/100)</f>
        <v/>
      </c>
      <c r="J276" s="7" t="n"/>
      <c r="K276" s="7">
        <f>IF($A276="","",S276*N276)</f>
        <v/>
      </c>
      <c r="L276" s="7">
        <f>IF($A276="","",N276-K276)</f>
        <v/>
      </c>
      <c r="M276" s="7">
        <f>IF($A276="","",L276-F276)</f>
        <v/>
      </c>
      <c r="N276" s="7" t="n"/>
      <c r="Q276" s="11" t="n"/>
      <c r="S276">
        <f>IF($A276="","",IF($W276=1,Settings!$C$6,Settings!$C$7)*1)</f>
        <v/>
      </c>
      <c r="U276">
        <f>IF($A276="","",IF(COUNTIF($A$2:$A276,$A276)=1,1,0))</f>
        <v/>
      </c>
      <c r="V276">
        <f>IF($U276=1,SUMPRODUCT(--($X$2:$X$501&lt;$X276))+1,"")</f>
        <v/>
      </c>
      <c r="W276">
        <f>IF($A276="","",IF(OR($T276=TRUE(),$T276="TRUE"),1,0))</f>
        <v/>
      </c>
      <c r="X276">
        <f>IF($U276=1,IFERROR(IF(VALUE($A276)&lt;100000000,VALUE($A276),1000000000),IFERROR(IF(VALUE(MID($A276,2,20))&lt;100000000,VALUE(MID($A276,2,20)),1000000000),1000000000))+ROW()/100000,"")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IF($A277="","",E277*N277/100)</f>
        <v/>
      </c>
      <c r="J277" s="7" t="n"/>
      <c r="K277" s="7">
        <f>IF($A277="","",S277*N277)</f>
        <v/>
      </c>
      <c r="L277" s="7">
        <f>IF($A277="","",N277-K277)</f>
        <v/>
      </c>
      <c r="M277" s="7">
        <f>IF($A277="","",L277-F277)</f>
        <v/>
      </c>
      <c r="N277" s="7" t="n"/>
      <c r="Q277" s="11" t="n"/>
      <c r="S277">
        <f>IF($A277="","",IF($W277=1,Settings!$C$6,Settings!$C$7)*1)</f>
        <v/>
      </c>
      <c r="U277">
        <f>IF($A277="","",IF(COUNTIF($A$2:$A277,$A277)=1,1,0))</f>
        <v/>
      </c>
      <c r="V277">
        <f>IF($U277=1,SUMPRODUCT(--($X$2:$X$501&lt;$X277))+1,"")</f>
        <v/>
      </c>
      <c r="W277">
        <f>IF($A277="","",IF(OR($T277=TRUE(),$T277="TRUE"),1,0))</f>
        <v/>
      </c>
      <c r="X277">
        <f>IF($U277=1,IFERROR(IF(VALUE($A277)&lt;100000000,VALUE($A277),1000000000),IFERROR(IF(VALUE(MID($A277,2,20))&lt;100000000,VALUE(MID($A277,2,20)),1000000000),1000000000))+ROW()/100000,"")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IF($A278="","",E278*N278/100)</f>
        <v/>
      </c>
      <c r="J278" s="7" t="n"/>
      <c r="K278" s="7">
        <f>IF($A278="","",S278*N278)</f>
        <v/>
      </c>
      <c r="L278" s="7">
        <f>IF($A278="","",N278-K278)</f>
        <v/>
      </c>
      <c r="M278" s="7">
        <f>IF($A278="","",L278-F278)</f>
        <v/>
      </c>
      <c r="N278" s="7" t="n"/>
      <c r="Q278" s="11" t="n"/>
      <c r="S278">
        <f>IF($A278="","",IF($W278=1,Settings!$C$6,Settings!$C$7)*1)</f>
        <v/>
      </c>
      <c r="U278">
        <f>IF($A278="","",IF(COUNTIF($A$2:$A278,$A278)=1,1,0))</f>
        <v/>
      </c>
      <c r="V278">
        <f>IF($U278=1,SUMPRODUCT(--($X$2:$X$501&lt;$X278))+1,"")</f>
        <v/>
      </c>
      <c r="W278">
        <f>IF($A278="","",IF(OR($T278=TRUE(),$T278="TRUE"),1,0))</f>
        <v/>
      </c>
      <c r="X278">
        <f>IF($U278=1,IFERROR(IF(VALUE($A278)&lt;100000000,VALUE($A278),1000000000),IFERROR(IF(VALUE(MID($A278,2,20))&lt;100000000,VALUE(MID($A278,2,20)),1000000000),1000000000))+ROW()/100000,"")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IF($A279="","",E279*N279/100)</f>
        <v/>
      </c>
      <c r="J279" s="7" t="n"/>
      <c r="K279" s="7">
        <f>IF($A279="","",S279*N279)</f>
        <v/>
      </c>
      <c r="L279" s="7">
        <f>IF($A279="","",N279-K279)</f>
        <v/>
      </c>
      <c r="M279" s="7">
        <f>IF($A279="","",L279-F279)</f>
        <v/>
      </c>
      <c r="N279" s="7" t="n"/>
      <c r="Q279" s="11" t="n"/>
      <c r="S279">
        <f>IF($A279="","",IF($W279=1,Settings!$C$6,Settings!$C$7)*1)</f>
        <v/>
      </c>
      <c r="U279">
        <f>IF($A279="","",IF(COUNTIF($A$2:$A279,$A279)=1,1,0))</f>
        <v/>
      </c>
      <c r="V279">
        <f>IF($U279=1,SUMPRODUCT(--($X$2:$X$501&lt;$X279))+1,"")</f>
        <v/>
      </c>
      <c r="W279">
        <f>IF($A279="","",IF(OR($T279=TRUE(),$T279="TRUE"),1,0))</f>
        <v/>
      </c>
      <c r="X279">
        <f>IF($U279=1,IFERROR(IF(VALUE($A279)&lt;100000000,VALUE($A279),1000000000),IFERROR(IF(VALUE(MID($A279,2,20))&lt;100000000,VALUE(MID($A279,2,20)),1000000000),1000000000))+ROW()/100000,"")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IF($A280="","",E280*N280/100)</f>
        <v/>
      </c>
      <c r="J280" s="7" t="n"/>
      <c r="K280" s="7">
        <f>IF($A280="","",S280*N280)</f>
        <v/>
      </c>
      <c r="L280" s="7">
        <f>IF($A280="","",N280-K280)</f>
        <v/>
      </c>
      <c r="M280" s="7">
        <f>IF($A280="","",L280-F280)</f>
        <v/>
      </c>
      <c r="N280" s="7" t="n"/>
      <c r="Q280" s="11" t="n"/>
      <c r="S280">
        <f>IF($A280="","",IF($W280=1,Settings!$C$6,Settings!$C$7)*1)</f>
        <v/>
      </c>
      <c r="U280">
        <f>IF($A280="","",IF(COUNTIF($A$2:$A280,$A280)=1,1,0))</f>
        <v/>
      </c>
      <c r="V280">
        <f>IF($U280=1,SUMPRODUCT(--($X$2:$X$501&lt;$X280))+1,"")</f>
        <v/>
      </c>
      <c r="W280">
        <f>IF($A280="","",IF(OR($T280=TRUE(),$T280="TRUE"),1,0))</f>
        <v/>
      </c>
      <c r="X280">
        <f>IF($U280=1,IFERROR(IF(VALUE($A280)&lt;100000000,VALUE($A280),1000000000),IFERROR(IF(VALUE(MID($A280,2,20))&lt;100000000,VALUE(MID($A280,2,20)),1000000000),1000000000))+ROW()/100000,"")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IF($A281="","",E281*N281/100)</f>
        <v/>
      </c>
      <c r="J281" s="7" t="n"/>
      <c r="K281" s="7">
        <f>IF($A281="","",S281*N281)</f>
        <v/>
      </c>
      <c r="L281" s="7">
        <f>IF($A281="","",N281-K281)</f>
        <v/>
      </c>
      <c r="M281" s="7">
        <f>IF($A281="","",L281-F281)</f>
        <v/>
      </c>
      <c r="N281" s="7" t="n"/>
      <c r="Q281" s="11" t="n"/>
      <c r="S281">
        <f>IF($A281="","",IF($W281=1,Settings!$C$6,Settings!$C$7)*1)</f>
        <v/>
      </c>
      <c r="U281">
        <f>IF($A281="","",IF(COUNTIF($A$2:$A281,$A281)=1,1,0))</f>
        <v/>
      </c>
      <c r="V281">
        <f>IF($U281=1,SUMPRODUCT(--($X$2:$X$501&lt;$X281))+1,"")</f>
        <v/>
      </c>
      <c r="W281">
        <f>IF($A281="","",IF(OR($T281=TRUE(),$T281="TRUE"),1,0))</f>
        <v/>
      </c>
      <c r="X281">
        <f>IF($U281=1,IFERROR(IF(VALUE($A281)&lt;100000000,VALUE($A281),1000000000),IFERROR(IF(VALUE(MID($A281,2,20))&lt;100000000,VALUE(MID($A281,2,20)),1000000000),1000000000))+ROW()/100000,"")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IF($A282="","",E282*N282/100)</f>
        <v/>
      </c>
      <c r="J282" s="7" t="n"/>
      <c r="K282" s="7">
        <f>IF($A282="","",S282*N282)</f>
        <v/>
      </c>
      <c r="L282" s="7">
        <f>IF($A282="","",N282-K282)</f>
        <v/>
      </c>
      <c r="M282" s="7">
        <f>IF($A282="","",L282-F282)</f>
        <v/>
      </c>
      <c r="N282" s="7" t="n"/>
      <c r="Q282" s="11" t="n"/>
      <c r="S282">
        <f>IF($A282="","",IF($W282=1,Settings!$C$6,Settings!$C$7)*1)</f>
        <v/>
      </c>
      <c r="U282">
        <f>IF($A282="","",IF(COUNTIF($A$2:$A282,$A282)=1,1,0))</f>
        <v/>
      </c>
      <c r="V282">
        <f>IF($U282=1,SUMPRODUCT(--($X$2:$X$501&lt;$X282))+1,"")</f>
        <v/>
      </c>
      <c r="W282">
        <f>IF($A282="","",IF(OR($T282=TRUE(),$T282="TRUE"),1,0))</f>
        <v/>
      </c>
      <c r="X282">
        <f>IF($U282=1,IFERROR(IF(VALUE($A282)&lt;100000000,VALUE($A282),1000000000),IFERROR(IF(VALUE(MID($A282,2,20))&lt;100000000,VALUE(MID($A282,2,20)),1000000000),1000000000))+ROW()/100000,"")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IF($A283="","",E283*N283/100)</f>
        <v/>
      </c>
      <c r="J283" s="7" t="n"/>
      <c r="K283" s="7">
        <f>IF($A283="","",S283*N283)</f>
        <v/>
      </c>
      <c r="L283" s="7">
        <f>IF($A283="","",N283-K283)</f>
        <v/>
      </c>
      <c r="M283" s="7">
        <f>IF($A283="","",L283-F283)</f>
        <v/>
      </c>
      <c r="N283" s="7" t="n"/>
      <c r="Q283" s="11" t="n"/>
      <c r="S283">
        <f>IF($A283="","",IF($W283=1,Settings!$C$6,Settings!$C$7)*1)</f>
        <v/>
      </c>
      <c r="U283">
        <f>IF($A283="","",IF(COUNTIF($A$2:$A283,$A283)=1,1,0))</f>
        <v/>
      </c>
      <c r="V283">
        <f>IF($U283=1,SUMPRODUCT(--($X$2:$X$501&lt;$X283))+1,"")</f>
        <v/>
      </c>
      <c r="W283">
        <f>IF($A283="","",IF(OR($T283=TRUE(),$T283="TRUE"),1,0))</f>
        <v/>
      </c>
      <c r="X283">
        <f>IF($U283=1,IFERROR(IF(VALUE($A283)&lt;100000000,VALUE($A283),1000000000),IFERROR(IF(VALUE(MID($A283,2,20))&lt;100000000,VALUE(MID($A283,2,20)),1000000000),1000000000))+ROW()/100000,"")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IF($A284="","",E284*N284/100)</f>
        <v/>
      </c>
      <c r="J284" s="7" t="n"/>
      <c r="K284" s="7">
        <f>IF($A284="","",S284*N284)</f>
        <v/>
      </c>
      <c r="L284" s="7">
        <f>IF($A284="","",N284-K284)</f>
        <v/>
      </c>
      <c r="M284" s="7">
        <f>IF($A284="","",L284-F284)</f>
        <v/>
      </c>
      <c r="N284" s="7" t="n"/>
      <c r="Q284" s="11" t="n"/>
      <c r="S284">
        <f>IF($A284="","",IF($W284=1,Settings!$C$6,Settings!$C$7)*1)</f>
        <v/>
      </c>
      <c r="U284">
        <f>IF($A284="","",IF(COUNTIF($A$2:$A284,$A284)=1,1,0))</f>
        <v/>
      </c>
      <c r="V284">
        <f>IF($U284=1,SUMPRODUCT(--($X$2:$X$501&lt;$X284))+1,"")</f>
        <v/>
      </c>
      <c r="W284">
        <f>IF($A284="","",IF(OR($T284=TRUE(),$T284="TRUE"),1,0))</f>
        <v/>
      </c>
      <c r="X284">
        <f>IF($U284=1,IFERROR(IF(VALUE($A284)&lt;100000000,VALUE($A284),1000000000),IFERROR(IF(VALUE(MID($A284,2,20))&lt;100000000,VALUE(MID($A284,2,20)),1000000000),1000000000))+ROW()/100000,"")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IF($A285="","",E285*N285/100)</f>
        <v/>
      </c>
      <c r="J285" s="7" t="n"/>
      <c r="K285" s="7">
        <f>IF($A285="","",S285*N285)</f>
        <v/>
      </c>
      <c r="L285" s="7">
        <f>IF($A285="","",N285-K285)</f>
        <v/>
      </c>
      <c r="M285" s="7">
        <f>IF($A285="","",L285-F285)</f>
        <v/>
      </c>
      <c r="N285" s="7" t="n"/>
      <c r="Q285" s="11" t="n"/>
      <c r="S285">
        <f>IF($A285="","",IF($W285=1,Settings!$C$6,Settings!$C$7)*1)</f>
        <v/>
      </c>
      <c r="U285">
        <f>IF($A285="","",IF(COUNTIF($A$2:$A285,$A285)=1,1,0))</f>
        <v/>
      </c>
      <c r="V285">
        <f>IF($U285=1,SUMPRODUCT(--($X$2:$X$501&lt;$X285))+1,"")</f>
        <v/>
      </c>
      <c r="W285">
        <f>IF($A285="","",IF(OR($T285=TRUE(),$T285="TRUE"),1,0))</f>
        <v/>
      </c>
      <c r="X285">
        <f>IF($U285=1,IFERROR(IF(VALUE($A285)&lt;100000000,VALUE($A285),1000000000),IFERROR(IF(VALUE(MID($A285,2,20))&lt;100000000,VALUE(MID($A285,2,20)),1000000000),1000000000))+ROW()/100000,"")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IF($A286="","",E286*N286/100)</f>
        <v/>
      </c>
      <c r="J286" s="7" t="n"/>
      <c r="K286" s="7">
        <f>IF($A286="","",S286*N286)</f>
        <v/>
      </c>
      <c r="L286" s="7">
        <f>IF($A286="","",N286-K286)</f>
        <v/>
      </c>
      <c r="M286" s="7">
        <f>IF($A286="","",L286-F286)</f>
        <v/>
      </c>
      <c r="N286" s="7" t="n"/>
      <c r="Q286" s="11" t="n"/>
      <c r="S286">
        <f>IF($A286="","",IF($W286=1,Settings!$C$6,Settings!$C$7)*1)</f>
        <v/>
      </c>
      <c r="U286">
        <f>IF($A286="","",IF(COUNTIF($A$2:$A286,$A286)=1,1,0))</f>
        <v/>
      </c>
      <c r="V286">
        <f>IF($U286=1,SUMPRODUCT(--($X$2:$X$501&lt;$X286))+1,"")</f>
        <v/>
      </c>
      <c r="W286">
        <f>IF($A286="","",IF(OR($T286=TRUE(),$T286="TRUE"),1,0))</f>
        <v/>
      </c>
      <c r="X286">
        <f>IF($U286=1,IFERROR(IF(VALUE($A286)&lt;100000000,VALUE($A286),1000000000),IFERROR(IF(VALUE(MID($A286,2,20))&lt;100000000,VALUE(MID($A286,2,20)),1000000000),1000000000))+ROW()/100000,"")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IF($A287="","",E287*N287/100)</f>
        <v/>
      </c>
      <c r="J287" s="7" t="n"/>
      <c r="K287" s="7">
        <f>IF($A287="","",S287*N287)</f>
        <v/>
      </c>
      <c r="L287" s="7">
        <f>IF($A287="","",N287-K287)</f>
        <v/>
      </c>
      <c r="M287" s="7">
        <f>IF($A287="","",L287-F287)</f>
        <v/>
      </c>
      <c r="N287" s="7" t="n"/>
      <c r="Q287" s="11" t="n"/>
      <c r="S287">
        <f>IF($A287="","",IF($W287=1,Settings!$C$6,Settings!$C$7)*1)</f>
        <v/>
      </c>
      <c r="U287">
        <f>IF($A287="","",IF(COUNTIF($A$2:$A287,$A287)=1,1,0))</f>
        <v/>
      </c>
      <c r="V287">
        <f>IF($U287=1,SUMPRODUCT(--($X$2:$X$501&lt;$X287))+1,"")</f>
        <v/>
      </c>
      <c r="W287">
        <f>IF($A287="","",IF(OR($T287=TRUE(),$T287="TRUE"),1,0))</f>
        <v/>
      </c>
      <c r="X287">
        <f>IF($U287=1,IFERROR(IF(VALUE($A287)&lt;100000000,VALUE($A287),1000000000),IFERROR(IF(VALUE(MID($A287,2,20))&lt;100000000,VALUE(MID($A287,2,20)),1000000000),1000000000))+ROW()/100000,"")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IF($A288="","",E288*N288/100)</f>
        <v/>
      </c>
      <c r="J288" s="7" t="n"/>
      <c r="K288" s="7">
        <f>IF($A288="","",S288*N288)</f>
        <v/>
      </c>
      <c r="L288" s="7">
        <f>IF($A288="","",N288-K288)</f>
        <v/>
      </c>
      <c r="M288" s="7">
        <f>IF($A288="","",L288-F288)</f>
        <v/>
      </c>
      <c r="N288" s="7" t="n"/>
      <c r="Q288" s="11" t="n"/>
      <c r="S288">
        <f>IF($A288="","",IF($W288=1,Settings!$C$6,Settings!$C$7)*1)</f>
        <v/>
      </c>
      <c r="U288">
        <f>IF($A288="","",IF(COUNTIF($A$2:$A288,$A288)=1,1,0))</f>
        <v/>
      </c>
      <c r="V288">
        <f>IF($U288=1,SUMPRODUCT(--($X$2:$X$501&lt;$X288))+1,"")</f>
        <v/>
      </c>
      <c r="W288">
        <f>IF($A288="","",IF(OR($T288=TRUE(),$T288="TRUE"),1,0))</f>
        <v/>
      </c>
      <c r="X288">
        <f>IF($U288=1,IFERROR(IF(VALUE($A288)&lt;100000000,VALUE($A288),1000000000),IFERROR(IF(VALUE(MID($A288,2,20))&lt;100000000,VALUE(MID($A288,2,20)),1000000000),1000000000))+ROW()/100000,"")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IF($A289="","",E289*N289/100)</f>
        <v/>
      </c>
      <c r="J289" s="7" t="n"/>
      <c r="K289" s="7">
        <f>IF($A289="","",S289*N289)</f>
        <v/>
      </c>
      <c r="L289" s="7">
        <f>IF($A289="","",N289-K289)</f>
        <v/>
      </c>
      <c r="M289" s="7">
        <f>IF($A289="","",L289-F289)</f>
        <v/>
      </c>
      <c r="N289" s="7" t="n"/>
      <c r="Q289" s="11" t="n"/>
      <c r="S289">
        <f>IF($A289="","",IF($W289=1,Settings!$C$6,Settings!$C$7)*1)</f>
        <v/>
      </c>
      <c r="U289">
        <f>IF($A289="","",IF(COUNTIF($A$2:$A289,$A289)=1,1,0))</f>
        <v/>
      </c>
      <c r="V289">
        <f>IF($U289=1,SUMPRODUCT(--($X$2:$X$501&lt;$X289))+1,"")</f>
        <v/>
      </c>
      <c r="W289">
        <f>IF($A289="","",IF(OR($T289=TRUE(),$T289="TRUE"),1,0))</f>
        <v/>
      </c>
      <c r="X289">
        <f>IF($U289=1,IFERROR(IF(VALUE($A289)&lt;100000000,VALUE($A289),1000000000),IFERROR(IF(VALUE(MID($A289,2,20))&lt;100000000,VALUE(MID($A289,2,20)),1000000000),1000000000))+ROW()/100000,"")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IF($A290="","",E290*N290/100)</f>
        <v/>
      </c>
      <c r="J290" s="7" t="n"/>
      <c r="K290" s="7">
        <f>IF($A290="","",S290*N290)</f>
        <v/>
      </c>
      <c r="L290" s="7">
        <f>IF($A290="","",N290-K290)</f>
        <v/>
      </c>
      <c r="M290" s="7">
        <f>IF($A290="","",L290-F290)</f>
        <v/>
      </c>
      <c r="N290" s="7" t="n"/>
      <c r="Q290" s="11" t="n"/>
      <c r="S290">
        <f>IF($A290="","",IF($W290=1,Settings!$C$6,Settings!$C$7)*1)</f>
        <v/>
      </c>
      <c r="U290">
        <f>IF($A290="","",IF(COUNTIF($A$2:$A290,$A290)=1,1,0))</f>
        <v/>
      </c>
      <c r="V290">
        <f>IF($U290=1,SUMPRODUCT(--($X$2:$X$501&lt;$X290))+1,"")</f>
        <v/>
      </c>
      <c r="W290">
        <f>IF($A290="","",IF(OR($T290=TRUE(),$T290="TRUE"),1,0))</f>
        <v/>
      </c>
      <c r="X290">
        <f>IF($U290=1,IFERROR(IF(VALUE($A290)&lt;100000000,VALUE($A290),1000000000),IFERROR(IF(VALUE(MID($A290,2,20))&lt;100000000,VALUE(MID($A290,2,20)),1000000000),1000000000))+ROW()/100000,"")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IF($A291="","",E291*N291/100)</f>
        <v/>
      </c>
      <c r="J291" s="7" t="n"/>
      <c r="K291" s="7">
        <f>IF($A291="","",S291*N291)</f>
        <v/>
      </c>
      <c r="L291" s="7">
        <f>IF($A291="","",N291-K291)</f>
        <v/>
      </c>
      <c r="M291" s="7">
        <f>IF($A291="","",L291-F291)</f>
        <v/>
      </c>
      <c r="N291" s="7" t="n"/>
      <c r="Q291" s="11" t="n"/>
      <c r="S291">
        <f>IF($A291="","",IF($W291=1,Settings!$C$6,Settings!$C$7)*1)</f>
        <v/>
      </c>
      <c r="U291">
        <f>IF($A291="","",IF(COUNTIF($A$2:$A291,$A291)=1,1,0))</f>
        <v/>
      </c>
      <c r="V291">
        <f>IF($U291=1,SUMPRODUCT(--($X$2:$X$501&lt;$X291))+1,"")</f>
        <v/>
      </c>
      <c r="W291">
        <f>IF($A291="","",IF(OR($T291=TRUE(),$T291="TRUE"),1,0))</f>
        <v/>
      </c>
      <c r="X291">
        <f>IF($U291=1,IFERROR(IF(VALUE($A291)&lt;100000000,VALUE($A291),1000000000),IFERROR(IF(VALUE(MID($A291,2,20))&lt;100000000,VALUE(MID($A291,2,20)),1000000000),1000000000))+ROW()/100000,"")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IF($A292="","",E292*N292/100)</f>
        <v/>
      </c>
      <c r="J292" s="7" t="n"/>
      <c r="K292" s="7">
        <f>IF($A292="","",S292*N292)</f>
        <v/>
      </c>
      <c r="L292" s="7">
        <f>IF($A292="","",N292-K292)</f>
        <v/>
      </c>
      <c r="M292" s="7">
        <f>IF($A292="","",L292-F292)</f>
        <v/>
      </c>
      <c r="N292" s="7" t="n"/>
      <c r="Q292" s="11" t="n"/>
      <c r="S292">
        <f>IF($A292="","",IF($W292=1,Settings!$C$6,Settings!$C$7)*1)</f>
        <v/>
      </c>
      <c r="U292">
        <f>IF($A292="","",IF(COUNTIF($A$2:$A292,$A292)=1,1,0))</f>
        <v/>
      </c>
      <c r="V292">
        <f>IF($U292=1,SUMPRODUCT(--($X$2:$X$501&lt;$X292))+1,"")</f>
        <v/>
      </c>
      <c r="W292">
        <f>IF($A292="","",IF(OR($T292=TRUE(),$T292="TRUE"),1,0))</f>
        <v/>
      </c>
      <c r="X292">
        <f>IF($U292=1,IFERROR(IF(VALUE($A292)&lt;100000000,VALUE($A292),1000000000),IFERROR(IF(VALUE(MID($A292,2,20))&lt;100000000,VALUE(MID($A292,2,20)),1000000000),1000000000))+ROW()/100000,"")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IF($A293="","",E293*N293/100)</f>
        <v/>
      </c>
      <c r="J293" s="7" t="n"/>
      <c r="K293" s="7">
        <f>IF($A293="","",S293*N293)</f>
        <v/>
      </c>
      <c r="L293" s="7">
        <f>IF($A293="","",N293-K293)</f>
        <v/>
      </c>
      <c r="M293" s="7">
        <f>IF($A293="","",L293-F293)</f>
        <v/>
      </c>
      <c r="N293" s="7" t="n"/>
      <c r="Q293" s="11" t="n"/>
      <c r="S293">
        <f>IF($A293="","",IF($W293=1,Settings!$C$6,Settings!$C$7)*1)</f>
        <v/>
      </c>
      <c r="U293">
        <f>IF($A293="","",IF(COUNTIF($A$2:$A293,$A293)=1,1,0))</f>
        <v/>
      </c>
      <c r="V293">
        <f>IF($U293=1,SUMPRODUCT(--($X$2:$X$501&lt;$X293))+1,"")</f>
        <v/>
      </c>
      <c r="W293">
        <f>IF($A293="","",IF(OR($T293=TRUE(),$T293="TRUE"),1,0))</f>
        <v/>
      </c>
      <c r="X293">
        <f>IF($U293=1,IFERROR(IF(VALUE($A293)&lt;100000000,VALUE($A293),1000000000),IFERROR(IF(VALUE(MID($A293,2,20))&lt;100000000,VALUE(MID($A293,2,20)),1000000000),1000000000))+ROW()/100000,"")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IF($A294="","",E294*N294/100)</f>
        <v/>
      </c>
      <c r="J294" s="7" t="n"/>
      <c r="K294" s="7">
        <f>IF($A294="","",S294*N294)</f>
        <v/>
      </c>
      <c r="L294" s="7">
        <f>IF($A294="","",N294-K294)</f>
        <v/>
      </c>
      <c r="M294" s="7">
        <f>IF($A294="","",L294-F294)</f>
        <v/>
      </c>
      <c r="N294" s="7" t="n"/>
      <c r="Q294" s="11" t="n"/>
      <c r="S294">
        <f>IF($A294="","",IF($W294=1,Settings!$C$6,Settings!$C$7)*1)</f>
        <v/>
      </c>
      <c r="U294">
        <f>IF($A294="","",IF(COUNTIF($A$2:$A294,$A294)=1,1,0))</f>
        <v/>
      </c>
      <c r="V294">
        <f>IF($U294=1,SUMPRODUCT(--($X$2:$X$501&lt;$X294))+1,"")</f>
        <v/>
      </c>
      <c r="W294">
        <f>IF($A294="","",IF(OR($T294=TRUE(),$T294="TRUE"),1,0))</f>
        <v/>
      </c>
      <c r="X294">
        <f>IF($U294=1,IFERROR(IF(VALUE($A294)&lt;100000000,VALUE($A294),1000000000),IFERROR(IF(VALUE(MID($A294,2,20))&lt;100000000,VALUE(MID($A294,2,20)),1000000000),1000000000))+ROW()/100000,"")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IF($A295="","",E295*N295/100)</f>
        <v/>
      </c>
      <c r="J295" s="7" t="n"/>
      <c r="K295" s="7">
        <f>IF($A295="","",S295*N295)</f>
        <v/>
      </c>
      <c r="L295" s="7">
        <f>IF($A295="","",N295-K295)</f>
        <v/>
      </c>
      <c r="M295" s="7">
        <f>IF($A295="","",L295-F295)</f>
        <v/>
      </c>
      <c r="N295" s="7" t="n"/>
      <c r="Q295" s="11" t="n"/>
      <c r="S295">
        <f>IF($A295="","",IF($W295=1,Settings!$C$6,Settings!$C$7)*1)</f>
        <v/>
      </c>
      <c r="U295">
        <f>IF($A295="","",IF(COUNTIF($A$2:$A295,$A295)=1,1,0))</f>
        <v/>
      </c>
      <c r="V295">
        <f>IF($U295=1,SUMPRODUCT(--($X$2:$X$501&lt;$X295))+1,"")</f>
        <v/>
      </c>
      <c r="W295">
        <f>IF($A295="","",IF(OR($T295=TRUE(),$T295="TRUE"),1,0))</f>
        <v/>
      </c>
      <c r="X295">
        <f>IF($U295=1,IFERROR(IF(VALUE($A295)&lt;100000000,VALUE($A295),1000000000),IFERROR(IF(VALUE(MID($A295,2,20))&lt;100000000,VALUE(MID($A295,2,20)),1000000000),1000000000))+ROW()/100000,"")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IF($A296="","",E296*N296/100)</f>
        <v/>
      </c>
      <c r="J296" s="7" t="n"/>
      <c r="K296" s="7">
        <f>IF($A296="","",S296*N296)</f>
        <v/>
      </c>
      <c r="L296" s="7">
        <f>IF($A296="","",N296-K296)</f>
        <v/>
      </c>
      <c r="M296" s="7">
        <f>IF($A296="","",L296-F296)</f>
        <v/>
      </c>
      <c r="N296" s="7" t="n"/>
      <c r="Q296" s="11" t="n"/>
      <c r="S296">
        <f>IF($A296="","",IF($W296=1,Settings!$C$6,Settings!$C$7)*1)</f>
        <v/>
      </c>
      <c r="U296">
        <f>IF($A296="","",IF(COUNTIF($A$2:$A296,$A296)=1,1,0))</f>
        <v/>
      </c>
      <c r="V296">
        <f>IF($U296=1,SUMPRODUCT(--($X$2:$X$501&lt;$X296))+1,"")</f>
        <v/>
      </c>
      <c r="W296">
        <f>IF($A296="","",IF(OR($T296=TRUE(),$T296="TRUE"),1,0))</f>
        <v/>
      </c>
      <c r="X296">
        <f>IF($U296=1,IFERROR(IF(VALUE($A296)&lt;100000000,VALUE($A296),1000000000),IFERROR(IF(VALUE(MID($A296,2,20))&lt;100000000,VALUE(MID($A296,2,20)),1000000000),1000000000))+ROW()/100000,"")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IF($A297="","",E297*N297/100)</f>
        <v/>
      </c>
      <c r="J297" s="7" t="n"/>
      <c r="K297" s="7">
        <f>IF($A297="","",S297*N297)</f>
        <v/>
      </c>
      <c r="L297" s="7">
        <f>IF($A297="","",N297-K297)</f>
        <v/>
      </c>
      <c r="M297" s="7">
        <f>IF($A297="","",L297-F297)</f>
        <v/>
      </c>
      <c r="N297" s="7" t="n"/>
      <c r="Q297" s="11" t="n"/>
      <c r="S297">
        <f>IF($A297="","",IF($W297=1,Settings!$C$6,Settings!$C$7)*1)</f>
        <v/>
      </c>
      <c r="U297">
        <f>IF($A297="","",IF(COUNTIF($A$2:$A297,$A297)=1,1,0))</f>
        <v/>
      </c>
      <c r="V297">
        <f>IF($U297=1,SUMPRODUCT(--($X$2:$X$501&lt;$X297))+1,"")</f>
        <v/>
      </c>
      <c r="W297">
        <f>IF($A297="","",IF(OR($T297=TRUE(),$T297="TRUE"),1,0))</f>
        <v/>
      </c>
      <c r="X297">
        <f>IF($U297=1,IFERROR(IF(VALUE($A297)&lt;100000000,VALUE($A297),1000000000),IFERROR(IF(VALUE(MID($A297,2,20))&lt;100000000,VALUE(MID($A297,2,20)),1000000000),1000000000))+ROW()/100000,"")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IF($A298="","",E298*N298/100)</f>
        <v/>
      </c>
      <c r="J298" s="7" t="n"/>
      <c r="K298" s="7">
        <f>IF($A298="","",S298*N298)</f>
        <v/>
      </c>
      <c r="L298" s="7">
        <f>IF($A298="","",N298-K298)</f>
        <v/>
      </c>
      <c r="M298" s="7">
        <f>IF($A298="","",L298-F298)</f>
        <v/>
      </c>
      <c r="N298" s="7" t="n"/>
      <c r="Q298" s="11" t="n"/>
      <c r="S298">
        <f>IF($A298="","",IF($W298=1,Settings!$C$6,Settings!$C$7)*1)</f>
        <v/>
      </c>
      <c r="U298">
        <f>IF($A298="","",IF(COUNTIF($A$2:$A298,$A298)=1,1,0))</f>
        <v/>
      </c>
      <c r="V298">
        <f>IF($U298=1,SUMPRODUCT(--($X$2:$X$501&lt;$X298))+1,"")</f>
        <v/>
      </c>
      <c r="W298">
        <f>IF($A298="","",IF(OR($T298=TRUE(),$T298="TRUE"),1,0))</f>
        <v/>
      </c>
      <c r="X298">
        <f>IF($U298=1,IFERROR(IF(VALUE($A298)&lt;100000000,VALUE($A298),1000000000),IFERROR(IF(VALUE(MID($A298,2,20))&lt;100000000,VALUE(MID($A298,2,20)),1000000000),1000000000))+ROW()/100000,"")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IF($A299="","",E299*N299/100)</f>
        <v/>
      </c>
      <c r="J299" s="7" t="n"/>
      <c r="K299" s="7">
        <f>IF($A299="","",S299*N299)</f>
        <v/>
      </c>
      <c r="L299" s="7">
        <f>IF($A299="","",N299-K299)</f>
        <v/>
      </c>
      <c r="M299" s="7">
        <f>IF($A299="","",L299-F299)</f>
        <v/>
      </c>
      <c r="N299" s="7" t="n"/>
      <c r="Q299" s="11" t="n"/>
      <c r="S299">
        <f>IF($A299="","",IF($W299=1,Settings!$C$6,Settings!$C$7)*1)</f>
        <v/>
      </c>
      <c r="U299">
        <f>IF($A299="","",IF(COUNTIF($A$2:$A299,$A299)=1,1,0))</f>
        <v/>
      </c>
      <c r="V299">
        <f>IF($U299=1,SUMPRODUCT(--($X$2:$X$501&lt;$X299))+1,"")</f>
        <v/>
      </c>
      <c r="W299">
        <f>IF($A299="","",IF(OR($T299=TRUE(),$T299="TRUE"),1,0))</f>
        <v/>
      </c>
      <c r="X299">
        <f>IF($U299=1,IFERROR(IF(VALUE($A299)&lt;100000000,VALUE($A299),1000000000),IFERROR(IF(VALUE(MID($A299,2,20))&lt;100000000,VALUE(MID($A299,2,20)),1000000000),1000000000))+ROW()/100000,"")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IF($A300="","",E300*N300/100)</f>
        <v/>
      </c>
      <c r="J300" s="7" t="n"/>
      <c r="K300" s="7">
        <f>IF($A300="","",S300*N300)</f>
        <v/>
      </c>
      <c r="L300" s="7">
        <f>IF($A300="","",N300-K300)</f>
        <v/>
      </c>
      <c r="M300" s="7">
        <f>IF($A300="","",L300-F300)</f>
        <v/>
      </c>
      <c r="N300" s="7" t="n"/>
      <c r="Q300" s="11" t="n"/>
      <c r="S300">
        <f>IF($A300="","",IF($W300=1,Settings!$C$6,Settings!$C$7)*1)</f>
        <v/>
      </c>
      <c r="U300">
        <f>IF($A300="","",IF(COUNTIF($A$2:$A300,$A300)=1,1,0))</f>
        <v/>
      </c>
      <c r="V300">
        <f>IF($U300=1,SUMPRODUCT(--($X$2:$X$501&lt;$X300))+1,"")</f>
        <v/>
      </c>
      <c r="W300">
        <f>IF($A300="","",IF(OR($T300=TRUE(),$T300="TRUE"),1,0))</f>
        <v/>
      </c>
      <c r="X300">
        <f>IF($U300=1,IFERROR(IF(VALUE($A300)&lt;100000000,VALUE($A300),1000000000),IFERROR(IF(VALUE(MID($A300,2,20))&lt;100000000,VALUE(MID($A300,2,20)),1000000000),1000000000))+ROW()/100000,"")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IF($A301="","",E301*N301/100)</f>
        <v/>
      </c>
      <c r="J301" s="7" t="n"/>
      <c r="K301" s="7">
        <f>IF($A301="","",S301*N301)</f>
        <v/>
      </c>
      <c r="L301" s="7">
        <f>IF($A301="","",N301-K301)</f>
        <v/>
      </c>
      <c r="M301" s="7">
        <f>IF($A301="","",L301-F301)</f>
        <v/>
      </c>
      <c r="N301" s="7" t="n"/>
      <c r="Q301" s="11" t="n"/>
      <c r="S301">
        <f>IF($A301="","",IF($W301=1,Settings!$C$6,Settings!$C$7)*1)</f>
        <v/>
      </c>
      <c r="U301">
        <f>IF($A301="","",IF(COUNTIF($A$2:$A301,$A301)=1,1,0))</f>
        <v/>
      </c>
      <c r="V301">
        <f>IF($U301=1,SUMPRODUCT(--($X$2:$X$501&lt;$X301))+1,"")</f>
        <v/>
      </c>
      <c r="W301">
        <f>IF($A301="","",IF(OR($T301=TRUE(),$T301="TRUE"),1,0))</f>
        <v/>
      </c>
      <c r="X301">
        <f>IF($U301=1,IFERROR(IF(VALUE($A301)&lt;100000000,VALUE($A301),1000000000),IFERROR(IF(VALUE(MID($A301,2,20))&lt;100000000,VALUE(MID($A301,2,20)),1000000000),1000000000))+ROW()/100000,"")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IF($A302="","",E302*N302/100)</f>
        <v/>
      </c>
      <c r="J302" s="7" t="n"/>
      <c r="K302" s="7">
        <f>IF($A302="","",S302*N302)</f>
        <v/>
      </c>
      <c r="L302" s="7">
        <f>IF($A302="","",N302-K302)</f>
        <v/>
      </c>
      <c r="M302" s="7">
        <f>IF($A302="","",L302-F302)</f>
        <v/>
      </c>
      <c r="N302" s="7" t="n"/>
      <c r="Q302" s="11" t="n"/>
      <c r="S302">
        <f>IF($A302="","",IF($W302=1,Settings!$C$6,Settings!$C$7)*1)</f>
        <v/>
      </c>
      <c r="U302">
        <f>IF($A302="","",IF(COUNTIF($A$2:$A302,$A302)=1,1,0))</f>
        <v/>
      </c>
      <c r="V302">
        <f>IF($U302=1,SUMPRODUCT(--($X$2:$X$501&lt;$X302))+1,"")</f>
        <v/>
      </c>
      <c r="W302">
        <f>IF($A302="","",IF(OR($T302=TRUE(),$T302="TRUE"),1,0))</f>
        <v/>
      </c>
      <c r="X302">
        <f>IF($U302=1,IFERROR(IF(VALUE($A302)&lt;100000000,VALUE($A302),1000000000),IFERROR(IF(VALUE(MID($A302,2,20))&lt;100000000,VALUE(MID($A302,2,20)),1000000000),1000000000))+ROW()/100000,"")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IF($A303="","",E303*N303/100)</f>
        <v/>
      </c>
      <c r="J303" s="7" t="n"/>
      <c r="K303" s="7">
        <f>IF($A303="","",S303*N303)</f>
        <v/>
      </c>
      <c r="L303" s="7">
        <f>IF($A303="","",N303-K303)</f>
        <v/>
      </c>
      <c r="M303" s="7">
        <f>IF($A303="","",L303-F303)</f>
        <v/>
      </c>
      <c r="N303" s="7" t="n"/>
      <c r="Q303" s="11" t="n"/>
      <c r="S303">
        <f>IF($A303="","",IF($W303=1,Settings!$C$6,Settings!$C$7)*1)</f>
        <v/>
      </c>
      <c r="U303">
        <f>IF($A303="","",IF(COUNTIF($A$2:$A303,$A303)=1,1,0))</f>
        <v/>
      </c>
      <c r="V303">
        <f>IF($U303=1,SUMPRODUCT(--($X$2:$X$501&lt;$X303))+1,"")</f>
        <v/>
      </c>
      <c r="W303">
        <f>IF($A303="","",IF(OR($T303=TRUE(),$T303="TRUE"),1,0))</f>
        <v/>
      </c>
      <c r="X303">
        <f>IF($U303=1,IFERROR(IF(VALUE($A303)&lt;100000000,VALUE($A303),1000000000),IFERROR(IF(VALUE(MID($A303,2,20))&lt;100000000,VALUE(MID($A303,2,20)),1000000000),1000000000))+ROW()/100000,"")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IF($A304="","",E304*N304/100)</f>
        <v/>
      </c>
      <c r="J304" s="7" t="n"/>
      <c r="K304" s="7">
        <f>IF($A304="","",S304*N304)</f>
        <v/>
      </c>
      <c r="L304" s="7">
        <f>IF($A304="","",N304-K304)</f>
        <v/>
      </c>
      <c r="M304" s="7">
        <f>IF($A304="","",L304-F304)</f>
        <v/>
      </c>
      <c r="N304" s="7" t="n"/>
      <c r="Q304" s="11" t="n"/>
      <c r="S304">
        <f>IF($A304="","",IF($W304=1,Settings!$C$6,Settings!$C$7)*1)</f>
        <v/>
      </c>
      <c r="U304">
        <f>IF($A304="","",IF(COUNTIF($A$2:$A304,$A304)=1,1,0))</f>
        <v/>
      </c>
      <c r="V304">
        <f>IF($U304=1,SUMPRODUCT(--($X$2:$X$501&lt;$X304))+1,"")</f>
        <v/>
      </c>
      <c r="W304">
        <f>IF($A304="","",IF(OR($T304=TRUE(),$T304="TRUE"),1,0))</f>
        <v/>
      </c>
      <c r="X304">
        <f>IF($U304=1,IFERROR(IF(VALUE($A304)&lt;100000000,VALUE($A304),1000000000),IFERROR(IF(VALUE(MID($A304,2,20))&lt;100000000,VALUE(MID($A304,2,20)),1000000000),1000000000))+ROW()/100000,"")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IF($A305="","",E305*N305/100)</f>
        <v/>
      </c>
      <c r="J305" s="7" t="n"/>
      <c r="K305" s="7">
        <f>IF($A305="","",S305*N305)</f>
        <v/>
      </c>
      <c r="L305" s="7">
        <f>IF($A305="","",N305-K305)</f>
        <v/>
      </c>
      <c r="M305" s="7">
        <f>IF($A305="","",L305-F305)</f>
        <v/>
      </c>
      <c r="N305" s="7" t="n"/>
      <c r="Q305" s="11" t="n"/>
      <c r="S305">
        <f>IF($A305="","",IF($W305=1,Settings!$C$6,Settings!$C$7)*1)</f>
        <v/>
      </c>
      <c r="U305">
        <f>IF($A305="","",IF(COUNTIF($A$2:$A305,$A305)=1,1,0))</f>
        <v/>
      </c>
      <c r="V305">
        <f>IF($U305=1,SUMPRODUCT(--($X$2:$X$501&lt;$X305))+1,"")</f>
        <v/>
      </c>
      <c r="W305">
        <f>IF($A305="","",IF(OR($T305=TRUE(),$T305="TRUE"),1,0))</f>
        <v/>
      </c>
      <c r="X305">
        <f>IF($U305=1,IFERROR(IF(VALUE($A305)&lt;100000000,VALUE($A305),1000000000),IFERROR(IF(VALUE(MID($A305,2,20))&lt;100000000,VALUE(MID($A305,2,20)),1000000000),1000000000))+ROW()/100000,"")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IF($A306="","",E306*N306/100)</f>
        <v/>
      </c>
      <c r="J306" s="7" t="n"/>
      <c r="K306" s="7">
        <f>IF($A306="","",S306*N306)</f>
        <v/>
      </c>
      <c r="L306" s="7">
        <f>IF($A306="","",N306-K306)</f>
        <v/>
      </c>
      <c r="M306" s="7">
        <f>IF($A306="","",L306-F306)</f>
        <v/>
      </c>
      <c r="N306" s="7" t="n"/>
      <c r="Q306" s="11" t="n"/>
      <c r="S306">
        <f>IF($A306="","",IF($W306=1,Settings!$C$6,Settings!$C$7)*1)</f>
        <v/>
      </c>
      <c r="U306">
        <f>IF($A306="","",IF(COUNTIF($A$2:$A306,$A306)=1,1,0))</f>
        <v/>
      </c>
      <c r="V306">
        <f>IF($U306=1,SUMPRODUCT(--($X$2:$X$501&lt;$X306))+1,"")</f>
        <v/>
      </c>
      <c r="W306">
        <f>IF($A306="","",IF(OR($T306=TRUE(),$T306="TRUE"),1,0))</f>
        <v/>
      </c>
      <c r="X306">
        <f>IF($U306=1,IFERROR(IF(VALUE($A306)&lt;100000000,VALUE($A306),1000000000),IFERROR(IF(VALUE(MID($A306,2,20))&lt;100000000,VALUE(MID($A306,2,20)),1000000000),1000000000))+ROW()/100000,"")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IF($A307="","",E307*N307/100)</f>
        <v/>
      </c>
      <c r="J307" s="7" t="n"/>
      <c r="K307" s="7">
        <f>IF($A307="","",S307*N307)</f>
        <v/>
      </c>
      <c r="L307" s="7">
        <f>IF($A307="","",N307-K307)</f>
        <v/>
      </c>
      <c r="M307" s="7">
        <f>IF($A307="","",L307-F307)</f>
        <v/>
      </c>
      <c r="N307" s="7" t="n"/>
      <c r="Q307" s="11" t="n"/>
      <c r="S307">
        <f>IF($A307="","",IF($W307=1,Settings!$C$6,Settings!$C$7)*1)</f>
        <v/>
      </c>
      <c r="U307">
        <f>IF($A307="","",IF(COUNTIF($A$2:$A307,$A307)=1,1,0))</f>
        <v/>
      </c>
      <c r="V307">
        <f>IF($U307=1,SUMPRODUCT(--($X$2:$X$501&lt;$X307))+1,"")</f>
        <v/>
      </c>
      <c r="W307">
        <f>IF($A307="","",IF(OR($T307=TRUE(),$T307="TRUE"),1,0))</f>
        <v/>
      </c>
      <c r="X307">
        <f>IF($U307=1,IFERROR(IF(VALUE($A307)&lt;100000000,VALUE($A307),1000000000),IFERROR(IF(VALUE(MID($A307,2,20))&lt;100000000,VALUE(MID($A307,2,20)),1000000000),1000000000))+ROW()/100000,"")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IF($A308="","",E308*N308/100)</f>
        <v/>
      </c>
      <c r="J308" s="7" t="n"/>
      <c r="K308" s="7">
        <f>IF($A308="","",S308*N308)</f>
        <v/>
      </c>
      <c r="L308" s="7">
        <f>IF($A308="","",N308-K308)</f>
        <v/>
      </c>
      <c r="M308" s="7">
        <f>IF($A308="","",L308-F308)</f>
        <v/>
      </c>
      <c r="N308" s="7" t="n"/>
      <c r="Q308" s="11" t="n"/>
      <c r="S308">
        <f>IF($A308="","",IF($W308=1,Settings!$C$6,Settings!$C$7)*1)</f>
        <v/>
      </c>
      <c r="U308">
        <f>IF($A308="","",IF(COUNTIF($A$2:$A308,$A308)=1,1,0))</f>
        <v/>
      </c>
      <c r="V308">
        <f>IF($U308=1,SUMPRODUCT(--($X$2:$X$501&lt;$X308))+1,"")</f>
        <v/>
      </c>
      <c r="W308">
        <f>IF($A308="","",IF(OR($T308=TRUE(),$T308="TRUE"),1,0))</f>
        <v/>
      </c>
      <c r="X308">
        <f>IF($U308=1,IFERROR(IF(VALUE($A308)&lt;100000000,VALUE($A308),1000000000),IFERROR(IF(VALUE(MID($A308,2,20))&lt;100000000,VALUE(MID($A308,2,20)),1000000000),1000000000))+ROW()/100000,"")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IF($A309="","",E309*N309/100)</f>
        <v/>
      </c>
      <c r="J309" s="7" t="n"/>
      <c r="K309" s="7">
        <f>IF($A309="","",S309*N309)</f>
        <v/>
      </c>
      <c r="L309" s="7">
        <f>IF($A309="","",N309-K309)</f>
        <v/>
      </c>
      <c r="M309" s="7">
        <f>IF($A309="","",L309-F309)</f>
        <v/>
      </c>
      <c r="N309" s="7" t="n"/>
      <c r="Q309" s="11" t="n"/>
      <c r="S309">
        <f>IF($A309="","",IF($W309=1,Settings!$C$6,Settings!$C$7)*1)</f>
        <v/>
      </c>
      <c r="U309">
        <f>IF($A309="","",IF(COUNTIF($A$2:$A309,$A309)=1,1,0))</f>
        <v/>
      </c>
      <c r="V309">
        <f>IF($U309=1,SUMPRODUCT(--($X$2:$X$501&lt;$X309))+1,"")</f>
        <v/>
      </c>
      <c r="W309">
        <f>IF($A309="","",IF(OR($T309=TRUE(),$T309="TRUE"),1,0))</f>
        <v/>
      </c>
      <c r="X309">
        <f>IF($U309=1,IFERROR(IF(VALUE($A309)&lt;100000000,VALUE($A309),1000000000),IFERROR(IF(VALUE(MID($A309,2,20))&lt;100000000,VALUE(MID($A309,2,20)),1000000000),1000000000))+ROW()/100000,"")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IF($A310="","",E310*N310/100)</f>
        <v/>
      </c>
      <c r="J310" s="7" t="n"/>
      <c r="K310" s="7">
        <f>IF($A310="","",S310*N310)</f>
        <v/>
      </c>
      <c r="L310" s="7">
        <f>IF($A310="","",N310-K310)</f>
        <v/>
      </c>
      <c r="M310" s="7">
        <f>IF($A310="","",L310-F310)</f>
        <v/>
      </c>
      <c r="N310" s="7" t="n"/>
      <c r="Q310" s="11" t="n"/>
      <c r="S310">
        <f>IF($A310="","",IF($W310=1,Settings!$C$6,Settings!$C$7)*1)</f>
        <v/>
      </c>
      <c r="U310">
        <f>IF($A310="","",IF(COUNTIF($A$2:$A310,$A310)=1,1,0))</f>
        <v/>
      </c>
      <c r="V310">
        <f>IF($U310=1,SUMPRODUCT(--($X$2:$X$501&lt;$X310))+1,"")</f>
        <v/>
      </c>
      <c r="W310">
        <f>IF($A310="","",IF(OR($T310=TRUE(),$T310="TRUE"),1,0))</f>
        <v/>
      </c>
      <c r="X310">
        <f>IF($U310=1,IFERROR(IF(VALUE($A310)&lt;100000000,VALUE($A310),1000000000),IFERROR(IF(VALUE(MID($A310,2,20))&lt;100000000,VALUE(MID($A310,2,20)),1000000000),1000000000))+ROW()/100000,"")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IF($A311="","",E311*N311/100)</f>
        <v/>
      </c>
      <c r="J311" s="7" t="n"/>
      <c r="K311" s="7">
        <f>IF($A311="","",S311*N311)</f>
        <v/>
      </c>
      <c r="L311" s="7">
        <f>IF($A311="","",N311-K311)</f>
        <v/>
      </c>
      <c r="M311" s="7">
        <f>IF($A311="","",L311-F311)</f>
        <v/>
      </c>
      <c r="N311" s="7" t="n"/>
      <c r="Q311" s="11" t="n"/>
      <c r="S311">
        <f>IF($A311="","",IF($W311=1,Settings!$C$6,Settings!$C$7)*1)</f>
        <v/>
      </c>
      <c r="U311">
        <f>IF($A311="","",IF(COUNTIF($A$2:$A311,$A311)=1,1,0))</f>
        <v/>
      </c>
      <c r="V311">
        <f>IF($U311=1,SUMPRODUCT(--($X$2:$X$501&lt;$X311))+1,"")</f>
        <v/>
      </c>
      <c r="W311">
        <f>IF($A311="","",IF(OR($T311=TRUE(),$T311="TRUE"),1,0))</f>
        <v/>
      </c>
      <c r="X311">
        <f>IF($U311=1,IFERROR(IF(VALUE($A311)&lt;100000000,VALUE($A311),1000000000),IFERROR(IF(VALUE(MID($A311,2,20))&lt;100000000,VALUE(MID($A311,2,20)),1000000000),1000000000))+ROW()/100000,"")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IF($A312="","",E312*N312/100)</f>
        <v/>
      </c>
      <c r="J312" s="7" t="n"/>
      <c r="K312" s="7">
        <f>IF($A312="","",S312*N312)</f>
        <v/>
      </c>
      <c r="L312" s="7">
        <f>IF($A312="","",N312-K312)</f>
        <v/>
      </c>
      <c r="M312" s="7">
        <f>IF($A312="","",L312-F312)</f>
        <v/>
      </c>
      <c r="N312" s="7" t="n"/>
      <c r="Q312" s="11" t="n"/>
      <c r="S312">
        <f>IF($A312="","",IF($W312=1,Settings!$C$6,Settings!$C$7)*1)</f>
        <v/>
      </c>
      <c r="U312">
        <f>IF($A312="","",IF(COUNTIF($A$2:$A312,$A312)=1,1,0))</f>
        <v/>
      </c>
      <c r="V312">
        <f>IF($U312=1,SUMPRODUCT(--($X$2:$X$501&lt;$X312))+1,"")</f>
        <v/>
      </c>
      <c r="W312">
        <f>IF($A312="","",IF(OR($T312=TRUE(),$T312="TRUE"),1,0))</f>
        <v/>
      </c>
      <c r="X312">
        <f>IF($U312=1,IFERROR(IF(VALUE($A312)&lt;100000000,VALUE($A312),1000000000),IFERROR(IF(VALUE(MID($A312,2,20))&lt;100000000,VALUE(MID($A312,2,20)),1000000000),1000000000))+ROW()/100000,"")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IF($A313="","",E313*N313/100)</f>
        <v/>
      </c>
      <c r="J313" s="7" t="n"/>
      <c r="K313" s="7">
        <f>IF($A313="","",S313*N313)</f>
        <v/>
      </c>
      <c r="L313" s="7">
        <f>IF($A313="","",N313-K313)</f>
        <v/>
      </c>
      <c r="M313" s="7">
        <f>IF($A313="","",L313-F313)</f>
        <v/>
      </c>
      <c r="N313" s="7" t="n"/>
      <c r="Q313" s="11" t="n"/>
      <c r="S313">
        <f>IF($A313="","",IF($W313=1,Settings!$C$6,Settings!$C$7)*1)</f>
        <v/>
      </c>
      <c r="U313">
        <f>IF($A313="","",IF(COUNTIF($A$2:$A313,$A313)=1,1,0))</f>
        <v/>
      </c>
      <c r="V313">
        <f>IF($U313=1,SUMPRODUCT(--($X$2:$X$501&lt;$X313))+1,"")</f>
        <v/>
      </c>
      <c r="W313">
        <f>IF($A313="","",IF(OR($T313=TRUE(),$T313="TRUE"),1,0))</f>
        <v/>
      </c>
      <c r="X313">
        <f>IF($U313=1,IFERROR(IF(VALUE($A313)&lt;100000000,VALUE($A313),1000000000),IFERROR(IF(VALUE(MID($A313,2,20))&lt;100000000,VALUE(MID($A313,2,20)),1000000000),1000000000))+ROW()/100000,"")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IF($A314="","",E314*N314/100)</f>
        <v/>
      </c>
      <c r="J314" s="7" t="n"/>
      <c r="K314" s="7">
        <f>IF($A314="","",S314*N314)</f>
        <v/>
      </c>
      <c r="L314" s="7">
        <f>IF($A314="","",N314-K314)</f>
        <v/>
      </c>
      <c r="M314" s="7">
        <f>IF($A314="","",L314-F314)</f>
        <v/>
      </c>
      <c r="N314" s="7" t="n"/>
      <c r="Q314" s="11" t="n"/>
      <c r="S314">
        <f>IF($A314="","",IF($W314=1,Settings!$C$6,Settings!$C$7)*1)</f>
        <v/>
      </c>
      <c r="U314">
        <f>IF($A314="","",IF(COUNTIF($A$2:$A314,$A314)=1,1,0))</f>
        <v/>
      </c>
      <c r="V314">
        <f>IF($U314=1,SUMPRODUCT(--($X$2:$X$501&lt;$X314))+1,"")</f>
        <v/>
      </c>
      <c r="W314">
        <f>IF($A314="","",IF(OR($T314=TRUE(),$T314="TRUE"),1,0))</f>
        <v/>
      </c>
      <c r="X314">
        <f>IF($U314=1,IFERROR(IF(VALUE($A314)&lt;100000000,VALUE($A314),1000000000),IFERROR(IF(VALUE(MID($A314,2,20))&lt;100000000,VALUE(MID($A314,2,20)),1000000000),1000000000))+ROW()/100000,"")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IF($A315="","",E315*N315/100)</f>
        <v/>
      </c>
      <c r="J315" s="7" t="n"/>
      <c r="K315" s="7">
        <f>IF($A315="","",S315*N315)</f>
        <v/>
      </c>
      <c r="L315" s="7">
        <f>IF($A315="","",N315-K315)</f>
        <v/>
      </c>
      <c r="M315" s="7">
        <f>IF($A315="","",L315-F315)</f>
        <v/>
      </c>
      <c r="N315" s="7" t="n"/>
      <c r="Q315" s="11" t="n"/>
      <c r="S315">
        <f>IF($A315="","",IF($W315=1,Settings!$C$6,Settings!$C$7)*1)</f>
        <v/>
      </c>
      <c r="U315">
        <f>IF($A315="","",IF(COUNTIF($A$2:$A315,$A315)=1,1,0))</f>
        <v/>
      </c>
      <c r="V315">
        <f>IF($U315=1,SUMPRODUCT(--($X$2:$X$501&lt;$X315))+1,"")</f>
        <v/>
      </c>
      <c r="W315">
        <f>IF($A315="","",IF(OR($T315=TRUE(),$T315="TRUE"),1,0))</f>
        <v/>
      </c>
      <c r="X315">
        <f>IF($U315=1,IFERROR(IF(VALUE($A315)&lt;100000000,VALUE($A315),1000000000),IFERROR(IF(VALUE(MID($A315,2,20))&lt;100000000,VALUE(MID($A315,2,20)),1000000000),1000000000))+ROW()/100000,"")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IF($A316="","",E316*N316/100)</f>
        <v/>
      </c>
      <c r="J316" s="7" t="n"/>
      <c r="K316" s="7">
        <f>IF($A316="","",S316*N316)</f>
        <v/>
      </c>
      <c r="L316" s="7">
        <f>IF($A316="","",N316-K316)</f>
        <v/>
      </c>
      <c r="M316" s="7">
        <f>IF($A316="","",L316-F316)</f>
        <v/>
      </c>
      <c r="N316" s="7" t="n"/>
      <c r="Q316" s="11" t="n"/>
      <c r="S316">
        <f>IF($A316="","",IF($W316=1,Settings!$C$6,Settings!$C$7)*1)</f>
        <v/>
      </c>
      <c r="U316">
        <f>IF($A316="","",IF(COUNTIF($A$2:$A316,$A316)=1,1,0))</f>
        <v/>
      </c>
      <c r="V316">
        <f>IF($U316=1,SUMPRODUCT(--($X$2:$X$501&lt;$X316))+1,"")</f>
        <v/>
      </c>
      <c r="W316">
        <f>IF($A316="","",IF(OR($T316=TRUE(),$T316="TRUE"),1,0))</f>
        <v/>
      </c>
      <c r="X316">
        <f>IF($U316=1,IFERROR(IF(VALUE($A316)&lt;100000000,VALUE($A316),1000000000),IFERROR(IF(VALUE(MID($A316,2,20))&lt;100000000,VALUE(MID($A316,2,20)),1000000000),1000000000))+ROW()/100000,"")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IF($A317="","",E317*N317/100)</f>
        <v/>
      </c>
      <c r="J317" s="7" t="n"/>
      <c r="K317" s="7">
        <f>IF($A317="","",S317*N317)</f>
        <v/>
      </c>
      <c r="L317" s="7">
        <f>IF($A317="","",N317-K317)</f>
        <v/>
      </c>
      <c r="M317" s="7">
        <f>IF($A317="","",L317-F317)</f>
        <v/>
      </c>
      <c r="N317" s="7" t="n"/>
      <c r="Q317" s="11" t="n"/>
      <c r="S317">
        <f>IF($A317="","",IF($W317=1,Settings!$C$6,Settings!$C$7)*1)</f>
        <v/>
      </c>
      <c r="U317">
        <f>IF($A317="","",IF(COUNTIF($A$2:$A317,$A317)=1,1,0))</f>
        <v/>
      </c>
      <c r="V317">
        <f>IF($U317=1,SUMPRODUCT(--($X$2:$X$501&lt;$X317))+1,"")</f>
        <v/>
      </c>
      <c r="W317">
        <f>IF($A317="","",IF(OR($T317=TRUE(),$T317="TRUE"),1,0))</f>
        <v/>
      </c>
      <c r="X317">
        <f>IF($U317=1,IFERROR(IF(VALUE($A317)&lt;100000000,VALUE($A317),1000000000),IFERROR(IF(VALUE(MID($A317,2,20))&lt;100000000,VALUE(MID($A317,2,20)),1000000000),1000000000))+ROW()/100000,"")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IF($A318="","",E318*N318/100)</f>
        <v/>
      </c>
      <c r="J318" s="7" t="n"/>
      <c r="K318" s="7">
        <f>IF($A318="","",S318*N318)</f>
        <v/>
      </c>
      <c r="L318" s="7">
        <f>IF($A318="","",N318-K318)</f>
        <v/>
      </c>
      <c r="M318" s="7">
        <f>IF($A318="","",L318-F318)</f>
        <v/>
      </c>
      <c r="N318" s="7" t="n"/>
      <c r="Q318" s="11" t="n"/>
      <c r="S318">
        <f>IF($A318="","",IF($W318=1,Settings!$C$6,Settings!$C$7)*1)</f>
        <v/>
      </c>
      <c r="U318">
        <f>IF($A318="","",IF(COUNTIF($A$2:$A318,$A318)=1,1,0))</f>
        <v/>
      </c>
      <c r="V318">
        <f>IF($U318=1,SUMPRODUCT(--($X$2:$X$501&lt;$X318))+1,"")</f>
        <v/>
      </c>
      <c r="W318">
        <f>IF($A318="","",IF(OR($T318=TRUE(),$T318="TRUE"),1,0))</f>
        <v/>
      </c>
      <c r="X318">
        <f>IF($U318=1,IFERROR(IF(VALUE($A318)&lt;100000000,VALUE($A318),1000000000),IFERROR(IF(VALUE(MID($A318,2,20))&lt;100000000,VALUE(MID($A318,2,20)),1000000000),1000000000))+ROW()/100000,"")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IF($A319="","",E319*N319/100)</f>
        <v/>
      </c>
      <c r="J319" s="7" t="n"/>
      <c r="K319" s="7">
        <f>IF($A319="","",S319*N319)</f>
        <v/>
      </c>
      <c r="L319" s="7">
        <f>IF($A319="","",N319-K319)</f>
        <v/>
      </c>
      <c r="M319" s="7">
        <f>IF($A319="","",L319-F319)</f>
        <v/>
      </c>
      <c r="N319" s="7" t="n"/>
      <c r="Q319" s="11" t="n"/>
      <c r="S319">
        <f>IF($A319="","",IF($W319=1,Settings!$C$6,Settings!$C$7)*1)</f>
        <v/>
      </c>
      <c r="U319">
        <f>IF($A319="","",IF(COUNTIF($A$2:$A319,$A319)=1,1,0))</f>
        <v/>
      </c>
      <c r="V319">
        <f>IF($U319=1,SUMPRODUCT(--($X$2:$X$501&lt;$X319))+1,"")</f>
        <v/>
      </c>
      <c r="W319">
        <f>IF($A319="","",IF(OR($T319=TRUE(),$T319="TRUE"),1,0))</f>
        <v/>
      </c>
      <c r="X319">
        <f>IF($U319=1,IFERROR(IF(VALUE($A319)&lt;100000000,VALUE($A319),1000000000),IFERROR(IF(VALUE(MID($A319,2,20))&lt;100000000,VALUE(MID($A319,2,20)),1000000000),1000000000))+ROW()/100000,"")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IF($A320="","",E320*N320/100)</f>
        <v/>
      </c>
      <c r="J320" s="7" t="n"/>
      <c r="K320" s="7">
        <f>IF($A320="","",S320*N320)</f>
        <v/>
      </c>
      <c r="L320" s="7">
        <f>IF($A320="","",N320-K320)</f>
        <v/>
      </c>
      <c r="M320" s="7">
        <f>IF($A320="","",L320-F320)</f>
        <v/>
      </c>
      <c r="N320" s="7" t="n"/>
      <c r="Q320" s="11" t="n"/>
      <c r="S320">
        <f>IF($A320="","",IF($W320=1,Settings!$C$6,Settings!$C$7)*1)</f>
        <v/>
      </c>
      <c r="U320">
        <f>IF($A320="","",IF(COUNTIF($A$2:$A320,$A320)=1,1,0))</f>
        <v/>
      </c>
      <c r="V320">
        <f>IF($U320=1,SUMPRODUCT(--($X$2:$X$501&lt;$X320))+1,"")</f>
        <v/>
      </c>
      <c r="W320">
        <f>IF($A320="","",IF(OR($T320=TRUE(),$T320="TRUE"),1,0))</f>
        <v/>
      </c>
      <c r="X320">
        <f>IF($U320=1,IFERROR(IF(VALUE($A320)&lt;100000000,VALUE($A320),1000000000),IFERROR(IF(VALUE(MID($A320,2,20))&lt;100000000,VALUE(MID($A320,2,20)),1000000000),1000000000))+ROW()/100000,"")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IF($A321="","",E321*N321/100)</f>
        <v/>
      </c>
      <c r="J321" s="7" t="n"/>
      <c r="K321" s="7">
        <f>IF($A321="","",S321*N321)</f>
        <v/>
      </c>
      <c r="L321" s="7">
        <f>IF($A321="","",N321-K321)</f>
        <v/>
      </c>
      <c r="M321" s="7">
        <f>IF($A321="","",L321-F321)</f>
        <v/>
      </c>
      <c r="N321" s="7" t="n"/>
      <c r="Q321" s="11" t="n"/>
      <c r="S321">
        <f>IF($A321="","",IF($W321=1,Settings!$C$6,Settings!$C$7)*1)</f>
        <v/>
      </c>
      <c r="U321">
        <f>IF($A321="","",IF(COUNTIF($A$2:$A321,$A321)=1,1,0))</f>
        <v/>
      </c>
      <c r="V321">
        <f>IF($U321=1,SUMPRODUCT(--($X$2:$X$501&lt;$X321))+1,"")</f>
        <v/>
      </c>
      <c r="W321">
        <f>IF($A321="","",IF(OR($T321=TRUE(),$T321="TRUE"),1,0))</f>
        <v/>
      </c>
      <c r="X321">
        <f>IF($U321=1,IFERROR(IF(VALUE($A321)&lt;100000000,VALUE($A321),1000000000),IFERROR(IF(VALUE(MID($A321,2,20))&lt;100000000,VALUE(MID($A321,2,20)),1000000000),1000000000))+ROW()/100000,"")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IF($A322="","",E322*N322/100)</f>
        <v/>
      </c>
      <c r="J322" s="7" t="n"/>
      <c r="K322" s="7">
        <f>IF($A322="","",S322*N322)</f>
        <v/>
      </c>
      <c r="L322" s="7">
        <f>IF($A322="","",N322-K322)</f>
        <v/>
      </c>
      <c r="M322" s="7">
        <f>IF($A322="","",L322-F322)</f>
        <v/>
      </c>
      <c r="N322" s="7" t="n"/>
      <c r="Q322" s="11" t="n"/>
      <c r="S322">
        <f>IF($A322="","",IF($W322=1,Settings!$C$6,Settings!$C$7)*1)</f>
        <v/>
      </c>
      <c r="U322">
        <f>IF($A322="","",IF(COUNTIF($A$2:$A322,$A322)=1,1,0))</f>
        <v/>
      </c>
      <c r="V322">
        <f>IF($U322=1,SUMPRODUCT(--($X$2:$X$501&lt;$X322))+1,"")</f>
        <v/>
      </c>
      <c r="W322">
        <f>IF($A322="","",IF(OR($T322=TRUE(),$T322="TRUE"),1,0))</f>
        <v/>
      </c>
      <c r="X322">
        <f>IF($U322=1,IFERROR(IF(VALUE($A322)&lt;100000000,VALUE($A322),1000000000),IFERROR(IF(VALUE(MID($A322,2,20))&lt;100000000,VALUE(MID($A322,2,20)),1000000000),1000000000))+ROW()/100000,"")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IF($A323="","",E323*N323/100)</f>
        <v/>
      </c>
      <c r="J323" s="7" t="n"/>
      <c r="K323" s="7">
        <f>IF($A323="","",S323*N323)</f>
        <v/>
      </c>
      <c r="L323" s="7">
        <f>IF($A323="","",N323-K323)</f>
        <v/>
      </c>
      <c r="M323" s="7">
        <f>IF($A323="","",L323-F323)</f>
        <v/>
      </c>
      <c r="N323" s="7" t="n"/>
      <c r="Q323" s="11" t="n"/>
      <c r="S323">
        <f>IF($A323="","",IF($W323=1,Settings!$C$6,Settings!$C$7)*1)</f>
        <v/>
      </c>
      <c r="U323">
        <f>IF($A323="","",IF(COUNTIF($A$2:$A323,$A323)=1,1,0))</f>
        <v/>
      </c>
      <c r="V323">
        <f>IF($U323=1,SUMPRODUCT(--($X$2:$X$501&lt;$X323))+1,"")</f>
        <v/>
      </c>
      <c r="W323">
        <f>IF($A323="","",IF(OR($T323=TRUE(),$T323="TRUE"),1,0))</f>
        <v/>
      </c>
      <c r="X323">
        <f>IF($U323=1,IFERROR(IF(VALUE($A323)&lt;100000000,VALUE($A323),1000000000),IFERROR(IF(VALUE(MID($A323,2,20))&lt;100000000,VALUE(MID($A323,2,20)),1000000000),1000000000))+ROW()/100000,"")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IF($A324="","",E324*N324/100)</f>
        <v/>
      </c>
      <c r="J324" s="7" t="n"/>
      <c r="K324" s="7">
        <f>IF($A324="","",S324*N324)</f>
        <v/>
      </c>
      <c r="L324" s="7">
        <f>IF($A324="","",N324-K324)</f>
        <v/>
      </c>
      <c r="M324" s="7">
        <f>IF($A324="","",L324-F324)</f>
        <v/>
      </c>
      <c r="N324" s="7" t="n"/>
      <c r="Q324" s="11" t="n"/>
      <c r="S324">
        <f>IF($A324="","",IF($W324=1,Settings!$C$6,Settings!$C$7)*1)</f>
        <v/>
      </c>
      <c r="U324">
        <f>IF($A324="","",IF(COUNTIF($A$2:$A324,$A324)=1,1,0))</f>
        <v/>
      </c>
      <c r="V324">
        <f>IF($U324=1,SUMPRODUCT(--($X$2:$X$501&lt;$X324))+1,"")</f>
        <v/>
      </c>
      <c r="W324">
        <f>IF($A324="","",IF(OR($T324=TRUE(),$T324="TRUE"),1,0))</f>
        <v/>
      </c>
      <c r="X324">
        <f>IF($U324=1,IFERROR(IF(VALUE($A324)&lt;100000000,VALUE($A324),1000000000),IFERROR(IF(VALUE(MID($A324,2,20))&lt;100000000,VALUE(MID($A324,2,20)),1000000000),1000000000))+ROW()/100000,"")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IF($A325="","",E325*N325/100)</f>
        <v/>
      </c>
      <c r="J325" s="7" t="n"/>
      <c r="K325" s="7">
        <f>IF($A325="","",S325*N325)</f>
        <v/>
      </c>
      <c r="L325" s="7">
        <f>IF($A325="","",N325-K325)</f>
        <v/>
      </c>
      <c r="M325" s="7">
        <f>IF($A325="","",L325-F325)</f>
        <v/>
      </c>
      <c r="N325" s="7" t="n"/>
      <c r="Q325" s="11" t="n"/>
      <c r="S325">
        <f>IF($A325="","",IF($W325=1,Settings!$C$6,Settings!$C$7)*1)</f>
        <v/>
      </c>
      <c r="U325">
        <f>IF($A325="","",IF(COUNTIF($A$2:$A325,$A325)=1,1,0))</f>
        <v/>
      </c>
      <c r="V325">
        <f>IF($U325=1,SUMPRODUCT(--($X$2:$X$501&lt;$X325))+1,"")</f>
        <v/>
      </c>
      <c r="W325">
        <f>IF($A325="","",IF(OR($T325=TRUE(),$T325="TRUE"),1,0))</f>
        <v/>
      </c>
      <c r="X325">
        <f>IF($U325=1,IFERROR(IF(VALUE($A325)&lt;100000000,VALUE($A325),1000000000),IFERROR(IF(VALUE(MID($A325,2,20))&lt;100000000,VALUE(MID($A325,2,20)),1000000000),1000000000))+ROW()/100000,"")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IF($A326="","",E326*N326/100)</f>
        <v/>
      </c>
      <c r="J326" s="7" t="n"/>
      <c r="K326" s="7">
        <f>IF($A326="","",S326*N326)</f>
        <v/>
      </c>
      <c r="L326" s="7">
        <f>IF($A326="","",N326-K326)</f>
        <v/>
      </c>
      <c r="M326" s="7">
        <f>IF($A326="","",L326-F326)</f>
        <v/>
      </c>
      <c r="N326" s="7" t="n"/>
      <c r="Q326" s="11" t="n"/>
      <c r="S326">
        <f>IF($A326="","",IF($W326=1,Settings!$C$6,Settings!$C$7)*1)</f>
        <v/>
      </c>
      <c r="U326">
        <f>IF($A326="","",IF(COUNTIF($A$2:$A326,$A326)=1,1,0))</f>
        <v/>
      </c>
      <c r="V326">
        <f>IF($U326=1,SUMPRODUCT(--($X$2:$X$501&lt;$X326))+1,"")</f>
        <v/>
      </c>
      <c r="W326">
        <f>IF($A326="","",IF(OR($T326=TRUE(),$T326="TRUE"),1,0))</f>
        <v/>
      </c>
      <c r="X326">
        <f>IF($U326=1,IFERROR(IF(VALUE($A326)&lt;100000000,VALUE($A326),1000000000),IFERROR(IF(VALUE(MID($A326,2,20))&lt;100000000,VALUE(MID($A326,2,20)),1000000000),1000000000))+ROW()/100000,"")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IF($A327="","",E327*N327/100)</f>
        <v/>
      </c>
      <c r="J327" s="7" t="n"/>
      <c r="K327" s="7">
        <f>IF($A327="","",S327*N327)</f>
        <v/>
      </c>
      <c r="L327" s="7">
        <f>IF($A327="","",N327-K327)</f>
        <v/>
      </c>
      <c r="M327" s="7">
        <f>IF($A327="","",L327-F327)</f>
        <v/>
      </c>
      <c r="N327" s="7" t="n"/>
      <c r="Q327" s="11" t="n"/>
      <c r="S327">
        <f>IF($A327="","",IF($W327=1,Settings!$C$6,Settings!$C$7)*1)</f>
        <v/>
      </c>
      <c r="U327">
        <f>IF($A327="","",IF(COUNTIF($A$2:$A327,$A327)=1,1,0))</f>
        <v/>
      </c>
      <c r="V327">
        <f>IF($U327=1,SUMPRODUCT(--($X$2:$X$501&lt;$X327))+1,"")</f>
        <v/>
      </c>
      <c r="W327">
        <f>IF($A327="","",IF(OR($T327=TRUE(),$T327="TRUE"),1,0))</f>
        <v/>
      </c>
      <c r="X327">
        <f>IF($U327=1,IFERROR(IF(VALUE($A327)&lt;100000000,VALUE($A327),1000000000),IFERROR(IF(VALUE(MID($A327,2,20))&lt;100000000,VALUE(MID($A327,2,20)),1000000000),1000000000))+ROW()/100000,"")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IF($A328="","",E328*N328/100)</f>
        <v/>
      </c>
      <c r="J328" s="7" t="n"/>
      <c r="K328" s="7">
        <f>IF($A328="","",S328*N328)</f>
        <v/>
      </c>
      <c r="L328" s="7">
        <f>IF($A328="","",N328-K328)</f>
        <v/>
      </c>
      <c r="M328" s="7">
        <f>IF($A328="","",L328-F328)</f>
        <v/>
      </c>
      <c r="N328" s="7" t="n"/>
      <c r="Q328" s="11" t="n"/>
      <c r="S328">
        <f>IF($A328="","",IF($W328=1,Settings!$C$6,Settings!$C$7)*1)</f>
        <v/>
      </c>
      <c r="U328">
        <f>IF($A328="","",IF(COUNTIF($A$2:$A328,$A328)=1,1,0))</f>
        <v/>
      </c>
      <c r="V328">
        <f>IF($U328=1,SUMPRODUCT(--($X$2:$X$501&lt;$X328))+1,"")</f>
        <v/>
      </c>
      <c r="W328">
        <f>IF($A328="","",IF(OR($T328=TRUE(),$T328="TRUE"),1,0))</f>
        <v/>
      </c>
      <c r="X328">
        <f>IF($U328=1,IFERROR(IF(VALUE($A328)&lt;100000000,VALUE($A328),1000000000),IFERROR(IF(VALUE(MID($A328,2,20))&lt;100000000,VALUE(MID($A328,2,20)),1000000000),1000000000))+ROW()/100000,"")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IF($A329="","",E329*N329/100)</f>
        <v/>
      </c>
      <c r="J329" s="7" t="n"/>
      <c r="K329" s="7">
        <f>IF($A329="","",S329*N329)</f>
        <v/>
      </c>
      <c r="L329" s="7">
        <f>IF($A329="","",N329-K329)</f>
        <v/>
      </c>
      <c r="M329" s="7">
        <f>IF($A329="","",L329-F329)</f>
        <v/>
      </c>
      <c r="N329" s="7" t="n"/>
      <c r="Q329" s="11" t="n"/>
      <c r="S329">
        <f>IF($A329="","",IF($W329=1,Settings!$C$6,Settings!$C$7)*1)</f>
        <v/>
      </c>
      <c r="U329">
        <f>IF($A329="","",IF(COUNTIF($A$2:$A329,$A329)=1,1,0))</f>
        <v/>
      </c>
      <c r="V329">
        <f>IF($U329=1,SUMPRODUCT(--($X$2:$X$501&lt;$X329))+1,"")</f>
        <v/>
      </c>
      <c r="W329">
        <f>IF($A329="","",IF(OR($T329=TRUE(),$T329="TRUE"),1,0))</f>
        <v/>
      </c>
      <c r="X329">
        <f>IF($U329=1,IFERROR(IF(VALUE($A329)&lt;100000000,VALUE($A329),1000000000),IFERROR(IF(VALUE(MID($A329,2,20))&lt;100000000,VALUE(MID($A329,2,20)),1000000000),1000000000))+ROW()/100000,"")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IF($A330="","",E330*N330/100)</f>
        <v/>
      </c>
      <c r="J330" s="7" t="n"/>
      <c r="K330" s="7">
        <f>IF($A330="","",S330*N330)</f>
        <v/>
      </c>
      <c r="L330" s="7">
        <f>IF($A330="","",N330-K330)</f>
        <v/>
      </c>
      <c r="M330" s="7">
        <f>IF($A330="","",L330-F330)</f>
        <v/>
      </c>
      <c r="N330" s="7" t="n"/>
      <c r="Q330" s="11" t="n"/>
      <c r="S330">
        <f>IF($A330="","",IF($W330=1,Settings!$C$6,Settings!$C$7)*1)</f>
        <v/>
      </c>
      <c r="U330">
        <f>IF($A330="","",IF(COUNTIF($A$2:$A330,$A330)=1,1,0))</f>
        <v/>
      </c>
      <c r="V330">
        <f>IF($U330=1,SUMPRODUCT(--($X$2:$X$501&lt;$X330))+1,"")</f>
        <v/>
      </c>
      <c r="W330">
        <f>IF($A330="","",IF(OR($T330=TRUE(),$T330="TRUE"),1,0))</f>
        <v/>
      </c>
      <c r="X330">
        <f>IF($U330=1,IFERROR(IF(VALUE($A330)&lt;100000000,VALUE($A330),1000000000),IFERROR(IF(VALUE(MID($A330,2,20))&lt;100000000,VALUE(MID($A330,2,20)),1000000000),1000000000))+ROW()/100000,"")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IF($A331="","",E331*N331/100)</f>
        <v/>
      </c>
      <c r="J331" s="7" t="n"/>
      <c r="K331" s="7">
        <f>IF($A331="","",S331*N331)</f>
        <v/>
      </c>
      <c r="L331" s="7">
        <f>IF($A331="","",N331-K331)</f>
        <v/>
      </c>
      <c r="M331" s="7">
        <f>IF($A331="","",L331-F331)</f>
        <v/>
      </c>
      <c r="N331" s="7" t="n"/>
      <c r="Q331" s="11" t="n"/>
      <c r="S331">
        <f>IF($A331="","",IF($W331=1,Settings!$C$6,Settings!$C$7)*1)</f>
        <v/>
      </c>
      <c r="U331">
        <f>IF($A331="","",IF(COUNTIF($A$2:$A331,$A331)=1,1,0))</f>
        <v/>
      </c>
      <c r="V331">
        <f>IF($U331=1,SUMPRODUCT(--($X$2:$X$501&lt;$X331))+1,"")</f>
        <v/>
      </c>
      <c r="W331">
        <f>IF($A331="","",IF(OR($T331=TRUE(),$T331="TRUE"),1,0))</f>
        <v/>
      </c>
      <c r="X331">
        <f>IF($U331=1,IFERROR(IF(VALUE($A331)&lt;100000000,VALUE($A331),1000000000),IFERROR(IF(VALUE(MID($A331,2,20))&lt;100000000,VALUE(MID($A331,2,20)),1000000000),1000000000))+ROW()/100000,"")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IF($A332="","",E332*N332/100)</f>
        <v/>
      </c>
      <c r="J332" s="7" t="n"/>
      <c r="K332" s="7">
        <f>IF($A332="","",S332*N332)</f>
        <v/>
      </c>
      <c r="L332" s="7">
        <f>IF($A332="","",N332-K332)</f>
        <v/>
      </c>
      <c r="M332" s="7">
        <f>IF($A332="","",L332-F332)</f>
        <v/>
      </c>
      <c r="N332" s="7" t="n"/>
      <c r="Q332" s="11" t="n"/>
      <c r="S332">
        <f>IF($A332="","",IF($W332=1,Settings!$C$6,Settings!$C$7)*1)</f>
        <v/>
      </c>
      <c r="U332">
        <f>IF($A332="","",IF(COUNTIF($A$2:$A332,$A332)=1,1,0))</f>
        <v/>
      </c>
      <c r="V332">
        <f>IF($U332=1,SUMPRODUCT(--($X$2:$X$501&lt;$X332))+1,"")</f>
        <v/>
      </c>
      <c r="W332">
        <f>IF($A332="","",IF(OR($T332=TRUE(),$T332="TRUE"),1,0))</f>
        <v/>
      </c>
      <c r="X332">
        <f>IF($U332=1,IFERROR(IF(VALUE($A332)&lt;100000000,VALUE($A332),1000000000),IFERROR(IF(VALUE(MID($A332,2,20))&lt;100000000,VALUE(MID($A332,2,20)),1000000000),1000000000))+ROW()/100000,"")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IF($A333="","",E333*N333/100)</f>
        <v/>
      </c>
      <c r="J333" s="7" t="n"/>
      <c r="K333" s="7">
        <f>IF($A333="","",S333*N333)</f>
        <v/>
      </c>
      <c r="L333" s="7">
        <f>IF($A333="","",N333-K333)</f>
        <v/>
      </c>
      <c r="M333" s="7">
        <f>IF($A333="","",L333-F333)</f>
        <v/>
      </c>
      <c r="N333" s="7" t="n"/>
      <c r="Q333" s="11" t="n"/>
      <c r="S333">
        <f>IF($A333="","",IF($W333=1,Settings!$C$6,Settings!$C$7)*1)</f>
        <v/>
      </c>
      <c r="U333">
        <f>IF($A333="","",IF(COUNTIF($A$2:$A333,$A333)=1,1,0))</f>
        <v/>
      </c>
      <c r="V333">
        <f>IF($U333=1,SUMPRODUCT(--($X$2:$X$501&lt;$X333))+1,"")</f>
        <v/>
      </c>
      <c r="W333">
        <f>IF($A333="","",IF(OR($T333=TRUE(),$T333="TRUE"),1,0))</f>
        <v/>
      </c>
      <c r="X333">
        <f>IF($U333=1,IFERROR(IF(VALUE($A333)&lt;100000000,VALUE($A333),1000000000),IFERROR(IF(VALUE(MID($A333,2,20))&lt;100000000,VALUE(MID($A333,2,20)),1000000000),1000000000))+ROW()/100000,"")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IF($A334="","",E334*N334/100)</f>
        <v/>
      </c>
      <c r="J334" s="7" t="n"/>
      <c r="K334" s="7">
        <f>IF($A334="","",S334*N334)</f>
        <v/>
      </c>
      <c r="L334" s="7">
        <f>IF($A334="","",N334-K334)</f>
        <v/>
      </c>
      <c r="M334" s="7">
        <f>IF($A334="","",L334-F334)</f>
        <v/>
      </c>
      <c r="N334" s="7" t="n"/>
      <c r="Q334" s="11" t="n"/>
      <c r="S334">
        <f>IF($A334="","",IF($W334=1,Settings!$C$6,Settings!$C$7)*1)</f>
        <v/>
      </c>
      <c r="U334">
        <f>IF($A334="","",IF(COUNTIF($A$2:$A334,$A334)=1,1,0))</f>
        <v/>
      </c>
      <c r="V334">
        <f>IF($U334=1,SUMPRODUCT(--($X$2:$X$501&lt;$X334))+1,"")</f>
        <v/>
      </c>
      <c r="W334">
        <f>IF($A334="","",IF(OR($T334=TRUE(),$T334="TRUE"),1,0))</f>
        <v/>
      </c>
      <c r="X334">
        <f>IF($U334=1,IFERROR(IF(VALUE($A334)&lt;100000000,VALUE($A334),1000000000),IFERROR(IF(VALUE(MID($A334,2,20))&lt;100000000,VALUE(MID($A334,2,20)),1000000000),1000000000))+ROW()/100000,"")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IF($A335="","",E335*N335/100)</f>
        <v/>
      </c>
      <c r="J335" s="7" t="n"/>
      <c r="K335" s="7">
        <f>IF($A335="","",S335*N335)</f>
        <v/>
      </c>
      <c r="L335" s="7">
        <f>IF($A335="","",N335-K335)</f>
        <v/>
      </c>
      <c r="M335" s="7">
        <f>IF($A335="","",L335-F335)</f>
        <v/>
      </c>
      <c r="N335" s="7" t="n"/>
      <c r="Q335" s="11" t="n"/>
      <c r="S335">
        <f>IF($A335="","",IF($W335=1,Settings!$C$6,Settings!$C$7)*1)</f>
        <v/>
      </c>
      <c r="U335">
        <f>IF($A335="","",IF(COUNTIF($A$2:$A335,$A335)=1,1,0))</f>
        <v/>
      </c>
      <c r="V335">
        <f>IF($U335=1,SUMPRODUCT(--($X$2:$X$501&lt;$X335))+1,"")</f>
        <v/>
      </c>
      <c r="W335">
        <f>IF($A335="","",IF(OR($T335=TRUE(),$T335="TRUE"),1,0))</f>
        <v/>
      </c>
      <c r="X335">
        <f>IF($U335=1,IFERROR(IF(VALUE($A335)&lt;100000000,VALUE($A335),1000000000),IFERROR(IF(VALUE(MID($A335,2,20))&lt;100000000,VALUE(MID($A335,2,20)),1000000000),1000000000))+ROW()/100000,"")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IF($A336="","",E336*N336/100)</f>
        <v/>
      </c>
      <c r="J336" s="7" t="n"/>
      <c r="K336" s="7">
        <f>IF($A336="","",S336*N336)</f>
        <v/>
      </c>
      <c r="L336" s="7">
        <f>IF($A336="","",N336-K336)</f>
        <v/>
      </c>
      <c r="M336" s="7">
        <f>IF($A336="","",L336-F336)</f>
        <v/>
      </c>
      <c r="N336" s="7" t="n"/>
      <c r="Q336" s="11" t="n"/>
      <c r="S336">
        <f>IF($A336="","",IF($W336=1,Settings!$C$6,Settings!$C$7)*1)</f>
        <v/>
      </c>
      <c r="U336">
        <f>IF($A336="","",IF(COUNTIF($A$2:$A336,$A336)=1,1,0))</f>
        <v/>
      </c>
      <c r="V336">
        <f>IF($U336=1,SUMPRODUCT(--($X$2:$X$501&lt;$X336))+1,"")</f>
        <v/>
      </c>
      <c r="W336">
        <f>IF($A336="","",IF(OR($T336=TRUE(),$T336="TRUE"),1,0))</f>
        <v/>
      </c>
      <c r="X336">
        <f>IF($U336=1,IFERROR(IF(VALUE($A336)&lt;100000000,VALUE($A336),1000000000),IFERROR(IF(VALUE(MID($A336,2,20))&lt;100000000,VALUE(MID($A336,2,20)),1000000000),1000000000))+ROW()/100000,"")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IF($A337="","",E337*N337/100)</f>
        <v/>
      </c>
      <c r="J337" s="7" t="n"/>
      <c r="K337" s="7">
        <f>IF($A337="","",S337*N337)</f>
        <v/>
      </c>
      <c r="L337" s="7">
        <f>IF($A337="","",N337-K337)</f>
        <v/>
      </c>
      <c r="M337" s="7">
        <f>IF($A337="","",L337-F337)</f>
        <v/>
      </c>
      <c r="N337" s="7" t="n"/>
      <c r="Q337" s="11" t="n"/>
      <c r="S337">
        <f>IF($A337="","",IF($W337=1,Settings!$C$6,Settings!$C$7)*1)</f>
        <v/>
      </c>
      <c r="U337">
        <f>IF($A337="","",IF(COUNTIF($A$2:$A337,$A337)=1,1,0))</f>
        <v/>
      </c>
      <c r="V337">
        <f>IF($U337=1,SUMPRODUCT(--($X$2:$X$501&lt;$X337))+1,"")</f>
        <v/>
      </c>
      <c r="W337">
        <f>IF($A337="","",IF(OR($T337=TRUE(),$T337="TRUE"),1,0))</f>
        <v/>
      </c>
      <c r="X337">
        <f>IF($U337=1,IFERROR(IF(VALUE($A337)&lt;100000000,VALUE($A337),1000000000),IFERROR(IF(VALUE(MID($A337,2,20))&lt;100000000,VALUE(MID($A337,2,20)),1000000000),1000000000))+ROW()/100000,"")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IF($A338="","",E338*N338/100)</f>
        <v/>
      </c>
      <c r="J338" s="7" t="n"/>
      <c r="K338" s="7">
        <f>IF($A338="","",S338*N338)</f>
        <v/>
      </c>
      <c r="L338" s="7">
        <f>IF($A338="","",N338-K338)</f>
        <v/>
      </c>
      <c r="M338" s="7">
        <f>IF($A338="","",L338-F338)</f>
        <v/>
      </c>
      <c r="N338" s="7" t="n"/>
      <c r="Q338" s="11" t="n"/>
      <c r="S338">
        <f>IF($A338="","",IF($W338=1,Settings!$C$6,Settings!$C$7)*1)</f>
        <v/>
      </c>
      <c r="U338">
        <f>IF($A338="","",IF(COUNTIF($A$2:$A338,$A338)=1,1,0))</f>
        <v/>
      </c>
      <c r="V338">
        <f>IF($U338=1,SUMPRODUCT(--($X$2:$X$501&lt;$X338))+1,"")</f>
        <v/>
      </c>
      <c r="W338">
        <f>IF($A338="","",IF(OR($T338=TRUE(),$T338="TRUE"),1,0))</f>
        <v/>
      </c>
      <c r="X338">
        <f>IF($U338=1,IFERROR(IF(VALUE($A338)&lt;100000000,VALUE($A338),1000000000),IFERROR(IF(VALUE(MID($A338,2,20))&lt;100000000,VALUE(MID($A338,2,20)),1000000000),1000000000))+ROW()/100000,"")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IF($A339="","",E339*N339/100)</f>
        <v/>
      </c>
      <c r="J339" s="7" t="n"/>
      <c r="K339" s="7">
        <f>IF($A339="","",S339*N339)</f>
        <v/>
      </c>
      <c r="L339" s="7">
        <f>IF($A339="","",N339-K339)</f>
        <v/>
      </c>
      <c r="M339" s="7">
        <f>IF($A339="","",L339-F339)</f>
        <v/>
      </c>
      <c r="N339" s="7" t="n"/>
      <c r="Q339" s="11" t="n"/>
      <c r="S339">
        <f>IF($A339="","",IF($W339=1,Settings!$C$6,Settings!$C$7)*1)</f>
        <v/>
      </c>
      <c r="U339">
        <f>IF($A339="","",IF(COUNTIF($A$2:$A339,$A339)=1,1,0))</f>
        <v/>
      </c>
      <c r="V339">
        <f>IF($U339=1,SUMPRODUCT(--($X$2:$X$501&lt;$X339))+1,"")</f>
        <v/>
      </c>
      <c r="W339">
        <f>IF($A339="","",IF(OR($T339=TRUE(),$T339="TRUE"),1,0))</f>
        <v/>
      </c>
      <c r="X339">
        <f>IF($U339=1,IFERROR(IF(VALUE($A339)&lt;100000000,VALUE($A339),1000000000),IFERROR(IF(VALUE(MID($A339,2,20))&lt;100000000,VALUE(MID($A339,2,20)),1000000000),1000000000))+ROW()/100000,"")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IF($A340="","",E340*N340/100)</f>
        <v/>
      </c>
      <c r="J340" s="7" t="n"/>
      <c r="K340" s="7">
        <f>IF($A340="","",S340*N340)</f>
        <v/>
      </c>
      <c r="L340" s="7">
        <f>IF($A340="","",N340-K340)</f>
        <v/>
      </c>
      <c r="M340" s="7">
        <f>IF($A340="","",L340-F340)</f>
        <v/>
      </c>
      <c r="N340" s="7" t="n"/>
      <c r="Q340" s="11" t="n"/>
      <c r="S340">
        <f>IF($A340="","",IF($W340=1,Settings!$C$6,Settings!$C$7)*1)</f>
        <v/>
      </c>
      <c r="U340">
        <f>IF($A340="","",IF(COUNTIF($A$2:$A340,$A340)=1,1,0))</f>
        <v/>
      </c>
      <c r="V340">
        <f>IF($U340=1,SUMPRODUCT(--($X$2:$X$501&lt;$X340))+1,"")</f>
        <v/>
      </c>
      <c r="W340">
        <f>IF($A340="","",IF(OR($T340=TRUE(),$T340="TRUE"),1,0))</f>
        <v/>
      </c>
      <c r="X340">
        <f>IF($U340=1,IFERROR(IF(VALUE($A340)&lt;100000000,VALUE($A340),1000000000),IFERROR(IF(VALUE(MID($A340,2,20))&lt;100000000,VALUE(MID($A340,2,20)),1000000000),1000000000))+ROW()/100000,"")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IF($A341="","",E341*N341/100)</f>
        <v/>
      </c>
      <c r="J341" s="7" t="n"/>
      <c r="K341" s="7">
        <f>IF($A341="","",S341*N341)</f>
        <v/>
      </c>
      <c r="L341" s="7">
        <f>IF($A341="","",N341-K341)</f>
        <v/>
      </c>
      <c r="M341" s="7">
        <f>IF($A341="","",L341-F341)</f>
        <v/>
      </c>
      <c r="N341" s="7" t="n"/>
      <c r="Q341" s="11" t="n"/>
      <c r="S341">
        <f>IF($A341="","",IF($W341=1,Settings!$C$6,Settings!$C$7)*1)</f>
        <v/>
      </c>
      <c r="U341">
        <f>IF($A341="","",IF(COUNTIF($A$2:$A341,$A341)=1,1,0))</f>
        <v/>
      </c>
      <c r="V341">
        <f>IF($U341=1,SUMPRODUCT(--($X$2:$X$501&lt;$X341))+1,"")</f>
        <v/>
      </c>
      <c r="W341">
        <f>IF($A341="","",IF(OR($T341=TRUE(),$T341="TRUE"),1,0))</f>
        <v/>
      </c>
      <c r="X341">
        <f>IF($U341=1,IFERROR(IF(VALUE($A341)&lt;100000000,VALUE($A341),1000000000),IFERROR(IF(VALUE(MID($A341,2,20))&lt;100000000,VALUE(MID($A341,2,20)),1000000000),1000000000))+ROW()/100000,"")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IF($A342="","",E342*N342/100)</f>
        <v/>
      </c>
      <c r="J342" s="7" t="n"/>
      <c r="K342" s="7">
        <f>IF($A342="","",S342*N342)</f>
        <v/>
      </c>
      <c r="L342" s="7">
        <f>IF($A342="","",N342-K342)</f>
        <v/>
      </c>
      <c r="M342" s="7">
        <f>IF($A342="","",L342-F342)</f>
        <v/>
      </c>
      <c r="N342" s="7" t="n"/>
      <c r="Q342" s="11" t="n"/>
      <c r="S342">
        <f>IF($A342="","",IF($W342=1,Settings!$C$6,Settings!$C$7)*1)</f>
        <v/>
      </c>
      <c r="U342">
        <f>IF($A342="","",IF(COUNTIF($A$2:$A342,$A342)=1,1,0))</f>
        <v/>
      </c>
      <c r="V342">
        <f>IF($U342=1,SUMPRODUCT(--($X$2:$X$501&lt;$X342))+1,"")</f>
        <v/>
      </c>
      <c r="W342">
        <f>IF($A342="","",IF(OR($T342=TRUE(),$T342="TRUE"),1,0))</f>
        <v/>
      </c>
      <c r="X342">
        <f>IF($U342=1,IFERROR(IF(VALUE($A342)&lt;100000000,VALUE($A342),1000000000),IFERROR(IF(VALUE(MID($A342,2,20))&lt;100000000,VALUE(MID($A342,2,20)),1000000000),1000000000))+ROW()/100000,"")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IF($A343="","",E343*N343/100)</f>
        <v/>
      </c>
      <c r="J343" s="7" t="n"/>
      <c r="K343" s="7">
        <f>IF($A343="","",S343*N343)</f>
        <v/>
      </c>
      <c r="L343" s="7">
        <f>IF($A343="","",N343-K343)</f>
        <v/>
      </c>
      <c r="M343" s="7">
        <f>IF($A343="","",L343-F343)</f>
        <v/>
      </c>
      <c r="N343" s="7" t="n"/>
      <c r="Q343" s="11" t="n"/>
      <c r="S343">
        <f>IF($A343="","",IF($W343=1,Settings!$C$6,Settings!$C$7)*1)</f>
        <v/>
      </c>
      <c r="U343">
        <f>IF($A343="","",IF(COUNTIF($A$2:$A343,$A343)=1,1,0))</f>
        <v/>
      </c>
      <c r="V343">
        <f>IF($U343=1,SUMPRODUCT(--($X$2:$X$501&lt;$X343))+1,"")</f>
        <v/>
      </c>
      <c r="W343">
        <f>IF($A343="","",IF(OR($T343=TRUE(),$T343="TRUE"),1,0))</f>
        <v/>
      </c>
      <c r="X343">
        <f>IF($U343=1,IFERROR(IF(VALUE($A343)&lt;100000000,VALUE($A343),1000000000),IFERROR(IF(VALUE(MID($A343,2,20))&lt;100000000,VALUE(MID($A343,2,20)),1000000000),1000000000))+ROW()/100000,"")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IF($A344="","",E344*N344/100)</f>
        <v/>
      </c>
      <c r="J344" s="7" t="n"/>
      <c r="K344" s="7">
        <f>IF($A344="","",S344*N344)</f>
        <v/>
      </c>
      <c r="L344" s="7">
        <f>IF($A344="","",N344-K344)</f>
        <v/>
      </c>
      <c r="M344" s="7">
        <f>IF($A344="","",L344-F344)</f>
        <v/>
      </c>
      <c r="N344" s="7" t="n"/>
      <c r="Q344" s="11" t="n"/>
      <c r="S344">
        <f>IF($A344="","",IF($W344=1,Settings!$C$6,Settings!$C$7)*1)</f>
        <v/>
      </c>
      <c r="U344">
        <f>IF($A344="","",IF(COUNTIF($A$2:$A344,$A344)=1,1,0))</f>
        <v/>
      </c>
      <c r="V344">
        <f>IF($U344=1,SUMPRODUCT(--($X$2:$X$501&lt;$X344))+1,"")</f>
        <v/>
      </c>
      <c r="W344">
        <f>IF($A344="","",IF(OR($T344=TRUE(),$T344="TRUE"),1,0))</f>
        <v/>
      </c>
      <c r="X344">
        <f>IF($U344=1,IFERROR(IF(VALUE($A344)&lt;100000000,VALUE($A344),1000000000),IFERROR(IF(VALUE(MID($A344,2,20))&lt;100000000,VALUE(MID($A344,2,20)),1000000000),1000000000))+ROW()/100000,"")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IF($A345="","",E345*N345/100)</f>
        <v/>
      </c>
      <c r="J345" s="7" t="n"/>
      <c r="K345" s="7">
        <f>IF($A345="","",S345*N345)</f>
        <v/>
      </c>
      <c r="L345" s="7">
        <f>IF($A345="","",N345-K345)</f>
        <v/>
      </c>
      <c r="M345" s="7">
        <f>IF($A345="","",L345-F345)</f>
        <v/>
      </c>
      <c r="N345" s="7" t="n"/>
      <c r="Q345" s="11" t="n"/>
      <c r="S345">
        <f>IF($A345="","",IF($W345=1,Settings!$C$6,Settings!$C$7)*1)</f>
        <v/>
      </c>
      <c r="U345">
        <f>IF($A345="","",IF(COUNTIF($A$2:$A345,$A345)=1,1,0))</f>
        <v/>
      </c>
      <c r="V345">
        <f>IF($U345=1,SUMPRODUCT(--($X$2:$X$501&lt;$X345))+1,"")</f>
        <v/>
      </c>
      <c r="W345">
        <f>IF($A345="","",IF(OR($T345=TRUE(),$T345="TRUE"),1,0))</f>
        <v/>
      </c>
      <c r="X345">
        <f>IF($U345=1,IFERROR(IF(VALUE($A345)&lt;100000000,VALUE($A345),1000000000),IFERROR(IF(VALUE(MID($A345,2,20))&lt;100000000,VALUE(MID($A345,2,20)),1000000000),1000000000))+ROW()/100000,"")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IF($A346="","",E346*N346/100)</f>
        <v/>
      </c>
      <c r="J346" s="7" t="n"/>
      <c r="K346" s="7">
        <f>IF($A346="","",S346*N346)</f>
        <v/>
      </c>
      <c r="L346" s="7">
        <f>IF($A346="","",N346-K346)</f>
        <v/>
      </c>
      <c r="M346" s="7">
        <f>IF($A346="","",L346-F346)</f>
        <v/>
      </c>
      <c r="N346" s="7" t="n"/>
      <c r="Q346" s="11" t="n"/>
      <c r="S346">
        <f>IF($A346="","",IF($W346=1,Settings!$C$6,Settings!$C$7)*1)</f>
        <v/>
      </c>
      <c r="U346">
        <f>IF($A346="","",IF(COUNTIF($A$2:$A346,$A346)=1,1,0))</f>
        <v/>
      </c>
      <c r="V346">
        <f>IF($U346=1,SUMPRODUCT(--($X$2:$X$501&lt;$X346))+1,"")</f>
        <v/>
      </c>
      <c r="W346">
        <f>IF($A346="","",IF(OR($T346=TRUE(),$T346="TRUE"),1,0))</f>
        <v/>
      </c>
      <c r="X346">
        <f>IF($U346=1,IFERROR(IF(VALUE($A346)&lt;100000000,VALUE($A346),1000000000),IFERROR(IF(VALUE(MID($A346,2,20))&lt;100000000,VALUE(MID($A346,2,20)),1000000000),1000000000))+ROW()/100000,"")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IF($A347="","",E347*N347/100)</f>
        <v/>
      </c>
      <c r="J347" s="7" t="n"/>
      <c r="K347" s="7">
        <f>IF($A347="","",S347*N347)</f>
        <v/>
      </c>
      <c r="L347" s="7">
        <f>IF($A347="","",N347-K347)</f>
        <v/>
      </c>
      <c r="M347" s="7">
        <f>IF($A347="","",L347-F347)</f>
        <v/>
      </c>
      <c r="N347" s="7" t="n"/>
      <c r="Q347" s="11" t="n"/>
      <c r="S347">
        <f>IF($A347="","",IF($W347=1,Settings!$C$6,Settings!$C$7)*1)</f>
        <v/>
      </c>
      <c r="U347">
        <f>IF($A347="","",IF(COUNTIF($A$2:$A347,$A347)=1,1,0))</f>
        <v/>
      </c>
      <c r="V347">
        <f>IF($U347=1,SUMPRODUCT(--($X$2:$X$501&lt;$X347))+1,"")</f>
        <v/>
      </c>
      <c r="W347">
        <f>IF($A347="","",IF(OR($T347=TRUE(),$T347="TRUE"),1,0))</f>
        <v/>
      </c>
      <c r="X347">
        <f>IF($U347=1,IFERROR(IF(VALUE($A347)&lt;100000000,VALUE($A347),1000000000),IFERROR(IF(VALUE(MID($A347,2,20))&lt;100000000,VALUE(MID($A347,2,20)),1000000000),1000000000))+ROW()/100000,"")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IF($A348="","",E348*N348/100)</f>
        <v/>
      </c>
      <c r="J348" s="7" t="n"/>
      <c r="K348" s="7">
        <f>IF($A348="","",S348*N348)</f>
        <v/>
      </c>
      <c r="L348" s="7">
        <f>IF($A348="","",N348-K348)</f>
        <v/>
      </c>
      <c r="M348" s="7">
        <f>IF($A348="","",L348-F348)</f>
        <v/>
      </c>
      <c r="N348" s="7" t="n"/>
      <c r="Q348" s="11" t="n"/>
      <c r="S348">
        <f>IF($A348="","",IF($W348=1,Settings!$C$6,Settings!$C$7)*1)</f>
        <v/>
      </c>
      <c r="U348">
        <f>IF($A348="","",IF(COUNTIF($A$2:$A348,$A348)=1,1,0))</f>
        <v/>
      </c>
      <c r="V348">
        <f>IF($U348=1,SUMPRODUCT(--($X$2:$X$501&lt;$X348))+1,"")</f>
        <v/>
      </c>
      <c r="W348">
        <f>IF($A348="","",IF(OR($T348=TRUE(),$T348="TRUE"),1,0))</f>
        <v/>
      </c>
      <c r="X348">
        <f>IF($U348=1,IFERROR(IF(VALUE($A348)&lt;100000000,VALUE($A348),1000000000),IFERROR(IF(VALUE(MID($A348,2,20))&lt;100000000,VALUE(MID($A348,2,20)),1000000000),1000000000))+ROW()/100000,"")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IF($A349="","",E349*N349/100)</f>
        <v/>
      </c>
      <c r="J349" s="7" t="n"/>
      <c r="K349" s="7">
        <f>IF($A349="","",S349*N349)</f>
        <v/>
      </c>
      <c r="L349" s="7">
        <f>IF($A349="","",N349-K349)</f>
        <v/>
      </c>
      <c r="M349" s="7">
        <f>IF($A349="","",L349-F349)</f>
        <v/>
      </c>
      <c r="N349" s="7" t="n"/>
      <c r="Q349" s="11" t="n"/>
      <c r="S349">
        <f>IF($A349="","",IF($W349=1,Settings!$C$6,Settings!$C$7)*1)</f>
        <v/>
      </c>
      <c r="U349">
        <f>IF($A349="","",IF(COUNTIF($A$2:$A349,$A349)=1,1,0))</f>
        <v/>
      </c>
      <c r="V349">
        <f>IF($U349=1,SUMPRODUCT(--($X$2:$X$501&lt;$X349))+1,"")</f>
        <v/>
      </c>
      <c r="W349">
        <f>IF($A349="","",IF(OR($T349=TRUE(),$T349="TRUE"),1,0))</f>
        <v/>
      </c>
      <c r="X349">
        <f>IF($U349=1,IFERROR(IF(VALUE($A349)&lt;100000000,VALUE($A349),1000000000),IFERROR(IF(VALUE(MID($A349,2,20))&lt;100000000,VALUE(MID($A349,2,20)),1000000000),1000000000))+ROW()/100000,"")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IF($A350="","",E350*N350/100)</f>
        <v/>
      </c>
      <c r="J350" s="7" t="n"/>
      <c r="K350" s="7">
        <f>IF($A350="","",S350*N350)</f>
        <v/>
      </c>
      <c r="L350" s="7">
        <f>IF($A350="","",N350-K350)</f>
        <v/>
      </c>
      <c r="M350" s="7">
        <f>IF($A350="","",L350-F350)</f>
        <v/>
      </c>
      <c r="N350" s="7" t="n"/>
      <c r="Q350" s="11" t="n"/>
      <c r="S350">
        <f>IF($A350="","",IF($W350=1,Settings!$C$6,Settings!$C$7)*1)</f>
        <v/>
      </c>
      <c r="U350">
        <f>IF($A350="","",IF(COUNTIF($A$2:$A350,$A350)=1,1,0))</f>
        <v/>
      </c>
      <c r="V350">
        <f>IF($U350=1,SUMPRODUCT(--($X$2:$X$501&lt;$X350))+1,"")</f>
        <v/>
      </c>
      <c r="W350">
        <f>IF($A350="","",IF(OR($T350=TRUE(),$T350="TRUE"),1,0))</f>
        <v/>
      </c>
      <c r="X350">
        <f>IF($U350=1,IFERROR(IF(VALUE($A350)&lt;100000000,VALUE($A350),1000000000),IFERROR(IF(VALUE(MID($A350,2,20))&lt;100000000,VALUE(MID($A350,2,20)),1000000000),1000000000))+ROW()/100000,"")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IF($A351="","",E351*N351/100)</f>
        <v/>
      </c>
      <c r="J351" s="7" t="n"/>
      <c r="K351" s="7">
        <f>IF($A351="","",S351*N351)</f>
        <v/>
      </c>
      <c r="L351" s="7">
        <f>IF($A351="","",N351-K351)</f>
        <v/>
      </c>
      <c r="M351" s="7">
        <f>IF($A351="","",L351-F351)</f>
        <v/>
      </c>
      <c r="N351" s="7" t="n"/>
      <c r="Q351" s="11" t="n"/>
      <c r="S351">
        <f>IF($A351="","",IF($W351=1,Settings!$C$6,Settings!$C$7)*1)</f>
        <v/>
      </c>
      <c r="U351">
        <f>IF($A351="","",IF(COUNTIF($A$2:$A351,$A351)=1,1,0))</f>
        <v/>
      </c>
      <c r="V351">
        <f>IF($U351=1,SUMPRODUCT(--($X$2:$X$501&lt;$X351))+1,"")</f>
        <v/>
      </c>
      <c r="W351">
        <f>IF($A351="","",IF(OR($T351=TRUE(),$T351="TRUE"),1,0))</f>
        <v/>
      </c>
      <c r="X351">
        <f>IF($U351=1,IFERROR(IF(VALUE($A351)&lt;100000000,VALUE($A351),1000000000),IFERROR(IF(VALUE(MID($A351,2,20))&lt;100000000,VALUE(MID($A351,2,20)),1000000000),1000000000))+ROW()/100000,"")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IF($A352="","",E352*N352/100)</f>
        <v/>
      </c>
      <c r="J352" s="7" t="n"/>
      <c r="K352" s="7">
        <f>IF($A352="","",S352*N352)</f>
        <v/>
      </c>
      <c r="L352" s="7">
        <f>IF($A352="","",N352-K352)</f>
        <v/>
      </c>
      <c r="M352" s="7">
        <f>IF($A352="","",L352-F352)</f>
        <v/>
      </c>
      <c r="N352" s="7" t="n"/>
      <c r="Q352" s="11" t="n"/>
      <c r="S352">
        <f>IF($A352="","",IF($W352=1,Settings!$C$6,Settings!$C$7)*1)</f>
        <v/>
      </c>
      <c r="U352">
        <f>IF($A352="","",IF(COUNTIF($A$2:$A352,$A352)=1,1,0))</f>
        <v/>
      </c>
      <c r="V352">
        <f>IF($U352=1,SUMPRODUCT(--($X$2:$X$501&lt;$X352))+1,"")</f>
        <v/>
      </c>
      <c r="W352">
        <f>IF($A352="","",IF(OR($T352=TRUE(),$T352="TRUE"),1,0))</f>
        <v/>
      </c>
      <c r="X352">
        <f>IF($U352=1,IFERROR(IF(VALUE($A352)&lt;100000000,VALUE($A352),1000000000),IFERROR(IF(VALUE(MID($A352,2,20))&lt;100000000,VALUE(MID($A352,2,20)),1000000000),1000000000))+ROW()/100000,"")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IF($A353="","",E353*N353/100)</f>
        <v/>
      </c>
      <c r="J353" s="7" t="n"/>
      <c r="K353" s="7">
        <f>IF($A353="","",S353*N353)</f>
        <v/>
      </c>
      <c r="L353" s="7">
        <f>IF($A353="","",N353-K353)</f>
        <v/>
      </c>
      <c r="M353" s="7">
        <f>IF($A353="","",L353-F353)</f>
        <v/>
      </c>
      <c r="N353" s="7" t="n"/>
      <c r="Q353" s="11" t="n"/>
      <c r="S353">
        <f>IF($A353="","",IF($W353=1,Settings!$C$6,Settings!$C$7)*1)</f>
        <v/>
      </c>
      <c r="U353">
        <f>IF($A353="","",IF(COUNTIF($A$2:$A353,$A353)=1,1,0))</f>
        <v/>
      </c>
      <c r="V353">
        <f>IF($U353=1,SUMPRODUCT(--($X$2:$X$501&lt;$X353))+1,"")</f>
        <v/>
      </c>
      <c r="W353">
        <f>IF($A353="","",IF(OR($T353=TRUE(),$T353="TRUE"),1,0))</f>
        <v/>
      </c>
      <c r="X353">
        <f>IF($U353=1,IFERROR(IF(VALUE($A353)&lt;100000000,VALUE($A353),1000000000),IFERROR(IF(VALUE(MID($A353,2,20))&lt;100000000,VALUE(MID($A353,2,20)),1000000000),1000000000))+ROW()/100000,"")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IF($A354="","",E354*N354/100)</f>
        <v/>
      </c>
      <c r="J354" s="7" t="n"/>
      <c r="K354" s="7">
        <f>IF($A354="","",S354*N354)</f>
        <v/>
      </c>
      <c r="L354" s="7">
        <f>IF($A354="","",N354-K354)</f>
        <v/>
      </c>
      <c r="M354" s="7">
        <f>IF($A354="","",L354-F354)</f>
        <v/>
      </c>
      <c r="N354" s="7" t="n"/>
      <c r="Q354" s="11" t="n"/>
      <c r="S354">
        <f>IF($A354="","",IF($W354=1,Settings!$C$6,Settings!$C$7)*1)</f>
        <v/>
      </c>
      <c r="U354">
        <f>IF($A354="","",IF(COUNTIF($A$2:$A354,$A354)=1,1,0))</f>
        <v/>
      </c>
      <c r="V354">
        <f>IF($U354=1,SUMPRODUCT(--($X$2:$X$501&lt;$X354))+1,"")</f>
        <v/>
      </c>
      <c r="W354">
        <f>IF($A354="","",IF(OR($T354=TRUE(),$T354="TRUE"),1,0))</f>
        <v/>
      </c>
      <c r="X354">
        <f>IF($U354=1,IFERROR(IF(VALUE($A354)&lt;100000000,VALUE($A354),1000000000),IFERROR(IF(VALUE(MID($A354,2,20))&lt;100000000,VALUE(MID($A354,2,20)),1000000000),1000000000))+ROW()/100000,"")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IF($A355="","",E355*N355/100)</f>
        <v/>
      </c>
      <c r="J355" s="7" t="n"/>
      <c r="K355" s="7">
        <f>IF($A355="","",S355*N355)</f>
        <v/>
      </c>
      <c r="L355" s="7">
        <f>IF($A355="","",N355-K355)</f>
        <v/>
      </c>
      <c r="M355" s="7">
        <f>IF($A355="","",L355-F355)</f>
        <v/>
      </c>
      <c r="N355" s="7" t="n"/>
      <c r="Q355" s="11" t="n"/>
      <c r="S355">
        <f>IF($A355="","",IF($W355=1,Settings!$C$6,Settings!$C$7)*1)</f>
        <v/>
      </c>
      <c r="U355">
        <f>IF($A355="","",IF(COUNTIF($A$2:$A355,$A355)=1,1,0))</f>
        <v/>
      </c>
      <c r="V355">
        <f>IF($U355=1,SUMPRODUCT(--($X$2:$X$501&lt;$X355))+1,"")</f>
        <v/>
      </c>
      <c r="W355">
        <f>IF($A355="","",IF(OR($T355=TRUE(),$T355="TRUE"),1,0))</f>
        <v/>
      </c>
      <c r="X355">
        <f>IF($U355=1,IFERROR(IF(VALUE($A355)&lt;100000000,VALUE($A355),1000000000),IFERROR(IF(VALUE(MID($A355,2,20))&lt;100000000,VALUE(MID($A355,2,20)),1000000000),1000000000))+ROW()/100000,"")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IF($A356="","",E356*N356/100)</f>
        <v/>
      </c>
      <c r="J356" s="7" t="n"/>
      <c r="K356" s="7">
        <f>IF($A356="","",S356*N356)</f>
        <v/>
      </c>
      <c r="L356" s="7">
        <f>IF($A356="","",N356-K356)</f>
        <v/>
      </c>
      <c r="M356" s="7">
        <f>IF($A356="","",L356-F356)</f>
        <v/>
      </c>
      <c r="N356" s="7" t="n"/>
      <c r="Q356" s="11" t="n"/>
      <c r="S356">
        <f>IF($A356="","",IF($W356=1,Settings!$C$6,Settings!$C$7)*1)</f>
        <v/>
      </c>
      <c r="U356">
        <f>IF($A356="","",IF(COUNTIF($A$2:$A356,$A356)=1,1,0))</f>
        <v/>
      </c>
      <c r="V356">
        <f>IF($U356=1,SUMPRODUCT(--($X$2:$X$501&lt;$X356))+1,"")</f>
        <v/>
      </c>
      <c r="W356">
        <f>IF($A356="","",IF(OR($T356=TRUE(),$T356="TRUE"),1,0))</f>
        <v/>
      </c>
      <c r="X356">
        <f>IF($U356=1,IFERROR(IF(VALUE($A356)&lt;100000000,VALUE($A356),1000000000),IFERROR(IF(VALUE(MID($A356,2,20))&lt;100000000,VALUE(MID($A356,2,20)),1000000000),1000000000))+ROW()/100000,"")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IF($A357="","",E357*N357/100)</f>
        <v/>
      </c>
      <c r="J357" s="7" t="n"/>
      <c r="K357" s="7">
        <f>IF($A357="","",S357*N357)</f>
        <v/>
      </c>
      <c r="L357" s="7">
        <f>IF($A357="","",N357-K357)</f>
        <v/>
      </c>
      <c r="M357" s="7">
        <f>IF($A357="","",L357-F357)</f>
        <v/>
      </c>
      <c r="N357" s="7" t="n"/>
      <c r="Q357" s="11" t="n"/>
      <c r="S357">
        <f>IF($A357="","",IF($W357=1,Settings!$C$6,Settings!$C$7)*1)</f>
        <v/>
      </c>
      <c r="U357">
        <f>IF($A357="","",IF(COUNTIF($A$2:$A357,$A357)=1,1,0))</f>
        <v/>
      </c>
      <c r="V357">
        <f>IF($U357=1,SUMPRODUCT(--($X$2:$X$501&lt;$X357))+1,"")</f>
        <v/>
      </c>
      <c r="W357">
        <f>IF($A357="","",IF(OR($T357=TRUE(),$T357="TRUE"),1,0))</f>
        <v/>
      </c>
      <c r="X357">
        <f>IF($U357=1,IFERROR(IF(VALUE($A357)&lt;100000000,VALUE($A357),1000000000),IFERROR(IF(VALUE(MID($A357,2,20))&lt;100000000,VALUE(MID($A357,2,20)),1000000000),1000000000))+ROW()/100000,"")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IF($A358="","",E358*N358/100)</f>
        <v/>
      </c>
      <c r="J358" s="7" t="n"/>
      <c r="K358" s="7">
        <f>IF($A358="","",S358*N358)</f>
        <v/>
      </c>
      <c r="L358" s="7">
        <f>IF($A358="","",N358-K358)</f>
        <v/>
      </c>
      <c r="M358" s="7">
        <f>IF($A358="","",L358-F358)</f>
        <v/>
      </c>
      <c r="N358" s="7" t="n"/>
      <c r="Q358" s="11" t="n"/>
      <c r="S358">
        <f>IF($A358="","",IF($W358=1,Settings!$C$6,Settings!$C$7)*1)</f>
        <v/>
      </c>
      <c r="U358">
        <f>IF($A358="","",IF(COUNTIF($A$2:$A358,$A358)=1,1,0))</f>
        <v/>
      </c>
      <c r="V358">
        <f>IF($U358=1,SUMPRODUCT(--($X$2:$X$501&lt;$X358))+1,"")</f>
        <v/>
      </c>
      <c r="W358">
        <f>IF($A358="","",IF(OR($T358=TRUE(),$T358="TRUE"),1,0))</f>
        <v/>
      </c>
      <c r="X358">
        <f>IF($U358=1,IFERROR(IF(VALUE($A358)&lt;100000000,VALUE($A358),1000000000),IFERROR(IF(VALUE(MID($A358,2,20))&lt;100000000,VALUE(MID($A358,2,20)),1000000000),1000000000))+ROW()/100000,"")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IF($A359="","",E359*N359/100)</f>
        <v/>
      </c>
      <c r="J359" s="7" t="n"/>
      <c r="K359" s="7">
        <f>IF($A359="","",S359*N359)</f>
        <v/>
      </c>
      <c r="L359" s="7">
        <f>IF($A359="","",N359-K359)</f>
        <v/>
      </c>
      <c r="M359" s="7">
        <f>IF($A359="","",L359-F359)</f>
        <v/>
      </c>
      <c r="N359" s="7" t="n"/>
      <c r="Q359" s="11" t="n"/>
      <c r="S359">
        <f>IF($A359="","",IF($W359=1,Settings!$C$6,Settings!$C$7)*1)</f>
        <v/>
      </c>
      <c r="U359">
        <f>IF($A359="","",IF(COUNTIF($A$2:$A359,$A359)=1,1,0))</f>
        <v/>
      </c>
      <c r="V359">
        <f>IF($U359=1,SUMPRODUCT(--($X$2:$X$501&lt;$X359))+1,"")</f>
        <v/>
      </c>
      <c r="W359">
        <f>IF($A359="","",IF(OR($T359=TRUE(),$T359="TRUE"),1,0))</f>
        <v/>
      </c>
      <c r="X359">
        <f>IF($U359=1,IFERROR(IF(VALUE($A359)&lt;100000000,VALUE($A359),1000000000),IFERROR(IF(VALUE(MID($A359,2,20))&lt;100000000,VALUE(MID($A359,2,20)),1000000000),1000000000))+ROW()/100000,"")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IF($A360="","",E360*N360/100)</f>
        <v/>
      </c>
      <c r="J360" s="7" t="n"/>
      <c r="K360" s="7">
        <f>IF($A360="","",S360*N360)</f>
        <v/>
      </c>
      <c r="L360" s="7">
        <f>IF($A360="","",N360-K360)</f>
        <v/>
      </c>
      <c r="M360" s="7">
        <f>IF($A360="","",L360-F360)</f>
        <v/>
      </c>
      <c r="N360" s="7" t="n"/>
      <c r="Q360" s="11" t="n"/>
      <c r="S360">
        <f>IF($A360="","",IF($W360=1,Settings!$C$6,Settings!$C$7)*1)</f>
        <v/>
      </c>
      <c r="U360">
        <f>IF($A360="","",IF(COUNTIF($A$2:$A360,$A360)=1,1,0))</f>
        <v/>
      </c>
      <c r="V360">
        <f>IF($U360=1,SUMPRODUCT(--($X$2:$X$501&lt;$X360))+1,"")</f>
        <v/>
      </c>
      <c r="W360">
        <f>IF($A360="","",IF(OR($T360=TRUE(),$T360="TRUE"),1,0))</f>
        <v/>
      </c>
      <c r="X360">
        <f>IF($U360=1,IFERROR(IF(VALUE($A360)&lt;100000000,VALUE($A360),1000000000),IFERROR(IF(VALUE(MID($A360,2,20))&lt;100000000,VALUE(MID($A360,2,20)),1000000000),1000000000))+ROW()/100000,"")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IF($A361="","",E361*N361/100)</f>
        <v/>
      </c>
      <c r="J361" s="7" t="n"/>
      <c r="K361" s="7">
        <f>IF($A361="","",S361*N361)</f>
        <v/>
      </c>
      <c r="L361" s="7">
        <f>IF($A361="","",N361-K361)</f>
        <v/>
      </c>
      <c r="M361" s="7">
        <f>IF($A361="","",L361-F361)</f>
        <v/>
      </c>
      <c r="N361" s="7" t="n"/>
      <c r="Q361" s="11" t="n"/>
      <c r="S361">
        <f>IF($A361="","",IF($W361=1,Settings!$C$6,Settings!$C$7)*1)</f>
        <v/>
      </c>
      <c r="U361">
        <f>IF($A361="","",IF(COUNTIF($A$2:$A361,$A361)=1,1,0))</f>
        <v/>
      </c>
      <c r="V361">
        <f>IF($U361=1,SUMPRODUCT(--($X$2:$X$501&lt;$X361))+1,"")</f>
        <v/>
      </c>
      <c r="W361">
        <f>IF($A361="","",IF(OR($T361=TRUE(),$T361="TRUE"),1,0))</f>
        <v/>
      </c>
      <c r="X361">
        <f>IF($U361=1,IFERROR(IF(VALUE($A361)&lt;100000000,VALUE($A361),1000000000),IFERROR(IF(VALUE(MID($A361,2,20))&lt;100000000,VALUE(MID($A361,2,20)),1000000000),1000000000))+ROW()/100000,"")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IF($A362="","",E362*N362/100)</f>
        <v/>
      </c>
      <c r="J362" s="7" t="n"/>
      <c r="K362" s="7">
        <f>IF($A362="","",S362*N362)</f>
        <v/>
      </c>
      <c r="L362" s="7">
        <f>IF($A362="","",N362-K362)</f>
        <v/>
      </c>
      <c r="M362" s="7">
        <f>IF($A362="","",L362-F362)</f>
        <v/>
      </c>
      <c r="N362" s="7" t="n"/>
      <c r="Q362" s="11" t="n"/>
      <c r="S362">
        <f>IF($A362="","",IF($W362=1,Settings!$C$6,Settings!$C$7)*1)</f>
        <v/>
      </c>
      <c r="U362">
        <f>IF($A362="","",IF(COUNTIF($A$2:$A362,$A362)=1,1,0))</f>
        <v/>
      </c>
      <c r="V362">
        <f>IF($U362=1,SUMPRODUCT(--($X$2:$X$501&lt;$X362))+1,"")</f>
        <v/>
      </c>
      <c r="W362">
        <f>IF($A362="","",IF(OR($T362=TRUE(),$T362="TRUE"),1,0))</f>
        <v/>
      </c>
      <c r="X362">
        <f>IF($U362=1,IFERROR(IF(VALUE($A362)&lt;100000000,VALUE($A362),1000000000),IFERROR(IF(VALUE(MID($A362,2,20))&lt;100000000,VALUE(MID($A362,2,20)),1000000000),1000000000))+ROW()/100000,"")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IF($A363="","",E363*N363/100)</f>
        <v/>
      </c>
      <c r="J363" s="7" t="n"/>
      <c r="K363" s="7">
        <f>IF($A363="","",S363*N363)</f>
        <v/>
      </c>
      <c r="L363" s="7">
        <f>IF($A363="","",N363-K363)</f>
        <v/>
      </c>
      <c r="M363" s="7">
        <f>IF($A363="","",L363-F363)</f>
        <v/>
      </c>
      <c r="N363" s="7" t="n"/>
      <c r="Q363" s="11" t="n"/>
      <c r="S363">
        <f>IF($A363="","",IF($W363=1,Settings!$C$6,Settings!$C$7)*1)</f>
        <v/>
      </c>
      <c r="U363">
        <f>IF($A363="","",IF(COUNTIF($A$2:$A363,$A363)=1,1,0))</f>
        <v/>
      </c>
      <c r="V363">
        <f>IF($U363=1,SUMPRODUCT(--($X$2:$X$501&lt;$X363))+1,"")</f>
        <v/>
      </c>
      <c r="W363">
        <f>IF($A363="","",IF(OR($T363=TRUE(),$T363="TRUE"),1,0))</f>
        <v/>
      </c>
      <c r="X363">
        <f>IF($U363=1,IFERROR(IF(VALUE($A363)&lt;100000000,VALUE($A363),1000000000),IFERROR(IF(VALUE(MID($A363,2,20))&lt;100000000,VALUE(MID($A363,2,20)),1000000000),1000000000))+ROW()/100000,"")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IF($A364="","",E364*N364/100)</f>
        <v/>
      </c>
      <c r="J364" s="7" t="n"/>
      <c r="K364" s="7">
        <f>IF($A364="","",S364*N364)</f>
        <v/>
      </c>
      <c r="L364" s="7">
        <f>IF($A364="","",N364-K364)</f>
        <v/>
      </c>
      <c r="M364" s="7">
        <f>IF($A364="","",L364-F364)</f>
        <v/>
      </c>
      <c r="N364" s="7" t="n"/>
      <c r="Q364" s="11" t="n"/>
      <c r="S364">
        <f>IF($A364="","",IF($W364=1,Settings!$C$6,Settings!$C$7)*1)</f>
        <v/>
      </c>
      <c r="U364">
        <f>IF($A364="","",IF(COUNTIF($A$2:$A364,$A364)=1,1,0))</f>
        <v/>
      </c>
      <c r="V364">
        <f>IF($U364=1,SUMPRODUCT(--($X$2:$X$501&lt;$X364))+1,"")</f>
        <v/>
      </c>
      <c r="W364">
        <f>IF($A364="","",IF(OR($T364=TRUE(),$T364="TRUE"),1,0))</f>
        <v/>
      </c>
      <c r="X364">
        <f>IF($U364=1,IFERROR(IF(VALUE($A364)&lt;100000000,VALUE($A364),1000000000),IFERROR(IF(VALUE(MID($A364,2,20))&lt;100000000,VALUE(MID($A364,2,20)),1000000000),1000000000))+ROW()/100000,"")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IF($A365="","",E365*N365/100)</f>
        <v/>
      </c>
      <c r="J365" s="7" t="n"/>
      <c r="K365" s="7">
        <f>IF($A365="","",S365*N365)</f>
        <v/>
      </c>
      <c r="L365" s="7">
        <f>IF($A365="","",N365-K365)</f>
        <v/>
      </c>
      <c r="M365" s="7">
        <f>IF($A365="","",L365-F365)</f>
        <v/>
      </c>
      <c r="N365" s="7" t="n"/>
      <c r="Q365" s="11" t="n"/>
      <c r="S365">
        <f>IF($A365="","",IF($W365=1,Settings!$C$6,Settings!$C$7)*1)</f>
        <v/>
      </c>
      <c r="U365">
        <f>IF($A365="","",IF(COUNTIF($A$2:$A365,$A365)=1,1,0))</f>
        <v/>
      </c>
      <c r="V365">
        <f>IF($U365=1,SUMPRODUCT(--($X$2:$X$501&lt;$X365))+1,"")</f>
        <v/>
      </c>
      <c r="W365">
        <f>IF($A365="","",IF(OR($T365=TRUE(),$T365="TRUE"),1,0))</f>
        <v/>
      </c>
      <c r="X365">
        <f>IF($U365=1,IFERROR(IF(VALUE($A365)&lt;100000000,VALUE($A365),1000000000),IFERROR(IF(VALUE(MID($A365,2,20))&lt;100000000,VALUE(MID($A365,2,20)),1000000000),1000000000))+ROW()/100000,"")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IF($A366="","",E366*N366/100)</f>
        <v/>
      </c>
      <c r="J366" s="7" t="n"/>
      <c r="K366" s="7">
        <f>IF($A366="","",S366*N366)</f>
        <v/>
      </c>
      <c r="L366" s="7">
        <f>IF($A366="","",N366-K366)</f>
        <v/>
      </c>
      <c r="M366" s="7">
        <f>IF($A366="","",L366-F366)</f>
        <v/>
      </c>
      <c r="N366" s="7" t="n"/>
      <c r="Q366" s="11" t="n"/>
      <c r="S366">
        <f>IF($A366="","",IF($W366=1,Settings!$C$6,Settings!$C$7)*1)</f>
        <v/>
      </c>
      <c r="U366">
        <f>IF($A366="","",IF(COUNTIF($A$2:$A366,$A366)=1,1,0))</f>
        <v/>
      </c>
      <c r="V366">
        <f>IF($U366=1,SUMPRODUCT(--($X$2:$X$501&lt;$X366))+1,"")</f>
        <v/>
      </c>
      <c r="W366">
        <f>IF($A366="","",IF(OR($T366=TRUE(),$T366="TRUE"),1,0))</f>
        <v/>
      </c>
      <c r="X366">
        <f>IF($U366=1,IFERROR(IF(VALUE($A366)&lt;100000000,VALUE($A366),1000000000),IFERROR(IF(VALUE(MID($A366,2,20))&lt;100000000,VALUE(MID($A366,2,20)),1000000000),1000000000))+ROW()/100000,"")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IF($A367="","",E367*N367/100)</f>
        <v/>
      </c>
      <c r="J367" s="7" t="n"/>
      <c r="K367" s="7">
        <f>IF($A367="","",S367*N367)</f>
        <v/>
      </c>
      <c r="L367" s="7">
        <f>IF($A367="","",N367-K367)</f>
        <v/>
      </c>
      <c r="M367" s="7">
        <f>IF($A367="","",L367-F367)</f>
        <v/>
      </c>
      <c r="N367" s="7" t="n"/>
      <c r="Q367" s="11" t="n"/>
      <c r="S367">
        <f>IF($A367="","",IF($W367=1,Settings!$C$6,Settings!$C$7)*1)</f>
        <v/>
      </c>
      <c r="U367">
        <f>IF($A367="","",IF(COUNTIF($A$2:$A367,$A367)=1,1,0))</f>
        <v/>
      </c>
      <c r="V367">
        <f>IF($U367=1,SUMPRODUCT(--($X$2:$X$501&lt;$X367))+1,"")</f>
        <v/>
      </c>
      <c r="W367">
        <f>IF($A367="","",IF(OR($T367=TRUE(),$T367="TRUE"),1,0))</f>
        <v/>
      </c>
      <c r="X367">
        <f>IF($U367=1,IFERROR(IF(VALUE($A367)&lt;100000000,VALUE($A367),1000000000),IFERROR(IF(VALUE(MID($A367,2,20))&lt;100000000,VALUE(MID($A367,2,20)),1000000000),1000000000))+ROW()/100000,"")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IF($A368="","",E368*N368/100)</f>
        <v/>
      </c>
      <c r="J368" s="7" t="n"/>
      <c r="K368" s="7">
        <f>IF($A368="","",S368*N368)</f>
        <v/>
      </c>
      <c r="L368" s="7">
        <f>IF($A368="","",N368-K368)</f>
        <v/>
      </c>
      <c r="M368" s="7">
        <f>IF($A368="","",L368-F368)</f>
        <v/>
      </c>
      <c r="N368" s="7" t="n"/>
      <c r="Q368" s="11" t="n"/>
      <c r="S368">
        <f>IF($A368="","",IF($W368=1,Settings!$C$6,Settings!$C$7)*1)</f>
        <v/>
      </c>
      <c r="U368">
        <f>IF($A368="","",IF(COUNTIF($A$2:$A368,$A368)=1,1,0))</f>
        <v/>
      </c>
      <c r="V368">
        <f>IF($U368=1,SUMPRODUCT(--($X$2:$X$501&lt;$X368))+1,"")</f>
        <v/>
      </c>
      <c r="W368">
        <f>IF($A368="","",IF(OR($T368=TRUE(),$T368="TRUE"),1,0))</f>
        <v/>
      </c>
      <c r="X368">
        <f>IF($U368=1,IFERROR(IF(VALUE($A368)&lt;100000000,VALUE($A368),1000000000),IFERROR(IF(VALUE(MID($A368,2,20))&lt;100000000,VALUE(MID($A368,2,20)),1000000000),1000000000))+ROW()/100000,"")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IF($A369="","",E369*N369/100)</f>
        <v/>
      </c>
      <c r="J369" s="7" t="n"/>
      <c r="K369" s="7">
        <f>IF($A369="","",S369*N369)</f>
        <v/>
      </c>
      <c r="L369" s="7">
        <f>IF($A369="","",N369-K369)</f>
        <v/>
      </c>
      <c r="M369" s="7">
        <f>IF($A369="","",L369-F369)</f>
        <v/>
      </c>
      <c r="N369" s="7" t="n"/>
      <c r="Q369" s="11" t="n"/>
      <c r="S369">
        <f>IF($A369="","",IF($W369=1,Settings!$C$6,Settings!$C$7)*1)</f>
        <v/>
      </c>
      <c r="U369">
        <f>IF($A369="","",IF(COUNTIF($A$2:$A369,$A369)=1,1,0))</f>
        <v/>
      </c>
      <c r="V369">
        <f>IF($U369=1,SUMPRODUCT(--($X$2:$X$501&lt;$X369))+1,"")</f>
        <v/>
      </c>
      <c r="W369">
        <f>IF($A369="","",IF(OR($T369=TRUE(),$T369="TRUE"),1,0))</f>
        <v/>
      </c>
      <c r="X369">
        <f>IF($U369=1,IFERROR(IF(VALUE($A369)&lt;100000000,VALUE($A369),1000000000),IFERROR(IF(VALUE(MID($A369,2,20))&lt;100000000,VALUE(MID($A369,2,20)),1000000000),1000000000))+ROW()/100000,"")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IF($A370="","",E370*N370/100)</f>
        <v/>
      </c>
      <c r="J370" s="7" t="n"/>
      <c r="K370" s="7">
        <f>IF($A370="","",S370*N370)</f>
        <v/>
      </c>
      <c r="L370" s="7">
        <f>IF($A370="","",N370-K370)</f>
        <v/>
      </c>
      <c r="M370" s="7">
        <f>IF($A370="","",L370-F370)</f>
        <v/>
      </c>
      <c r="N370" s="7" t="n"/>
      <c r="Q370" s="11" t="n"/>
      <c r="S370">
        <f>IF($A370="","",IF($W370=1,Settings!$C$6,Settings!$C$7)*1)</f>
        <v/>
      </c>
      <c r="U370">
        <f>IF($A370="","",IF(COUNTIF($A$2:$A370,$A370)=1,1,0))</f>
        <v/>
      </c>
      <c r="V370">
        <f>IF($U370=1,SUMPRODUCT(--($X$2:$X$501&lt;$X370))+1,"")</f>
        <v/>
      </c>
      <c r="W370">
        <f>IF($A370="","",IF(OR($T370=TRUE(),$T370="TRUE"),1,0))</f>
        <v/>
      </c>
      <c r="X370">
        <f>IF($U370=1,IFERROR(IF(VALUE($A370)&lt;100000000,VALUE($A370),1000000000),IFERROR(IF(VALUE(MID($A370,2,20))&lt;100000000,VALUE(MID($A370,2,20)),1000000000),1000000000))+ROW()/100000,"")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IF($A371="","",E371*N371/100)</f>
        <v/>
      </c>
      <c r="J371" s="7" t="n"/>
      <c r="K371" s="7">
        <f>IF($A371="","",S371*N371)</f>
        <v/>
      </c>
      <c r="L371" s="7">
        <f>IF($A371="","",N371-K371)</f>
        <v/>
      </c>
      <c r="M371" s="7">
        <f>IF($A371="","",L371-F371)</f>
        <v/>
      </c>
      <c r="N371" s="7" t="n"/>
      <c r="Q371" s="11" t="n"/>
      <c r="S371">
        <f>IF($A371="","",IF($W371=1,Settings!$C$6,Settings!$C$7)*1)</f>
        <v/>
      </c>
      <c r="U371">
        <f>IF($A371="","",IF(COUNTIF($A$2:$A371,$A371)=1,1,0))</f>
        <v/>
      </c>
      <c r="V371">
        <f>IF($U371=1,SUMPRODUCT(--($X$2:$X$501&lt;$X371))+1,"")</f>
        <v/>
      </c>
      <c r="W371">
        <f>IF($A371="","",IF(OR($T371=TRUE(),$T371="TRUE"),1,0))</f>
        <v/>
      </c>
      <c r="X371">
        <f>IF($U371=1,IFERROR(IF(VALUE($A371)&lt;100000000,VALUE($A371),1000000000),IFERROR(IF(VALUE(MID($A371,2,20))&lt;100000000,VALUE(MID($A371,2,20)),1000000000),1000000000))+ROW()/100000,"")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IF($A372="","",E372*N372/100)</f>
        <v/>
      </c>
      <c r="J372" s="7" t="n"/>
      <c r="K372" s="7">
        <f>IF($A372="","",S372*N372)</f>
        <v/>
      </c>
      <c r="L372" s="7">
        <f>IF($A372="","",N372-K372)</f>
        <v/>
      </c>
      <c r="M372" s="7">
        <f>IF($A372="","",L372-F372)</f>
        <v/>
      </c>
      <c r="N372" s="7" t="n"/>
      <c r="Q372" s="11" t="n"/>
      <c r="S372">
        <f>IF($A372="","",IF($W372=1,Settings!$C$6,Settings!$C$7)*1)</f>
        <v/>
      </c>
      <c r="U372">
        <f>IF($A372="","",IF(COUNTIF($A$2:$A372,$A372)=1,1,0))</f>
        <v/>
      </c>
      <c r="V372">
        <f>IF($U372=1,SUMPRODUCT(--($X$2:$X$501&lt;$X372))+1,"")</f>
        <v/>
      </c>
      <c r="W372">
        <f>IF($A372="","",IF(OR($T372=TRUE(),$T372="TRUE"),1,0))</f>
        <v/>
      </c>
      <c r="X372">
        <f>IF($U372=1,IFERROR(IF(VALUE($A372)&lt;100000000,VALUE($A372),1000000000),IFERROR(IF(VALUE(MID($A372,2,20))&lt;100000000,VALUE(MID($A372,2,20)),1000000000),1000000000))+ROW()/100000,"")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IF($A373="","",E373*N373/100)</f>
        <v/>
      </c>
      <c r="J373" s="7" t="n"/>
      <c r="K373" s="7">
        <f>IF($A373="","",S373*N373)</f>
        <v/>
      </c>
      <c r="L373" s="7">
        <f>IF($A373="","",N373-K373)</f>
        <v/>
      </c>
      <c r="M373" s="7">
        <f>IF($A373="","",L373-F373)</f>
        <v/>
      </c>
      <c r="N373" s="7" t="n"/>
      <c r="Q373" s="11" t="n"/>
      <c r="S373">
        <f>IF($A373="","",IF($W373=1,Settings!$C$6,Settings!$C$7)*1)</f>
        <v/>
      </c>
      <c r="U373">
        <f>IF($A373="","",IF(COUNTIF($A$2:$A373,$A373)=1,1,0))</f>
        <v/>
      </c>
      <c r="V373">
        <f>IF($U373=1,SUMPRODUCT(--($X$2:$X$501&lt;$X373))+1,"")</f>
        <v/>
      </c>
      <c r="W373">
        <f>IF($A373="","",IF(OR($T373=TRUE(),$T373="TRUE"),1,0))</f>
        <v/>
      </c>
      <c r="X373">
        <f>IF($U373=1,IFERROR(IF(VALUE($A373)&lt;100000000,VALUE($A373),1000000000),IFERROR(IF(VALUE(MID($A373,2,20))&lt;100000000,VALUE(MID($A373,2,20)),1000000000),1000000000))+ROW()/100000,"")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IF($A374="","",E374*N374/100)</f>
        <v/>
      </c>
      <c r="J374" s="7" t="n"/>
      <c r="K374" s="7">
        <f>IF($A374="","",S374*N374)</f>
        <v/>
      </c>
      <c r="L374" s="7">
        <f>IF($A374="","",N374-K374)</f>
        <v/>
      </c>
      <c r="M374" s="7">
        <f>IF($A374="","",L374-F374)</f>
        <v/>
      </c>
      <c r="N374" s="7" t="n"/>
      <c r="Q374" s="11" t="n"/>
      <c r="S374">
        <f>IF($A374="","",IF($W374=1,Settings!$C$6,Settings!$C$7)*1)</f>
        <v/>
      </c>
      <c r="U374">
        <f>IF($A374="","",IF(COUNTIF($A$2:$A374,$A374)=1,1,0))</f>
        <v/>
      </c>
      <c r="V374">
        <f>IF($U374=1,SUMPRODUCT(--($X$2:$X$501&lt;$X374))+1,"")</f>
        <v/>
      </c>
      <c r="W374">
        <f>IF($A374="","",IF(OR($T374=TRUE(),$T374="TRUE"),1,0))</f>
        <v/>
      </c>
      <c r="X374">
        <f>IF($U374=1,IFERROR(IF(VALUE($A374)&lt;100000000,VALUE($A374),1000000000),IFERROR(IF(VALUE(MID($A374,2,20))&lt;100000000,VALUE(MID($A374,2,20)),1000000000),1000000000))+ROW()/100000,"")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IF($A375="","",E375*N375/100)</f>
        <v/>
      </c>
      <c r="J375" s="7" t="n"/>
      <c r="K375" s="7">
        <f>IF($A375="","",S375*N375)</f>
        <v/>
      </c>
      <c r="L375" s="7">
        <f>IF($A375="","",N375-K375)</f>
        <v/>
      </c>
      <c r="M375" s="7">
        <f>IF($A375="","",L375-F375)</f>
        <v/>
      </c>
      <c r="N375" s="7" t="n"/>
      <c r="Q375" s="11" t="n"/>
      <c r="S375">
        <f>IF($A375="","",IF($W375=1,Settings!$C$6,Settings!$C$7)*1)</f>
        <v/>
      </c>
      <c r="U375">
        <f>IF($A375="","",IF(COUNTIF($A$2:$A375,$A375)=1,1,0))</f>
        <v/>
      </c>
      <c r="V375">
        <f>IF($U375=1,SUMPRODUCT(--($X$2:$X$501&lt;$X375))+1,"")</f>
        <v/>
      </c>
      <c r="W375">
        <f>IF($A375="","",IF(OR($T375=TRUE(),$T375="TRUE"),1,0))</f>
        <v/>
      </c>
      <c r="X375">
        <f>IF($U375=1,IFERROR(IF(VALUE($A375)&lt;100000000,VALUE($A375),1000000000),IFERROR(IF(VALUE(MID($A375,2,20))&lt;100000000,VALUE(MID($A375,2,20)),1000000000),1000000000))+ROW()/100000,"")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IF($A376="","",E376*N376/100)</f>
        <v/>
      </c>
      <c r="J376" s="7" t="n"/>
      <c r="K376" s="7">
        <f>IF($A376="","",S376*N376)</f>
        <v/>
      </c>
      <c r="L376" s="7">
        <f>IF($A376="","",N376-K376)</f>
        <v/>
      </c>
      <c r="M376" s="7">
        <f>IF($A376="","",L376-F376)</f>
        <v/>
      </c>
      <c r="N376" s="7" t="n"/>
      <c r="Q376" s="11" t="n"/>
      <c r="S376">
        <f>IF($A376="","",IF($W376=1,Settings!$C$6,Settings!$C$7)*1)</f>
        <v/>
      </c>
      <c r="U376">
        <f>IF($A376="","",IF(COUNTIF($A$2:$A376,$A376)=1,1,0))</f>
        <v/>
      </c>
      <c r="V376">
        <f>IF($U376=1,SUMPRODUCT(--($X$2:$X$501&lt;$X376))+1,"")</f>
        <v/>
      </c>
      <c r="W376">
        <f>IF($A376="","",IF(OR($T376=TRUE(),$T376="TRUE"),1,0))</f>
        <v/>
      </c>
      <c r="X376">
        <f>IF($U376=1,IFERROR(IF(VALUE($A376)&lt;100000000,VALUE($A376),1000000000),IFERROR(IF(VALUE(MID($A376,2,20))&lt;100000000,VALUE(MID($A376,2,20)),1000000000),1000000000))+ROW()/100000,"")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IF($A377="","",E377*N377/100)</f>
        <v/>
      </c>
      <c r="J377" s="7" t="n"/>
      <c r="K377" s="7">
        <f>IF($A377="","",S377*N377)</f>
        <v/>
      </c>
      <c r="L377" s="7">
        <f>IF($A377="","",N377-K377)</f>
        <v/>
      </c>
      <c r="M377" s="7">
        <f>IF($A377="","",L377-F377)</f>
        <v/>
      </c>
      <c r="N377" s="7" t="n"/>
      <c r="Q377" s="11" t="n"/>
      <c r="S377">
        <f>IF($A377="","",IF($W377=1,Settings!$C$6,Settings!$C$7)*1)</f>
        <v/>
      </c>
      <c r="U377">
        <f>IF($A377="","",IF(COUNTIF($A$2:$A377,$A377)=1,1,0))</f>
        <v/>
      </c>
      <c r="V377">
        <f>IF($U377=1,SUMPRODUCT(--($X$2:$X$501&lt;$X377))+1,"")</f>
        <v/>
      </c>
      <c r="W377">
        <f>IF($A377="","",IF(OR($T377=TRUE(),$T377="TRUE"),1,0))</f>
        <v/>
      </c>
      <c r="X377">
        <f>IF($U377=1,IFERROR(IF(VALUE($A377)&lt;100000000,VALUE($A377),1000000000),IFERROR(IF(VALUE(MID($A377,2,20))&lt;100000000,VALUE(MID($A377,2,20)),1000000000),1000000000))+ROW()/100000,"")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IF($A378="","",E378*N378/100)</f>
        <v/>
      </c>
      <c r="J378" s="7" t="n"/>
      <c r="K378" s="7">
        <f>IF($A378="","",S378*N378)</f>
        <v/>
      </c>
      <c r="L378" s="7">
        <f>IF($A378="","",N378-K378)</f>
        <v/>
      </c>
      <c r="M378" s="7">
        <f>IF($A378="","",L378-F378)</f>
        <v/>
      </c>
      <c r="N378" s="7" t="n"/>
      <c r="Q378" s="11" t="n"/>
      <c r="S378">
        <f>IF($A378="","",IF($W378=1,Settings!$C$6,Settings!$C$7)*1)</f>
        <v/>
      </c>
      <c r="U378">
        <f>IF($A378="","",IF(COUNTIF($A$2:$A378,$A378)=1,1,0))</f>
        <v/>
      </c>
      <c r="V378">
        <f>IF($U378=1,SUMPRODUCT(--($X$2:$X$501&lt;$X378))+1,"")</f>
        <v/>
      </c>
      <c r="W378">
        <f>IF($A378="","",IF(OR($T378=TRUE(),$T378="TRUE"),1,0))</f>
        <v/>
      </c>
      <c r="X378">
        <f>IF($U378=1,IFERROR(IF(VALUE($A378)&lt;100000000,VALUE($A378),1000000000),IFERROR(IF(VALUE(MID($A378,2,20))&lt;100000000,VALUE(MID($A378,2,20)),1000000000),1000000000))+ROW()/100000,"")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IF($A379="","",E379*N379/100)</f>
        <v/>
      </c>
      <c r="J379" s="7" t="n"/>
      <c r="K379" s="7">
        <f>IF($A379="","",S379*N379)</f>
        <v/>
      </c>
      <c r="L379" s="7">
        <f>IF($A379="","",N379-K379)</f>
        <v/>
      </c>
      <c r="M379" s="7">
        <f>IF($A379="","",L379-F379)</f>
        <v/>
      </c>
      <c r="N379" s="7" t="n"/>
      <c r="Q379" s="11" t="n"/>
      <c r="S379">
        <f>IF($A379="","",IF($W379=1,Settings!$C$6,Settings!$C$7)*1)</f>
        <v/>
      </c>
      <c r="U379">
        <f>IF($A379="","",IF(COUNTIF($A$2:$A379,$A379)=1,1,0))</f>
        <v/>
      </c>
      <c r="V379">
        <f>IF($U379=1,SUMPRODUCT(--($X$2:$X$501&lt;$X379))+1,"")</f>
        <v/>
      </c>
      <c r="W379">
        <f>IF($A379="","",IF(OR($T379=TRUE(),$T379="TRUE"),1,0))</f>
        <v/>
      </c>
      <c r="X379">
        <f>IF($U379=1,IFERROR(IF(VALUE($A379)&lt;100000000,VALUE($A379),1000000000),IFERROR(IF(VALUE(MID($A379,2,20))&lt;100000000,VALUE(MID($A379,2,20)),1000000000),1000000000))+ROW()/100000,"")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IF($A380="","",E380*N380/100)</f>
        <v/>
      </c>
      <c r="J380" s="7" t="n"/>
      <c r="K380" s="7">
        <f>IF($A380="","",S380*N380)</f>
        <v/>
      </c>
      <c r="L380" s="7">
        <f>IF($A380="","",N380-K380)</f>
        <v/>
      </c>
      <c r="M380" s="7">
        <f>IF($A380="","",L380-F380)</f>
        <v/>
      </c>
      <c r="N380" s="7" t="n"/>
      <c r="Q380" s="11" t="n"/>
      <c r="S380">
        <f>IF($A380="","",IF($W380=1,Settings!$C$6,Settings!$C$7)*1)</f>
        <v/>
      </c>
      <c r="U380">
        <f>IF($A380="","",IF(COUNTIF($A$2:$A380,$A380)=1,1,0))</f>
        <v/>
      </c>
      <c r="V380">
        <f>IF($U380=1,SUMPRODUCT(--($X$2:$X$501&lt;$X380))+1,"")</f>
        <v/>
      </c>
      <c r="W380">
        <f>IF($A380="","",IF(OR($T380=TRUE(),$T380="TRUE"),1,0))</f>
        <v/>
      </c>
      <c r="X380">
        <f>IF($U380=1,IFERROR(IF(VALUE($A380)&lt;100000000,VALUE($A380),1000000000),IFERROR(IF(VALUE(MID($A380,2,20))&lt;100000000,VALUE(MID($A380,2,20)),1000000000),1000000000))+ROW()/100000,"")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IF($A381="","",E381*N381/100)</f>
        <v/>
      </c>
      <c r="J381" s="7" t="n"/>
      <c r="K381" s="7">
        <f>IF($A381="","",S381*N381)</f>
        <v/>
      </c>
      <c r="L381" s="7">
        <f>IF($A381="","",N381-K381)</f>
        <v/>
      </c>
      <c r="M381" s="7">
        <f>IF($A381="","",L381-F381)</f>
        <v/>
      </c>
      <c r="N381" s="7" t="n"/>
      <c r="Q381" s="11" t="n"/>
      <c r="S381">
        <f>IF($A381="","",IF($W381=1,Settings!$C$6,Settings!$C$7)*1)</f>
        <v/>
      </c>
      <c r="U381">
        <f>IF($A381="","",IF(COUNTIF($A$2:$A381,$A381)=1,1,0))</f>
        <v/>
      </c>
      <c r="V381">
        <f>IF($U381=1,SUMPRODUCT(--($X$2:$X$501&lt;$X381))+1,"")</f>
        <v/>
      </c>
      <c r="W381">
        <f>IF($A381="","",IF(OR($T381=TRUE(),$T381="TRUE"),1,0))</f>
        <v/>
      </c>
      <c r="X381">
        <f>IF($U381=1,IFERROR(IF(VALUE($A381)&lt;100000000,VALUE($A381),1000000000),IFERROR(IF(VALUE(MID($A381,2,20))&lt;100000000,VALUE(MID($A381,2,20)),1000000000),1000000000))+ROW()/100000,"")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IF($A382="","",E382*N382/100)</f>
        <v/>
      </c>
      <c r="J382" s="7" t="n"/>
      <c r="K382" s="7">
        <f>IF($A382="","",S382*N382)</f>
        <v/>
      </c>
      <c r="L382" s="7">
        <f>IF($A382="","",N382-K382)</f>
        <v/>
      </c>
      <c r="M382" s="7">
        <f>IF($A382="","",L382-F382)</f>
        <v/>
      </c>
      <c r="N382" s="7" t="n"/>
      <c r="Q382" s="11" t="n"/>
      <c r="S382">
        <f>IF($A382="","",IF($W382=1,Settings!$C$6,Settings!$C$7)*1)</f>
        <v/>
      </c>
      <c r="U382">
        <f>IF($A382="","",IF(COUNTIF($A$2:$A382,$A382)=1,1,0))</f>
        <v/>
      </c>
      <c r="V382">
        <f>IF($U382=1,SUMPRODUCT(--($X$2:$X$501&lt;$X382))+1,"")</f>
        <v/>
      </c>
      <c r="W382">
        <f>IF($A382="","",IF(OR($T382=TRUE(),$T382="TRUE"),1,0))</f>
        <v/>
      </c>
      <c r="X382">
        <f>IF($U382=1,IFERROR(IF(VALUE($A382)&lt;100000000,VALUE($A382),1000000000),IFERROR(IF(VALUE(MID($A382,2,20))&lt;100000000,VALUE(MID($A382,2,20)),1000000000),1000000000))+ROW()/100000,"")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IF($A383="","",E383*N383/100)</f>
        <v/>
      </c>
      <c r="J383" s="7" t="n"/>
      <c r="K383" s="7">
        <f>IF($A383="","",S383*N383)</f>
        <v/>
      </c>
      <c r="L383" s="7">
        <f>IF($A383="","",N383-K383)</f>
        <v/>
      </c>
      <c r="M383" s="7">
        <f>IF($A383="","",L383-F383)</f>
        <v/>
      </c>
      <c r="N383" s="7" t="n"/>
      <c r="Q383" s="11" t="n"/>
      <c r="S383">
        <f>IF($A383="","",IF($W383=1,Settings!$C$6,Settings!$C$7)*1)</f>
        <v/>
      </c>
      <c r="U383">
        <f>IF($A383="","",IF(COUNTIF($A$2:$A383,$A383)=1,1,0))</f>
        <v/>
      </c>
      <c r="V383">
        <f>IF($U383=1,SUMPRODUCT(--($X$2:$X$501&lt;$X383))+1,"")</f>
        <v/>
      </c>
      <c r="W383">
        <f>IF($A383="","",IF(OR($T383=TRUE(),$T383="TRUE"),1,0))</f>
        <v/>
      </c>
      <c r="X383">
        <f>IF($U383=1,IFERROR(IF(VALUE($A383)&lt;100000000,VALUE($A383),1000000000),IFERROR(IF(VALUE(MID($A383,2,20))&lt;100000000,VALUE(MID($A383,2,20)),1000000000),1000000000))+ROW()/100000,"")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IF($A384="","",E384*N384/100)</f>
        <v/>
      </c>
      <c r="J384" s="7" t="n"/>
      <c r="K384" s="7">
        <f>IF($A384="","",S384*N384)</f>
        <v/>
      </c>
      <c r="L384" s="7">
        <f>IF($A384="","",N384-K384)</f>
        <v/>
      </c>
      <c r="M384" s="7">
        <f>IF($A384="","",L384-F384)</f>
        <v/>
      </c>
      <c r="N384" s="7" t="n"/>
      <c r="Q384" s="11" t="n"/>
      <c r="S384">
        <f>IF($A384="","",IF($W384=1,Settings!$C$6,Settings!$C$7)*1)</f>
        <v/>
      </c>
      <c r="U384">
        <f>IF($A384="","",IF(COUNTIF($A$2:$A384,$A384)=1,1,0))</f>
        <v/>
      </c>
      <c r="V384">
        <f>IF($U384=1,SUMPRODUCT(--($X$2:$X$501&lt;$X384))+1,"")</f>
        <v/>
      </c>
      <c r="W384">
        <f>IF($A384="","",IF(OR($T384=TRUE(),$T384="TRUE"),1,0))</f>
        <v/>
      </c>
      <c r="X384">
        <f>IF($U384=1,IFERROR(IF(VALUE($A384)&lt;100000000,VALUE($A384),1000000000),IFERROR(IF(VALUE(MID($A384,2,20))&lt;100000000,VALUE(MID($A384,2,20)),1000000000),1000000000))+ROW()/100000,"")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IF($A385="","",E385*N385/100)</f>
        <v/>
      </c>
      <c r="J385" s="7" t="n"/>
      <c r="K385" s="7">
        <f>IF($A385="","",S385*N385)</f>
        <v/>
      </c>
      <c r="L385" s="7">
        <f>IF($A385="","",N385-K385)</f>
        <v/>
      </c>
      <c r="M385" s="7">
        <f>IF($A385="","",L385-F385)</f>
        <v/>
      </c>
      <c r="N385" s="7" t="n"/>
      <c r="Q385" s="11" t="n"/>
      <c r="S385">
        <f>IF($A385="","",IF($W385=1,Settings!$C$6,Settings!$C$7)*1)</f>
        <v/>
      </c>
      <c r="U385">
        <f>IF($A385="","",IF(COUNTIF($A$2:$A385,$A385)=1,1,0))</f>
        <v/>
      </c>
      <c r="V385">
        <f>IF($U385=1,SUMPRODUCT(--($X$2:$X$501&lt;$X385))+1,"")</f>
        <v/>
      </c>
      <c r="W385">
        <f>IF($A385="","",IF(OR($T385=TRUE(),$T385="TRUE"),1,0))</f>
        <v/>
      </c>
      <c r="X385">
        <f>IF($U385=1,IFERROR(IF(VALUE($A385)&lt;100000000,VALUE($A385),1000000000),IFERROR(IF(VALUE(MID($A385,2,20))&lt;100000000,VALUE(MID($A385,2,20)),1000000000),1000000000))+ROW()/100000,"")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IF($A386="","",E386*N386/100)</f>
        <v/>
      </c>
      <c r="J386" s="7" t="n"/>
      <c r="K386" s="7">
        <f>IF($A386="","",S386*N386)</f>
        <v/>
      </c>
      <c r="L386" s="7">
        <f>IF($A386="","",N386-K386)</f>
        <v/>
      </c>
      <c r="M386" s="7">
        <f>IF($A386="","",L386-F386)</f>
        <v/>
      </c>
      <c r="N386" s="7" t="n"/>
      <c r="Q386" s="11" t="n"/>
      <c r="S386">
        <f>IF($A386="","",IF($W386=1,Settings!$C$6,Settings!$C$7)*1)</f>
        <v/>
      </c>
      <c r="U386">
        <f>IF($A386="","",IF(COUNTIF($A$2:$A386,$A386)=1,1,0))</f>
        <v/>
      </c>
      <c r="V386">
        <f>IF($U386=1,SUMPRODUCT(--($X$2:$X$501&lt;$X386))+1,"")</f>
        <v/>
      </c>
      <c r="W386">
        <f>IF($A386="","",IF(OR($T386=TRUE(),$T386="TRUE"),1,0))</f>
        <v/>
      </c>
      <c r="X386">
        <f>IF($U386=1,IFERROR(IF(VALUE($A386)&lt;100000000,VALUE($A386),1000000000),IFERROR(IF(VALUE(MID($A386,2,20))&lt;100000000,VALUE(MID($A386,2,20)),1000000000),1000000000))+ROW()/100000,"")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IF($A387="","",E387*N387/100)</f>
        <v/>
      </c>
      <c r="J387" s="7" t="n"/>
      <c r="K387" s="7">
        <f>IF($A387="","",S387*N387)</f>
        <v/>
      </c>
      <c r="L387" s="7">
        <f>IF($A387="","",N387-K387)</f>
        <v/>
      </c>
      <c r="M387" s="7">
        <f>IF($A387="","",L387-F387)</f>
        <v/>
      </c>
      <c r="N387" s="7" t="n"/>
      <c r="Q387" s="11" t="n"/>
      <c r="S387">
        <f>IF($A387="","",IF($W387=1,Settings!$C$6,Settings!$C$7)*1)</f>
        <v/>
      </c>
      <c r="U387">
        <f>IF($A387="","",IF(COUNTIF($A$2:$A387,$A387)=1,1,0))</f>
        <v/>
      </c>
      <c r="V387">
        <f>IF($U387=1,SUMPRODUCT(--($X$2:$X$501&lt;$X387))+1,"")</f>
        <v/>
      </c>
      <c r="W387">
        <f>IF($A387="","",IF(OR($T387=TRUE(),$T387="TRUE"),1,0))</f>
        <v/>
      </c>
      <c r="X387">
        <f>IF($U387=1,IFERROR(IF(VALUE($A387)&lt;100000000,VALUE($A387),1000000000),IFERROR(IF(VALUE(MID($A387,2,20))&lt;100000000,VALUE(MID($A387,2,20)),1000000000),1000000000))+ROW()/100000,"")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IF($A388="","",E388*N388/100)</f>
        <v/>
      </c>
      <c r="J388" s="7" t="n"/>
      <c r="K388" s="7">
        <f>IF($A388="","",S388*N388)</f>
        <v/>
      </c>
      <c r="L388" s="7">
        <f>IF($A388="","",N388-K388)</f>
        <v/>
      </c>
      <c r="M388" s="7">
        <f>IF($A388="","",L388-F388)</f>
        <v/>
      </c>
      <c r="N388" s="7" t="n"/>
      <c r="Q388" s="11" t="n"/>
      <c r="S388">
        <f>IF($A388="","",IF($W388=1,Settings!$C$6,Settings!$C$7)*1)</f>
        <v/>
      </c>
      <c r="U388">
        <f>IF($A388="","",IF(COUNTIF($A$2:$A388,$A388)=1,1,0))</f>
        <v/>
      </c>
      <c r="V388">
        <f>IF($U388=1,SUMPRODUCT(--($X$2:$X$501&lt;$X388))+1,"")</f>
        <v/>
      </c>
      <c r="W388">
        <f>IF($A388="","",IF(OR($T388=TRUE(),$T388="TRUE"),1,0))</f>
        <v/>
      </c>
      <c r="X388">
        <f>IF($U388=1,IFERROR(IF(VALUE($A388)&lt;100000000,VALUE($A388),1000000000),IFERROR(IF(VALUE(MID($A388,2,20))&lt;100000000,VALUE(MID($A388,2,20)),1000000000),1000000000))+ROW()/100000,"")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IF($A389="","",E389*N389/100)</f>
        <v/>
      </c>
      <c r="J389" s="7" t="n"/>
      <c r="K389" s="7">
        <f>IF($A389="","",S389*N389)</f>
        <v/>
      </c>
      <c r="L389" s="7">
        <f>IF($A389="","",N389-K389)</f>
        <v/>
      </c>
      <c r="M389" s="7">
        <f>IF($A389="","",L389-F389)</f>
        <v/>
      </c>
      <c r="N389" s="7" t="n"/>
      <c r="Q389" s="11" t="n"/>
      <c r="S389">
        <f>IF($A389="","",IF($W389=1,Settings!$C$6,Settings!$C$7)*1)</f>
        <v/>
      </c>
      <c r="U389">
        <f>IF($A389="","",IF(COUNTIF($A$2:$A389,$A389)=1,1,0))</f>
        <v/>
      </c>
      <c r="V389">
        <f>IF($U389=1,SUMPRODUCT(--($X$2:$X$501&lt;$X389))+1,"")</f>
        <v/>
      </c>
      <c r="W389">
        <f>IF($A389="","",IF(OR($T389=TRUE(),$T389="TRUE"),1,0))</f>
        <v/>
      </c>
      <c r="X389">
        <f>IF($U389=1,IFERROR(IF(VALUE($A389)&lt;100000000,VALUE($A389),1000000000),IFERROR(IF(VALUE(MID($A389,2,20))&lt;100000000,VALUE(MID($A389,2,20)),1000000000),1000000000))+ROW()/100000,"")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IF($A390="","",E390*N390/100)</f>
        <v/>
      </c>
      <c r="J390" s="7" t="n"/>
      <c r="K390" s="7">
        <f>IF($A390="","",S390*N390)</f>
        <v/>
      </c>
      <c r="L390" s="7">
        <f>IF($A390="","",N390-K390)</f>
        <v/>
      </c>
      <c r="M390" s="7">
        <f>IF($A390="","",L390-F390)</f>
        <v/>
      </c>
      <c r="N390" s="7" t="n"/>
      <c r="Q390" s="11" t="n"/>
      <c r="S390">
        <f>IF($A390="","",IF($W390=1,Settings!$C$6,Settings!$C$7)*1)</f>
        <v/>
      </c>
      <c r="U390">
        <f>IF($A390="","",IF(COUNTIF($A$2:$A390,$A390)=1,1,0))</f>
        <v/>
      </c>
      <c r="V390">
        <f>IF($U390=1,SUMPRODUCT(--($X$2:$X$501&lt;$X390))+1,"")</f>
        <v/>
      </c>
      <c r="W390">
        <f>IF($A390="","",IF(OR($T390=TRUE(),$T390="TRUE"),1,0))</f>
        <v/>
      </c>
      <c r="X390">
        <f>IF($U390=1,IFERROR(IF(VALUE($A390)&lt;100000000,VALUE($A390),1000000000),IFERROR(IF(VALUE(MID($A390,2,20))&lt;100000000,VALUE(MID($A390,2,20)),1000000000),1000000000))+ROW()/100000,"")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IF($A391="","",E391*N391/100)</f>
        <v/>
      </c>
      <c r="J391" s="7" t="n"/>
      <c r="K391" s="7">
        <f>IF($A391="","",S391*N391)</f>
        <v/>
      </c>
      <c r="L391" s="7">
        <f>IF($A391="","",N391-K391)</f>
        <v/>
      </c>
      <c r="M391" s="7">
        <f>IF($A391="","",L391-F391)</f>
        <v/>
      </c>
      <c r="N391" s="7" t="n"/>
      <c r="Q391" s="11" t="n"/>
      <c r="S391">
        <f>IF($A391="","",IF($W391=1,Settings!$C$6,Settings!$C$7)*1)</f>
        <v/>
      </c>
      <c r="U391">
        <f>IF($A391="","",IF(COUNTIF($A$2:$A391,$A391)=1,1,0))</f>
        <v/>
      </c>
      <c r="V391">
        <f>IF($U391=1,SUMPRODUCT(--($X$2:$X$501&lt;$X391))+1,"")</f>
        <v/>
      </c>
      <c r="W391">
        <f>IF($A391="","",IF(OR($T391=TRUE(),$T391="TRUE"),1,0))</f>
        <v/>
      </c>
      <c r="X391">
        <f>IF($U391=1,IFERROR(IF(VALUE($A391)&lt;100000000,VALUE($A391),1000000000),IFERROR(IF(VALUE(MID($A391,2,20))&lt;100000000,VALUE(MID($A391,2,20)),1000000000),1000000000))+ROW()/100000,"")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IF($A392="","",E392*N392/100)</f>
        <v/>
      </c>
      <c r="J392" s="7" t="n"/>
      <c r="K392" s="7">
        <f>IF($A392="","",S392*N392)</f>
        <v/>
      </c>
      <c r="L392" s="7">
        <f>IF($A392="","",N392-K392)</f>
        <v/>
      </c>
      <c r="M392" s="7">
        <f>IF($A392="","",L392-F392)</f>
        <v/>
      </c>
      <c r="N392" s="7" t="n"/>
      <c r="Q392" s="11" t="n"/>
      <c r="S392">
        <f>IF($A392="","",IF($W392=1,Settings!$C$6,Settings!$C$7)*1)</f>
        <v/>
      </c>
      <c r="U392">
        <f>IF($A392="","",IF(COUNTIF($A$2:$A392,$A392)=1,1,0))</f>
        <v/>
      </c>
      <c r="V392">
        <f>IF($U392=1,SUMPRODUCT(--($X$2:$X$501&lt;$X392))+1,"")</f>
        <v/>
      </c>
      <c r="W392">
        <f>IF($A392="","",IF(OR($T392=TRUE(),$T392="TRUE"),1,0))</f>
        <v/>
      </c>
      <c r="X392">
        <f>IF($U392=1,IFERROR(IF(VALUE($A392)&lt;100000000,VALUE($A392),1000000000),IFERROR(IF(VALUE(MID($A392,2,20))&lt;100000000,VALUE(MID($A392,2,20)),1000000000),1000000000))+ROW()/100000,"")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IF($A393="","",E393*N393/100)</f>
        <v/>
      </c>
      <c r="J393" s="7" t="n"/>
      <c r="K393" s="7">
        <f>IF($A393="","",S393*N393)</f>
        <v/>
      </c>
      <c r="L393" s="7">
        <f>IF($A393="","",N393-K393)</f>
        <v/>
      </c>
      <c r="M393" s="7">
        <f>IF($A393="","",L393-F393)</f>
        <v/>
      </c>
      <c r="N393" s="7" t="n"/>
      <c r="Q393" s="11" t="n"/>
      <c r="S393">
        <f>IF($A393="","",IF($W393=1,Settings!$C$6,Settings!$C$7)*1)</f>
        <v/>
      </c>
      <c r="U393">
        <f>IF($A393="","",IF(COUNTIF($A$2:$A393,$A393)=1,1,0))</f>
        <v/>
      </c>
      <c r="V393">
        <f>IF($U393=1,SUMPRODUCT(--($X$2:$X$501&lt;$X393))+1,"")</f>
        <v/>
      </c>
      <c r="W393">
        <f>IF($A393="","",IF(OR($T393=TRUE(),$T393="TRUE"),1,0))</f>
        <v/>
      </c>
      <c r="X393">
        <f>IF($U393=1,IFERROR(IF(VALUE($A393)&lt;100000000,VALUE($A393),1000000000),IFERROR(IF(VALUE(MID($A393,2,20))&lt;100000000,VALUE(MID($A393,2,20)),1000000000),1000000000))+ROW()/100000,"")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IF($A394="","",E394*N394/100)</f>
        <v/>
      </c>
      <c r="J394" s="7" t="n"/>
      <c r="K394" s="7">
        <f>IF($A394="","",S394*N394)</f>
        <v/>
      </c>
      <c r="L394" s="7">
        <f>IF($A394="","",N394-K394)</f>
        <v/>
      </c>
      <c r="M394" s="7">
        <f>IF($A394="","",L394-F394)</f>
        <v/>
      </c>
      <c r="N394" s="7" t="n"/>
      <c r="Q394" s="11" t="n"/>
      <c r="S394">
        <f>IF($A394="","",IF($W394=1,Settings!$C$6,Settings!$C$7)*1)</f>
        <v/>
      </c>
      <c r="U394">
        <f>IF($A394="","",IF(COUNTIF($A$2:$A394,$A394)=1,1,0))</f>
        <v/>
      </c>
      <c r="V394">
        <f>IF($U394=1,SUMPRODUCT(--($X$2:$X$501&lt;$X394))+1,"")</f>
        <v/>
      </c>
      <c r="W394">
        <f>IF($A394="","",IF(OR($T394=TRUE(),$T394="TRUE"),1,0))</f>
        <v/>
      </c>
      <c r="X394">
        <f>IF($U394=1,IFERROR(IF(VALUE($A394)&lt;100000000,VALUE($A394),1000000000),IFERROR(IF(VALUE(MID($A394,2,20))&lt;100000000,VALUE(MID($A394,2,20)),1000000000),1000000000))+ROW()/100000,"")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IF($A395="","",E395*N395/100)</f>
        <v/>
      </c>
      <c r="J395" s="7" t="n"/>
      <c r="K395" s="7">
        <f>IF($A395="","",S395*N395)</f>
        <v/>
      </c>
      <c r="L395" s="7">
        <f>IF($A395="","",N395-K395)</f>
        <v/>
      </c>
      <c r="M395" s="7">
        <f>IF($A395="","",L395-F395)</f>
        <v/>
      </c>
      <c r="N395" s="7" t="n"/>
      <c r="Q395" s="11" t="n"/>
      <c r="S395">
        <f>IF($A395="","",IF($W395=1,Settings!$C$6,Settings!$C$7)*1)</f>
        <v/>
      </c>
      <c r="U395">
        <f>IF($A395="","",IF(COUNTIF($A$2:$A395,$A395)=1,1,0))</f>
        <v/>
      </c>
      <c r="V395">
        <f>IF($U395=1,SUMPRODUCT(--($X$2:$X$501&lt;$X395))+1,"")</f>
        <v/>
      </c>
      <c r="W395">
        <f>IF($A395="","",IF(OR($T395=TRUE(),$T395="TRUE"),1,0))</f>
        <v/>
      </c>
      <c r="X395">
        <f>IF($U395=1,IFERROR(IF(VALUE($A395)&lt;100000000,VALUE($A395),1000000000),IFERROR(IF(VALUE(MID($A395,2,20))&lt;100000000,VALUE(MID($A395,2,20)),1000000000),1000000000))+ROW()/100000,"")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IF($A396="","",E396*N396/100)</f>
        <v/>
      </c>
      <c r="J396" s="7" t="n"/>
      <c r="K396" s="7">
        <f>IF($A396="","",S396*N396)</f>
        <v/>
      </c>
      <c r="L396" s="7">
        <f>IF($A396="","",N396-K396)</f>
        <v/>
      </c>
      <c r="M396" s="7">
        <f>IF($A396="","",L396-F396)</f>
        <v/>
      </c>
      <c r="N396" s="7" t="n"/>
      <c r="Q396" s="11" t="n"/>
      <c r="S396">
        <f>IF($A396="","",IF($W396=1,Settings!$C$6,Settings!$C$7)*1)</f>
        <v/>
      </c>
      <c r="U396">
        <f>IF($A396="","",IF(COUNTIF($A$2:$A396,$A396)=1,1,0))</f>
        <v/>
      </c>
      <c r="V396">
        <f>IF($U396=1,SUMPRODUCT(--($X$2:$X$501&lt;$X396))+1,"")</f>
        <v/>
      </c>
      <c r="W396">
        <f>IF($A396="","",IF(OR($T396=TRUE(),$T396="TRUE"),1,0))</f>
        <v/>
      </c>
      <c r="X396">
        <f>IF($U396=1,IFERROR(IF(VALUE($A396)&lt;100000000,VALUE($A396),1000000000),IFERROR(IF(VALUE(MID($A396,2,20))&lt;100000000,VALUE(MID($A396,2,20)),1000000000),1000000000))+ROW()/100000,"")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IF($A397="","",E397*N397/100)</f>
        <v/>
      </c>
      <c r="J397" s="7" t="n"/>
      <c r="K397" s="7">
        <f>IF($A397="","",S397*N397)</f>
        <v/>
      </c>
      <c r="L397" s="7">
        <f>IF($A397="","",N397-K397)</f>
        <v/>
      </c>
      <c r="M397" s="7">
        <f>IF($A397="","",L397-F397)</f>
        <v/>
      </c>
      <c r="N397" s="7" t="n"/>
      <c r="Q397" s="11" t="n"/>
      <c r="S397">
        <f>IF($A397="","",IF($W397=1,Settings!$C$6,Settings!$C$7)*1)</f>
        <v/>
      </c>
      <c r="U397">
        <f>IF($A397="","",IF(COUNTIF($A$2:$A397,$A397)=1,1,0))</f>
        <v/>
      </c>
      <c r="V397">
        <f>IF($U397=1,SUMPRODUCT(--($X$2:$X$501&lt;$X397))+1,"")</f>
        <v/>
      </c>
      <c r="W397">
        <f>IF($A397="","",IF(OR($T397=TRUE(),$T397="TRUE"),1,0))</f>
        <v/>
      </c>
      <c r="X397">
        <f>IF($U397=1,IFERROR(IF(VALUE($A397)&lt;100000000,VALUE($A397),1000000000),IFERROR(IF(VALUE(MID($A397,2,20))&lt;100000000,VALUE(MID($A397,2,20)),1000000000),1000000000))+ROW()/100000,"")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IF($A398="","",E398*N398/100)</f>
        <v/>
      </c>
      <c r="J398" s="7" t="n"/>
      <c r="K398" s="7">
        <f>IF($A398="","",S398*N398)</f>
        <v/>
      </c>
      <c r="L398" s="7">
        <f>IF($A398="","",N398-K398)</f>
        <v/>
      </c>
      <c r="M398" s="7">
        <f>IF($A398="","",L398-F398)</f>
        <v/>
      </c>
      <c r="N398" s="7" t="n"/>
      <c r="Q398" s="11" t="n"/>
      <c r="S398">
        <f>IF($A398="","",IF($W398=1,Settings!$C$6,Settings!$C$7)*1)</f>
        <v/>
      </c>
      <c r="U398">
        <f>IF($A398="","",IF(COUNTIF($A$2:$A398,$A398)=1,1,0))</f>
        <v/>
      </c>
      <c r="V398">
        <f>IF($U398=1,SUMPRODUCT(--($X$2:$X$501&lt;$X398))+1,"")</f>
        <v/>
      </c>
      <c r="W398">
        <f>IF($A398="","",IF(OR($T398=TRUE(),$T398="TRUE"),1,0))</f>
        <v/>
      </c>
      <c r="X398">
        <f>IF($U398=1,IFERROR(IF(VALUE($A398)&lt;100000000,VALUE($A398),1000000000),IFERROR(IF(VALUE(MID($A398,2,20))&lt;100000000,VALUE(MID($A398,2,20)),1000000000),1000000000))+ROW()/100000,"")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IF($A399="","",E399*N399/100)</f>
        <v/>
      </c>
      <c r="J399" s="7" t="n"/>
      <c r="K399" s="7">
        <f>IF($A399="","",S399*N399)</f>
        <v/>
      </c>
      <c r="L399" s="7">
        <f>IF($A399="","",N399-K399)</f>
        <v/>
      </c>
      <c r="M399" s="7">
        <f>IF($A399="","",L399-F399)</f>
        <v/>
      </c>
      <c r="N399" s="7" t="n"/>
      <c r="Q399" s="11" t="n"/>
      <c r="S399">
        <f>IF($A399="","",IF($W399=1,Settings!$C$6,Settings!$C$7)*1)</f>
        <v/>
      </c>
      <c r="U399">
        <f>IF($A399="","",IF(COUNTIF($A$2:$A399,$A399)=1,1,0))</f>
        <v/>
      </c>
      <c r="V399">
        <f>IF($U399=1,SUMPRODUCT(--($X$2:$X$501&lt;$X399))+1,"")</f>
        <v/>
      </c>
      <c r="W399">
        <f>IF($A399="","",IF(OR($T399=TRUE(),$T399="TRUE"),1,0))</f>
        <v/>
      </c>
      <c r="X399">
        <f>IF($U399=1,IFERROR(IF(VALUE($A399)&lt;100000000,VALUE($A399),1000000000),IFERROR(IF(VALUE(MID($A399,2,20))&lt;100000000,VALUE(MID($A399,2,20)),1000000000),1000000000))+ROW()/100000,"")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IF($A400="","",E400*N400/100)</f>
        <v/>
      </c>
      <c r="J400" s="7" t="n"/>
      <c r="K400" s="7">
        <f>IF($A400="","",S400*N400)</f>
        <v/>
      </c>
      <c r="L400" s="7">
        <f>IF($A400="","",N400-K400)</f>
        <v/>
      </c>
      <c r="M400" s="7">
        <f>IF($A400="","",L400-F400)</f>
        <v/>
      </c>
      <c r="N400" s="7" t="n"/>
      <c r="Q400" s="11" t="n"/>
      <c r="S400">
        <f>IF($A400="","",IF($W400=1,Settings!$C$6,Settings!$C$7)*1)</f>
        <v/>
      </c>
      <c r="U400">
        <f>IF($A400="","",IF(COUNTIF($A$2:$A400,$A400)=1,1,0))</f>
        <v/>
      </c>
      <c r="V400">
        <f>IF($U400=1,SUMPRODUCT(--($X$2:$X$501&lt;$X400))+1,"")</f>
        <v/>
      </c>
      <c r="W400">
        <f>IF($A400="","",IF(OR($T400=TRUE(),$T400="TRUE"),1,0))</f>
        <v/>
      </c>
      <c r="X400">
        <f>IF($U400=1,IFERROR(IF(VALUE($A400)&lt;100000000,VALUE($A400),1000000000),IFERROR(IF(VALUE(MID($A400,2,20))&lt;100000000,VALUE(MID($A400,2,20)),1000000000),1000000000))+ROW()/100000,"")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IF($A401="","",E401*N401/100)</f>
        <v/>
      </c>
      <c r="J401" s="7" t="n"/>
      <c r="K401" s="7">
        <f>IF($A401="","",S401*N401)</f>
        <v/>
      </c>
      <c r="L401" s="7">
        <f>IF($A401="","",N401-K401)</f>
        <v/>
      </c>
      <c r="M401" s="7">
        <f>IF($A401="","",L401-F401)</f>
        <v/>
      </c>
      <c r="N401" s="7" t="n"/>
      <c r="Q401" s="11" t="n"/>
      <c r="S401">
        <f>IF($A401="","",IF($W401=1,Settings!$C$6,Settings!$C$7)*1)</f>
        <v/>
      </c>
      <c r="U401">
        <f>IF($A401="","",IF(COUNTIF($A$2:$A401,$A401)=1,1,0))</f>
        <v/>
      </c>
      <c r="V401">
        <f>IF($U401=1,SUMPRODUCT(--($X$2:$X$501&lt;$X401))+1,"")</f>
        <v/>
      </c>
      <c r="W401">
        <f>IF($A401="","",IF(OR($T401=TRUE(),$T401="TRUE"),1,0))</f>
        <v/>
      </c>
      <c r="X401">
        <f>IF($U401=1,IFERROR(IF(VALUE($A401)&lt;100000000,VALUE($A401),1000000000),IFERROR(IF(VALUE(MID($A401,2,20))&lt;100000000,VALUE(MID($A401,2,20)),1000000000),1000000000))+ROW()/100000,"")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IF($A402="","",E402*N402/100)</f>
        <v/>
      </c>
      <c r="J402" s="7" t="n"/>
      <c r="K402" s="7">
        <f>IF($A402="","",S402*N402)</f>
        <v/>
      </c>
      <c r="L402" s="7">
        <f>IF($A402="","",N402-K402)</f>
        <v/>
      </c>
      <c r="M402" s="7">
        <f>IF($A402="","",L402-F402)</f>
        <v/>
      </c>
      <c r="N402" s="7" t="n"/>
      <c r="Q402" s="11" t="n"/>
      <c r="S402">
        <f>IF($A402="","",IF($W402=1,Settings!$C$6,Settings!$C$7)*1)</f>
        <v/>
      </c>
      <c r="U402">
        <f>IF($A402="","",IF(COUNTIF($A$2:$A402,$A402)=1,1,0))</f>
        <v/>
      </c>
      <c r="V402">
        <f>IF($U402=1,SUMPRODUCT(--($X$2:$X$501&lt;$X402))+1,"")</f>
        <v/>
      </c>
      <c r="W402">
        <f>IF($A402="","",IF(OR($T402=TRUE(),$T402="TRUE"),1,0))</f>
        <v/>
      </c>
      <c r="X402">
        <f>IF($U402=1,IFERROR(IF(VALUE($A402)&lt;100000000,VALUE($A402),1000000000),IFERROR(IF(VALUE(MID($A402,2,20))&lt;100000000,VALUE(MID($A402,2,20)),1000000000),1000000000))+ROW()/100000,"")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IF($A403="","",E403*N403/100)</f>
        <v/>
      </c>
      <c r="J403" s="7" t="n"/>
      <c r="K403" s="7">
        <f>IF($A403="","",S403*N403)</f>
        <v/>
      </c>
      <c r="L403" s="7">
        <f>IF($A403="","",N403-K403)</f>
        <v/>
      </c>
      <c r="M403" s="7">
        <f>IF($A403="","",L403-F403)</f>
        <v/>
      </c>
      <c r="N403" s="7" t="n"/>
      <c r="Q403" s="11" t="n"/>
      <c r="S403">
        <f>IF($A403="","",IF($W403=1,Settings!$C$6,Settings!$C$7)*1)</f>
        <v/>
      </c>
      <c r="U403">
        <f>IF($A403="","",IF(COUNTIF($A$2:$A403,$A403)=1,1,0))</f>
        <v/>
      </c>
      <c r="V403">
        <f>IF($U403=1,SUMPRODUCT(--($X$2:$X$501&lt;$X403))+1,"")</f>
        <v/>
      </c>
      <c r="W403">
        <f>IF($A403="","",IF(OR($T403=TRUE(),$T403="TRUE"),1,0))</f>
        <v/>
      </c>
      <c r="X403">
        <f>IF($U403=1,IFERROR(IF(VALUE($A403)&lt;100000000,VALUE($A403),1000000000),IFERROR(IF(VALUE(MID($A403,2,20))&lt;100000000,VALUE(MID($A403,2,20)),1000000000),1000000000))+ROW()/100000,"")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IF($A404="","",E404*N404/100)</f>
        <v/>
      </c>
      <c r="J404" s="7" t="n"/>
      <c r="K404" s="7">
        <f>IF($A404="","",S404*N404)</f>
        <v/>
      </c>
      <c r="L404" s="7">
        <f>IF($A404="","",N404-K404)</f>
        <v/>
      </c>
      <c r="M404" s="7">
        <f>IF($A404="","",L404-F404)</f>
        <v/>
      </c>
      <c r="N404" s="7" t="n"/>
      <c r="Q404" s="11" t="n"/>
      <c r="S404">
        <f>IF($A404="","",IF($W404=1,Settings!$C$6,Settings!$C$7)*1)</f>
        <v/>
      </c>
      <c r="U404">
        <f>IF($A404="","",IF(COUNTIF($A$2:$A404,$A404)=1,1,0))</f>
        <v/>
      </c>
      <c r="V404">
        <f>IF($U404=1,SUMPRODUCT(--($X$2:$X$501&lt;$X404))+1,"")</f>
        <v/>
      </c>
      <c r="W404">
        <f>IF($A404="","",IF(OR($T404=TRUE(),$T404="TRUE"),1,0))</f>
        <v/>
      </c>
      <c r="X404">
        <f>IF($U404=1,IFERROR(IF(VALUE($A404)&lt;100000000,VALUE($A404),1000000000),IFERROR(IF(VALUE(MID($A404,2,20))&lt;100000000,VALUE(MID($A404,2,20)),1000000000),1000000000))+ROW()/100000,"")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IF($A405="","",E405*N405/100)</f>
        <v/>
      </c>
      <c r="J405" s="7" t="n"/>
      <c r="K405" s="7">
        <f>IF($A405="","",S405*N405)</f>
        <v/>
      </c>
      <c r="L405" s="7">
        <f>IF($A405="","",N405-K405)</f>
        <v/>
      </c>
      <c r="M405" s="7">
        <f>IF($A405="","",L405-F405)</f>
        <v/>
      </c>
      <c r="N405" s="7" t="n"/>
      <c r="Q405" s="11" t="n"/>
      <c r="S405">
        <f>IF($A405="","",IF($W405=1,Settings!$C$6,Settings!$C$7)*1)</f>
        <v/>
      </c>
      <c r="U405">
        <f>IF($A405="","",IF(COUNTIF($A$2:$A405,$A405)=1,1,0))</f>
        <v/>
      </c>
      <c r="V405">
        <f>IF($U405=1,SUMPRODUCT(--($X$2:$X$501&lt;$X405))+1,"")</f>
        <v/>
      </c>
      <c r="W405">
        <f>IF($A405="","",IF(OR($T405=TRUE(),$T405="TRUE"),1,0))</f>
        <v/>
      </c>
      <c r="X405">
        <f>IF($U405=1,IFERROR(IF(VALUE($A405)&lt;100000000,VALUE($A405),1000000000),IFERROR(IF(VALUE(MID($A405,2,20))&lt;100000000,VALUE(MID($A405,2,20)),1000000000),1000000000))+ROW()/100000,"")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IF($A406="","",E406*N406/100)</f>
        <v/>
      </c>
      <c r="J406" s="7" t="n"/>
      <c r="K406" s="7">
        <f>IF($A406="","",S406*N406)</f>
        <v/>
      </c>
      <c r="L406" s="7">
        <f>IF($A406="","",N406-K406)</f>
        <v/>
      </c>
      <c r="M406" s="7">
        <f>IF($A406="","",L406-F406)</f>
        <v/>
      </c>
      <c r="N406" s="7" t="n"/>
      <c r="Q406" s="11" t="n"/>
      <c r="S406">
        <f>IF($A406="","",IF($W406=1,Settings!$C$6,Settings!$C$7)*1)</f>
        <v/>
      </c>
      <c r="U406">
        <f>IF($A406="","",IF(COUNTIF($A$2:$A406,$A406)=1,1,0))</f>
        <v/>
      </c>
      <c r="V406">
        <f>IF($U406=1,SUMPRODUCT(--($X$2:$X$501&lt;$X406))+1,"")</f>
        <v/>
      </c>
      <c r="W406">
        <f>IF($A406="","",IF(OR($T406=TRUE(),$T406="TRUE"),1,0))</f>
        <v/>
      </c>
      <c r="X406">
        <f>IF($U406=1,IFERROR(IF(VALUE($A406)&lt;100000000,VALUE($A406),1000000000),IFERROR(IF(VALUE(MID($A406,2,20))&lt;100000000,VALUE(MID($A406,2,20)),1000000000),1000000000))+ROW()/100000,"")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IF($A407="","",E407*N407/100)</f>
        <v/>
      </c>
      <c r="J407" s="7" t="n"/>
      <c r="K407" s="7">
        <f>IF($A407="","",S407*N407)</f>
        <v/>
      </c>
      <c r="L407" s="7">
        <f>IF($A407="","",N407-K407)</f>
        <v/>
      </c>
      <c r="M407" s="7">
        <f>IF($A407="","",L407-F407)</f>
        <v/>
      </c>
      <c r="N407" s="7" t="n"/>
      <c r="Q407" s="11" t="n"/>
      <c r="S407">
        <f>IF($A407="","",IF($W407=1,Settings!$C$6,Settings!$C$7)*1)</f>
        <v/>
      </c>
      <c r="U407">
        <f>IF($A407="","",IF(COUNTIF($A$2:$A407,$A407)=1,1,0))</f>
        <v/>
      </c>
      <c r="V407">
        <f>IF($U407=1,SUMPRODUCT(--($X$2:$X$501&lt;$X407))+1,"")</f>
        <v/>
      </c>
      <c r="W407">
        <f>IF($A407="","",IF(OR($T407=TRUE(),$T407="TRUE"),1,0))</f>
        <v/>
      </c>
      <c r="X407">
        <f>IF($U407=1,IFERROR(IF(VALUE($A407)&lt;100000000,VALUE($A407),1000000000),IFERROR(IF(VALUE(MID($A407,2,20))&lt;100000000,VALUE(MID($A407,2,20)),1000000000),1000000000))+ROW()/100000,"")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IF($A408="","",E408*N408/100)</f>
        <v/>
      </c>
      <c r="J408" s="7" t="n"/>
      <c r="K408" s="7">
        <f>IF($A408="","",S408*N408)</f>
        <v/>
      </c>
      <c r="L408" s="7">
        <f>IF($A408="","",N408-K408)</f>
        <v/>
      </c>
      <c r="M408" s="7">
        <f>IF($A408="","",L408-F408)</f>
        <v/>
      </c>
      <c r="N408" s="7" t="n"/>
      <c r="Q408" s="11" t="n"/>
      <c r="S408">
        <f>IF($A408="","",IF($W408=1,Settings!$C$6,Settings!$C$7)*1)</f>
        <v/>
      </c>
      <c r="U408">
        <f>IF($A408="","",IF(COUNTIF($A$2:$A408,$A408)=1,1,0))</f>
        <v/>
      </c>
      <c r="V408">
        <f>IF($U408=1,SUMPRODUCT(--($X$2:$X$501&lt;$X408))+1,"")</f>
        <v/>
      </c>
      <c r="W408">
        <f>IF($A408="","",IF(OR($T408=TRUE(),$T408="TRUE"),1,0))</f>
        <v/>
      </c>
      <c r="X408">
        <f>IF($U408=1,IFERROR(IF(VALUE($A408)&lt;100000000,VALUE($A408),1000000000),IFERROR(IF(VALUE(MID($A408,2,20))&lt;100000000,VALUE(MID($A408,2,20)),1000000000),1000000000))+ROW()/100000,"")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IF($A409="","",E409*N409/100)</f>
        <v/>
      </c>
      <c r="J409" s="7" t="n"/>
      <c r="K409" s="7">
        <f>IF($A409="","",S409*N409)</f>
        <v/>
      </c>
      <c r="L409" s="7">
        <f>IF($A409="","",N409-K409)</f>
        <v/>
      </c>
      <c r="M409" s="7">
        <f>IF($A409="","",L409-F409)</f>
        <v/>
      </c>
      <c r="N409" s="7" t="n"/>
      <c r="Q409" s="11" t="n"/>
      <c r="S409">
        <f>IF($A409="","",IF($W409=1,Settings!$C$6,Settings!$C$7)*1)</f>
        <v/>
      </c>
      <c r="U409">
        <f>IF($A409="","",IF(COUNTIF($A$2:$A409,$A409)=1,1,0))</f>
        <v/>
      </c>
      <c r="V409">
        <f>IF($U409=1,SUMPRODUCT(--($X$2:$X$501&lt;$X409))+1,"")</f>
        <v/>
      </c>
      <c r="W409">
        <f>IF($A409="","",IF(OR($T409=TRUE(),$T409="TRUE"),1,0))</f>
        <v/>
      </c>
      <c r="X409">
        <f>IF($U409=1,IFERROR(IF(VALUE($A409)&lt;100000000,VALUE($A409),1000000000),IFERROR(IF(VALUE(MID($A409,2,20))&lt;100000000,VALUE(MID($A409,2,20)),1000000000),1000000000))+ROW()/100000,"")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IF($A410="","",E410*N410/100)</f>
        <v/>
      </c>
      <c r="J410" s="7" t="n"/>
      <c r="K410" s="7">
        <f>IF($A410="","",S410*N410)</f>
        <v/>
      </c>
      <c r="L410" s="7">
        <f>IF($A410="","",N410-K410)</f>
        <v/>
      </c>
      <c r="M410" s="7">
        <f>IF($A410="","",L410-F410)</f>
        <v/>
      </c>
      <c r="N410" s="7" t="n"/>
      <c r="Q410" s="11" t="n"/>
      <c r="S410">
        <f>IF($A410="","",IF($W410=1,Settings!$C$6,Settings!$C$7)*1)</f>
        <v/>
      </c>
      <c r="U410">
        <f>IF($A410="","",IF(COUNTIF($A$2:$A410,$A410)=1,1,0))</f>
        <v/>
      </c>
      <c r="V410">
        <f>IF($U410=1,SUMPRODUCT(--($X$2:$X$501&lt;$X410))+1,"")</f>
        <v/>
      </c>
      <c r="W410">
        <f>IF($A410="","",IF(OR($T410=TRUE(),$T410="TRUE"),1,0))</f>
        <v/>
      </c>
      <c r="X410">
        <f>IF($U410=1,IFERROR(IF(VALUE($A410)&lt;100000000,VALUE($A410),1000000000),IFERROR(IF(VALUE(MID($A410,2,20))&lt;100000000,VALUE(MID($A410,2,20)),1000000000),1000000000))+ROW()/100000,"")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IF($A411="","",E411*N411/100)</f>
        <v/>
      </c>
      <c r="J411" s="7" t="n"/>
      <c r="K411" s="7">
        <f>IF($A411="","",S411*N411)</f>
        <v/>
      </c>
      <c r="L411" s="7">
        <f>IF($A411="","",N411-K411)</f>
        <v/>
      </c>
      <c r="M411" s="7">
        <f>IF($A411="","",L411-F411)</f>
        <v/>
      </c>
      <c r="N411" s="7" t="n"/>
      <c r="Q411" s="11" t="n"/>
      <c r="S411">
        <f>IF($A411="","",IF($W411=1,Settings!$C$6,Settings!$C$7)*1)</f>
        <v/>
      </c>
      <c r="U411">
        <f>IF($A411="","",IF(COUNTIF($A$2:$A411,$A411)=1,1,0))</f>
        <v/>
      </c>
      <c r="V411">
        <f>IF($U411=1,SUMPRODUCT(--($X$2:$X$501&lt;$X411))+1,"")</f>
        <v/>
      </c>
      <c r="W411">
        <f>IF($A411="","",IF(OR($T411=TRUE(),$T411="TRUE"),1,0))</f>
        <v/>
      </c>
      <c r="X411">
        <f>IF($U411=1,IFERROR(IF(VALUE($A411)&lt;100000000,VALUE($A411),1000000000),IFERROR(IF(VALUE(MID($A411,2,20))&lt;100000000,VALUE(MID($A411,2,20)),1000000000),1000000000))+ROW()/100000,"")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IF($A412="","",E412*N412/100)</f>
        <v/>
      </c>
      <c r="J412" s="7" t="n"/>
      <c r="K412" s="7">
        <f>IF($A412="","",S412*N412)</f>
        <v/>
      </c>
      <c r="L412" s="7">
        <f>IF($A412="","",N412-K412)</f>
        <v/>
      </c>
      <c r="M412" s="7">
        <f>IF($A412="","",L412-F412)</f>
        <v/>
      </c>
      <c r="N412" s="7" t="n"/>
      <c r="Q412" s="11" t="n"/>
      <c r="S412">
        <f>IF($A412="","",IF($W412=1,Settings!$C$6,Settings!$C$7)*1)</f>
        <v/>
      </c>
      <c r="U412">
        <f>IF($A412="","",IF(COUNTIF($A$2:$A412,$A412)=1,1,0))</f>
        <v/>
      </c>
      <c r="V412">
        <f>IF($U412=1,SUMPRODUCT(--($X$2:$X$501&lt;$X412))+1,"")</f>
        <v/>
      </c>
      <c r="W412">
        <f>IF($A412="","",IF(OR($T412=TRUE(),$T412="TRUE"),1,0))</f>
        <v/>
      </c>
      <c r="X412">
        <f>IF($U412=1,IFERROR(IF(VALUE($A412)&lt;100000000,VALUE($A412),1000000000),IFERROR(IF(VALUE(MID($A412,2,20))&lt;100000000,VALUE(MID($A412,2,20)),1000000000),1000000000))+ROW()/100000,"")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IF($A413="","",E413*N413/100)</f>
        <v/>
      </c>
      <c r="J413" s="7" t="n"/>
      <c r="K413" s="7">
        <f>IF($A413="","",S413*N413)</f>
        <v/>
      </c>
      <c r="L413" s="7">
        <f>IF($A413="","",N413-K413)</f>
        <v/>
      </c>
      <c r="M413" s="7">
        <f>IF($A413="","",L413-F413)</f>
        <v/>
      </c>
      <c r="N413" s="7" t="n"/>
      <c r="Q413" s="11" t="n"/>
      <c r="S413">
        <f>IF($A413="","",IF($W413=1,Settings!$C$6,Settings!$C$7)*1)</f>
        <v/>
      </c>
      <c r="U413">
        <f>IF($A413="","",IF(COUNTIF($A$2:$A413,$A413)=1,1,0))</f>
        <v/>
      </c>
      <c r="V413">
        <f>IF($U413=1,SUMPRODUCT(--($X$2:$X$501&lt;$X413))+1,"")</f>
        <v/>
      </c>
      <c r="W413">
        <f>IF($A413="","",IF(OR($T413=TRUE(),$T413="TRUE"),1,0))</f>
        <v/>
      </c>
      <c r="X413">
        <f>IF($U413=1,IFERROR(IF(VALUE($A413)&lt;100000000,VALUE($A413),1000000000),IFERROR(IF(VALUE(MID($A413,2,20))&lt;100000000,VALUE(MID($A413,2,20)),1000000000),1000000000))+ROW()/100000,"")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IF($A414="","",E414*N414/100)</f>
        <v/>
      </c>
      <c r="J414" s="7" t="n"/>
      <c r="K414" s="7">
        <f>IF($A414="","",S414*N414)</f>
        <v/>
      </c>
      <c r="L414" s="7">
        <f>IF($A414="","",N414-K414)</f>
        <v/>
      </c>
      <c r="M414" s="7">
        <f>IF($A414="","",L414-F414)</f>
        <v/>
      </c>
      <c r="N414" s="7" t="n"/>
      <c r="Q414" s="11" t="n"/>
      <c r="S414">
        <f>IF($A414="","",IF($W414=1,Settings!$C$6,Settings!$C$7)*1)</f>
        <v/>
      </c>
      <c r="U414">
        <f>IF($A414="","",IF(COUNTIF($A$2:$A414,$A414)=1,1,0))</f>
        <v/>
      </c>
      <c r="V414">
        <f>IF($U414=1,SUMPRODUCT(--($X$2:$X$501&lt;$X414))+1,"")</f>
        <v/>
      </c>
      <c r="W414">
        <f>IF($A414="","",IF(OR($T414=TRUE(),$T414="TRUE"),1,0))</f>
        <v/>
      </c>
      <c r="X414">
        <f>IF($U414=1,IFERROR(IF(VALUE($A414)&lt;100000000,VALUE($A414),1000000000),IFERROR(IF(VALUE(MID($A414,2,20))&lt;100000000,VALUE(MID($A414,2,20)),1000000000),1000000000))+ROW()/100000,"")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IF($A415="","",E415*N415/100)</f>
        <v/>
      </c>
      <c r="J415" s="7" t="n"/>
      <c r="K415" s="7">
        <f>IF($A415="","",S415*N415)</f>
        <v/>
      </c>
      <c r="L415" s="7">
        <f>IF($A415="","",N415-K415)</f>
        <v/>
      </c>
      <c r="M415" s="7">
        <f>IF($A415="","",L415-F415)</f>
        <v/>
      </c>
      <c r="N415" s="7" t="n"/>
      <c r="Q415" s="11" t="n"/>
      <c r="S415">
        <f>IF($A415="","",IF($W415=1,Settings!$C$6,Settings!$C$7)*1)</f>
        <v/>
      </c>
      <c r="U415">
        <f>IF($A415="","",IF(COUNTIF($A$2:$A415,$A415)=1,1,0))</f>
        <v/>
      </c>
      <c r="V415">
        <f>IF($U415=1,SUMPRODUCT(--($X$2:$X$501&lt;$X415))+1,"")</f>
        <v/>
      </c>
      <c r="W415">
        <f>IF($A415="","",IF(OR($T415=TRUE(),$T415="TRUE"),1,0))</f>
        <v/>
      </c>
      <c r="X415">
        <f>IF($U415=1,IFERROR(IF(VALUE($A415)&lt;100000000,VALUE($A415),1000000000),IFERROR(IF(VALUE(MID($A415,2,20))&lt;100000000,VALUE(MID($A415,2,20)),1000000000),1000000000))+ROW()/100000,"")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IF($A416="","",E416*N416/100)</f>
        <v/>
      </c>
      <c r="J416" s="7" t="n"/>
      <c r="K416" s="7">
        <f>IF($A416="","",S416*N416)</f>
        <v/>
      </c>
      <c r="L416" s="7">
        <f>IF($A416="","",N416-K416)</f>
        <v/>
      </c>
      <c r="M416" s="7">
        <f>IF($A416="","",L416-F416)</f>
        <v/>
      </c>
      <c r="N416" s="7" t="n"/>
      <c r="Q416" s="11" t="n"/>
      <c r="S416">
        <f>IF($A416="","",IF($W416=1,Settings!$C$6,Settings!$C$7)*1)</f>
        <v/>
      </c>
      <c r="U416">
        <f>IF($A416="","",IF(COUNTIF($A$2:$A416,$A416)=1,1,0))</f>
        <v/>
      </c>
      <c r="V416">
        <f>IF($U416=1,SUMPRODUCT(--($X$2:$X$501&lt;$X416))+1,"")</f>
        <v/>
      </c>
      <c r="W416">
        <f>IF($A416="","",IF(OR($T416=TRUE(),$T416="TRUE"),1,0))</f>
        <v/>
      </c>
      <c r="X416">
        <f>IF($U416=1,IFERROR(IF(VALUE($A416)&lt;100000000,VALUE($A416),1000000000),IFERROR(IF(VALUE(MID($A416,2,20))&lt;100000000,VALUE(MID($A416,2,20)),1000000000),1000000000))+ROW()/100000,"")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IF($A417="","",E417*N417/100)</f>
        <v/>
      </c>
      <c r="J417" s="7" t="n"/>
      <c r="K417" s="7">
        <f>IF($A417="","",S417*N417)</f>
        <v/>
      </c>
      <c r="L417" s="7">
        <f>IF($A417="","",N417-K417)</f>
        <v/>
      </c>
      <c r="M417" s="7">
        <f>IF($A417="","",L417-F417)</f>
        <v/>
      </c>
      <c r="N417" s="7" t="n"/>
      <c r="Q417" s="11" t="n"/>
      <c r="S417">
        <f>IF($A417="","",IF($W417=1,Settings!$C$6,Settings!$C$7)*1)</f>
        <v/>
      </c>
      <c r="U417">
        <f>IF($A417="","",IF(COUNTIF($A$2:$A417,$A417)=1,1,0))</f>
        <v/>
      </c>
      <c r="V417">
        <f>IF($U417=1,SUMPRODUCT(--($X$2:$X$501&lt;$X417))+1,"")</f>
        <v/>
      </c>
      <c r="W417">
        <f>IF($A417="","",IF(OR($T417=TRUE(),$T417="TRUE"),1,0))</f>
        <v/>
      </c>
      <c r="X417">
        <f>IF($U417=1,IFERROR(IF(VALUE($A417)&lt;100000000,VALUE($A417),1000000000),IFERROR(IF(VALUE(MID($A417,2,20))&lt;100000000,VALUE(MID($A417,2,20)),1000000000),1000000000))+ROW()/100000,"")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IF($A418="","",E418*N418/100)</f>
        <v/>
      </c>
      <c r="J418" s="7" t="n"/>
      <c r="K418" s="7">
        <f>IF($A418="","",S418*N418)</f>
        <v/>
      </c>
      <c r="L418" s="7">
        <f>IF($A418="","",N418-K418)</f>
        <v/>
      </c>
      <c r="M418" s="7">
        <f>IF($A418="","",L418-F418)</f>
        <v/>
      </c>
      <c r="N418" s="7" t="n"/>
      <c r="Q418" s="11" t="n"/>
      <c r="S418">
        <f>IF($A418="","",IF($W418=1,Settings!$C$6,Settings!$C$7)*1)</f>
        <v/>
      </c>
      <c r="U418">
        <f>IF($A418="","",IF(COUNTIF($A$2:$A418,$A418)=1,1,0))</f>
        <v/>
      </c>
      <c r="V418">
        <f>IF($U418=1,SUMPRODUCT(--($X$2:$X$501&lt;$X418))+1,"")</f>
        <v/>
      </c>
      <c r="W418">
        <f>IF($A418="","",IF(OR($T418=TRUE(),$T418="TRUE"),1,0))</f>
        <v/>
      </c>
      <c r="X418">
        <f>IF($U418=1,IFERROR(IF(VALUE($A418)&lt;100000000,VALUE($A418),1000000000),IFERROR(IF(VALUE(MID($A418,2,20))&lt;100000000,VALUE(MID($A418,2,20)),1000000000),1000000000))+ROW()/100000,"")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IF($A419="","",E419*N419/100)</f>
        <v/>
      </c>
      <c r="J419" s="7" t="n"/>
      <c r="K419" s="7">
        <f>IF($A419="","",S419*N419)</f>
        <v/>
      </c>
      <c r="L419" s="7">
        <f>IF($A419="","",N419-K419)</f>
        <v/>
      </c>
      <c r="M419" s="7">
        <f>IF($A419="","",L419-F419)</f>
        <v/>
      </c>
      <c r="N419" s="7" t="n"/>
      <c r="Q419" s="11" t="n"/>
      <c r="S419">
        <f>IF($A419="","",IF($W419=1,Settings!$C$6,Settings!$C$7)*1)</f>
        <v/>
      </c>
      <c r="U419">
        <f>IF($A419="","",IF(COUNTIF($A$2:$A419,$A419)=1,1,0))</f>
        <v/>
      </c>
      <c r="V419">
        <f>IF($U419=1,SUMPRODUCT(--($X$2:$X$501&lt;$X419))+1,"")</f>
        <v/>
      </c>
      <c r="W419">
        <f>IF($A419="","",IF(OR($T419=TRUE(),$T419="TRUE"),1,0))</f>
        <v/>
      </c>
      <c r="X419">
        <f>IF($U419=1,IFERROR(IF(VALUE($A419)&lt;100000000,VALUE($A419),1000000000),IFERROR(IF(VALUE(MID($A419,2,20))&lt;100000000,VALUE(MID($A419,2,20)),1000000000),1000000000))+ROW()/100000,"")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IF($A420="","",E420*N420/100)</f>
        <v/>
      </c>
      <c r="J420" s="7" t="n"/>
      <c r="K420" s="7">
        <f>IF($A420="","",S420*N420)</f>
        <v/>
      </c>
      <c r="L420" s="7">
        <f>IF($A420="","",N420-K420)</f>
        <v/>
      </c>
      <c r="M420" s="7">
        <f>IF($A420="","",L420-F420)</f>
        <v/>
      </c>
      <c r="N420" s="7" t="n"/>
      <c r="Q420" s="11" t="n"/>
      <c r="S420">
        <f>IF($A420="","",IF($W420=1,Settings!$C$6,Settings!$C$7)*1)</f>
        <v/>
      </c>
      <c r="U420">
        <f>IF($A420="","",IF(COUNTIF($A$2:$A420,$A420)=1,1,0))</f>
        <v/>
      </c>
      <c r="V420">
        <f>IF($U420=1,SUMPRODUCT(--($X$2:$X$501&lt;$X420))+1,"")</f>
        <v/>
      </c>
      <c r="W420">
        <f>IF($A420="","",IF(OR($T420=TRUE(),$T420="TRUE"),1,0))</f>
        <v/>
      </c>
      <c r="X420">
        <f>IF($U420=1,IFERROR(IF(VALUE($A420)&lt;100000000,VALUE($A420),1000000000),IFERROR(IF(VALUE(MID($A420,2,20))&lt;100000000,VALUE(MID($A420,2,20)),1000000000),1000000000))+ROW()/100000,"")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IF($A421="","",E421*N421/100)</f>
        <v/>
      </c>
      <c r="J421" s="7" t="n"/>
      <c r="K421" s="7">
        <f>IF($A421="","",S421*N421)</f>
        <v/>
      </c>
      <c r="L421" s="7">
        <f>IF($A421="","",N421-K421)</f>
        <v/>
      </c>
      <c r="M421" s="7">
        <f>IF($A421="","",L421-F421)</f>
        <v/>
      </c>
      <c r="N421" s="7" t="n"/>
      <c r="Q421" s="11" t="n"/>
      <c r="S421">
        <f>IF($A421="","",IF($W421=1,Settings!$C$6,Settings!$C$7)*1)</f>
        <v/>
      </c>
      <c r="U421">
        <f>IF($A421="","",IF(COUNTIF($A$2:$A421,$A421)=1,1,0))</f>
        <v/>
      </c>
      <c r="V421">
        <f>IF($U421=1,SUMPRODUCT(--($X$2:$X$501&lt;$X421))+1,"")</f>
        <v/>
      </c>
      <c r="W421">
        <f>IF($A421="","",IF(OR($T421=TRUE(),$T421="TRUE"),1,0))</f>
        <v/>
      </c>
      <c r="X421">
        <f>IF($U421=1,IFERROR(IF(VALUE($A421)&lt;100000000,VALUE($A421),1000000000),IFERROR(IF(VALUE(MID($A421,2,20))&lt;100000000,VALUE(MID($A421,2,20)),1000000000),1000000000))+ROW()/100000,"")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IF($A422="","",E422*N422/100)</f>
        <v/>
      </c>
      <c r="J422" s="7" t="n"/>
      <c r="K422" s="7">
        <f>IF($A422="","",S422*N422)</f>
        <v/>
      </c>
      <c r="L422" s="7">
        <f>IF($A422="","",N422-K422)</f>
        <v/>
      </c>
      <c r="M422" s="7">
        <f>IF($A422="","",L422-F422)</f>
        <v/>
      </c>
      <c r="N422" s="7" t="n"/>
      <c r="Q422" s="11" t="n"/>
      <c r="S422">
        <f>IF($A422="","",IF($W422=1,Settings!$C$6,Settings!$C$7)*1)</f>
        <v/>
      </c>
      <c r="U422">
        <f>IF($A422="","",IF(COUNTIF($A$2:$A422,$A422)=1,1,0))</f>
        <v/>
      </c>
      <c r="V422">
        <f>IF($U422=1,SUMPRODUCT(--($X$2:$X$501&lt;$X422))+1,"")</f>
        <v/>
      </c>
      <c r="W422">
        <f>IF($A422="","",IF(OR($T422=TRUE(),$T422="TRUE"),1,0))</f>
        <v/>
      </c>
      <c r="X422">
        <f>IF($U422=1,IFERROR(IF(VALUE($A422)&lt;100000000,VALUE($A422),1000000000),IFERROR(IF(VALUE(MID($A422,2,20))&lt;100000000,VALUE(MID($A422,2,20)),1000000000),1000000000))+ROW()/100000,"")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IF($A423="","",E423*N423/100)</f>
        <v/>
      </c>
      <c r="J423" s="7" t="n"/>
      <c r="K423" s="7">
        <f>IF($A423="","",S423*N423)</f>
        <v/>
      </c>
      <c r="L423" s="7">
        <f>IF($A423="","",N423-K423)</f>
        <v/>
      </c>
      <c r="M423" s="7">
        <f>IF($A423="","",L423-F423)</f>
        <v/>
      </c>
      <c r="N423" s="7" t="n"/>
      <c r="Q423" s="11" t="n"/>
      <c r="S423">
        <f>IF($A423="","",IF($W423=1,Settings!$C$6,Settings!$C$7)*1)</f>
        <v/>
      </c>
      <c r="U423">
        <f>IF($A423="","",IF(COUNTIF($A$2:$A423,$A423)=1,1,0))</f>
        <v/>
      </c>
      <c r="V423">
        <f>IF($U423=1,SUMPRODUCT(--($X$2:$X$501&lt;$X423))+1,"")</f>
        <v/>
      </c>
      <c r="W423">
        <f>IF($A423="","",IF(OR($T423=TRUE(),$T423="TRUE"),1,0))</f>
        <v/>
      </c>
      <c r="X423">
        <f>IF($U423=1,IFERROR(IF(VALUE($A423)&lt;100000000,VALUE($A423),1000000000),IFERROR(IF(VALUE(MID($A423,2,20))&lt;100000000,VALUE(MID($A423,2,20)),1000000000),1000000000))+ROW()/100000,"")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IF($A424="","",E424*N424/100)</f>
        <v/>
      </c>
      <c r="J424" s="7" t="n"/>
      <c r="K424" s="7">
        <f>IF($A424="","",S424*N424)</f>
        <v/>
      </c>
      <c r="L424" s="7">
        <f>IF($A424="","",N424-K424)</f>
        <v/>
      </c>
      <c r="M424" s="7">
        <f>IF($A424="","",L424-F424)</f>
        <v/>
      </c>
      <c r="N424" s="7" t="n"/>
      <c r="Q424" s="11" t="n"/>
      <c r="S424">
        <f>IF($A424="","",IF($W424=1,Settings!$C$6,Settings!$C$7)*1)</f>
        <v/>
      </c>
      <c r="U424">
        <f>IF($A424="","",IF(COUNTIF($A$2:$A424,$A424)=1,1,0))</f>
        <v/>
      </c>
      <c r="V424">
        <f>IF($U424=1,SUMPRODUCT(--($X$2:$X$501&lt;$X424))+1,"")</f>
        <v/>
      </c>
      <c r="W424">
        <f>IF($A424="","",IF(OR($T424=TRUE(),$T424="TRUE"),1,0))</f>
        <v/>
      </c>
      <c r="X424">
        <f>IF($U424=1,IFERROR(IF(VALUE($A424)&lt;100000000,VALUE($A424),1000000000),IFERROR(IF(VALUE(MID($A424,2,20))&lt;100000000,VALUE(MID($A424,2,20)),1000000000),1000000000))+ROW()/100000,"")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IF($A425="","",E425*N425/100)</f>
        <v/>
      </c>
      <c r="J425" s="7" t="n"/>
      <c r="K425" s="7">
        <f>IF($A425="","",S425*N425)</f>
        <v/>
      </c>
      <c r="L425" s="7">
        <f>IF($A425="","",N425-K425)</f>
        <v/>
      </c>
      <c r="M425" s="7">
        <f>IF($A425="","",L425-F425)</f>
        <v/>
      </c>
      <c r="N425" s="7" t="n"/>
      <c r="Q425" s="11" t="n"/>
      <c r="S425">
        <f>IF($A425="","",IF($W425=1,Settings!$C$6,Settings!$C$7)*1)</f>
        <v/>
      </c>
      <c r="U425">
        <f>IF($A425="","",IF(COUNTIF($A$2:$A425,$A425)=1,1,0))</f>
        <v/>
      </c>
      <c r="V425">
        <f>IF($U425=1,SUMPRODUCT(--($X$2:$X$501&lt;$X425))+1,"")</f>
        <v/>
      </c>
      <c r="W425">
        <f>IF($A425="","",IF(OR($T425=TRUE(),$T425="TRUE"),1,0))</f>
        <v/>
      </c>
      <c r="X425">
        <f>IF($U425=1,IFERROR(IF(VALUE($A425)&lt;100000000,VALUE($A425),1000000000),IFERROR(IF(VALUE(MID($A425,2,20))&lt;100000000,VALUE(MID($A425,2,20)),1000000000),1000000000))+ROW()/100000,"")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IF($A426="","",E426*N426/100)</f>
        <v/>
      </c>
      <c r="J426" s="7" t="n"/>
      <c r="K426" s="7">
        <f>IF($A426="","",S426*N426)</f>
        <v/>
      </c>
      <c r="L426" s="7">
        <f>IF($A426="","",N426-K426)</f>
        <v/>
      </c>
      <c r="M426" s="7">
        <f>IF($A426="","",L426-F426)</f>
        <v/>
      </c>
      <c r="N426" s="7" t="n"/>
      <c r="Q426" s="11" t="n"/>
      <c r="S426">
        <f>IF($A426="","",IF($W426=1,Settings!$C$6,Settings!$C$7)*1)</f>
        <v/>
      </c>
      <c r="U426">
        <f>IF($A426="","",IF(COUNTIF($A$2:$A426,$A426)=1,1,0))</f>
        <v/>
      </c>
      <c r="V426">
        <f>IF($U426=1,SUMPRODUCT(--($X$2:$X$501&lt;$X426))+1,"")</f>
        <v/>
      </c>
      <c r="W426">
        <f>IF($A426="","",IF(OR($T426=TRUE(),$T426="TRUE"),1,0))</f>
        <v/>
      </c>
      <c r="X426">
        <f>IF($U426=1,IFERROR(IF(VALUE($A426)&lt;100000000,VALUE($A426),1000000000),IFERROR(IF(VALUE(MID($A426,2,20))&lt;100000000,VALUE(MID($A426,2,20)),1000000000),1000000000))+ROW()/100000,"")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IF($A427="","",E427*N427/100)</f>
        <v/>
      </c>
      <c r="J427" s="7" t="n"/>
      <c r="K427" s="7">
        <f>IF($A427="","",S427*N427)</f>
        <v/>
      </c>
      <c r="L427" s="7">
        <f>IF($A427="","",N427-K427)</f>
        <v/>
      </c>
      <c r="M427" s="7">
        <f>IF($A427="","",L427-F427)</f>
        <v/>
      </c>
      <c r="N427" s="7" t="n"/>
      <c r="Q427" s="11" t="n"/>
      <c r="S427">
        <f>IF($A427="","",IF($W427=1,Settings!$C$6,Settings!$C$7)*1)</f>
        <v/>
      </c>
      <c r="U427">
        <f>IF($A427="","",IF(COUNTIF($A$2:$A427,$A427)=1,1,0))</f>
        <v/>
      </c>
      <c r="V427">
        <f>IF($U427=1,SUMPRODUCT(--($X$2:$X$501&lt;$X427))+1,"")</f>
        <v/>
      </c>
      <c r="W427">
        <f>IF($A427="","",IF(OR($T427=TRUE(),$T427="TRUE"),1,0))</f>
        <v/>
      </c>
      <c r="X427">
        <f>IF($U427=1,IFERROR(IF(VALUE($A427)&lt;100000000,VALUE($A427),1000000000),IFERROR(IF(VALUE(MID($A427,2,20))&lt;100000000,VALUE(MID($A427,2,20)),1000000000),1000000000))+ROW()/100000,"")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IF($A428="","",E428*N428/100)</f>
        <v/>
      </c>
      <c r="J428" s="7" t="n"/>
      <c r="K428" s="7">
        <f>IF($A428="","",S428*N428)</f>
        <v/>
      </c>
      <c r="L428" s="7">
        <f>IF($A428="","",N428-K428)</f>
        <v/>
      </c>
      <c r="M428" s="7">
        <f>IF($A428="","",L428-F428)</f>
        <v/>
      </c>
      <c r="N428" s="7" t="n"/>
      <c r="Q428" s="11" t="n"/>
      <c r="S428">
        <f>IF($A428="","",IF($W428=1,Settings!$C$6,Settings!$C$7)*1)</f>
        <v/>
      </c>
      <c r="U428">
        <f>IF($A428="","",IF(COUNTIF($A$2:$A428,$A428)=1,1,0))</f>
        <v/>
      </c>
      <c r="V428">
        <f>IF($U428=1,SUMPRODUCT(--($X$2:$X$501&lt;$X428))+1,"")</f>
        <v/>
      </c>
      <c r="W428">
        <f>IF($A428="","",IF(OR($T428=TRUE(),$T428="TRUE"),1,0))</f>
        <v/>
      </c>
      <c r="X428">
        <f>IF($U428=1,IFERROR(IF(VALUE($A428)&lt;100000000,VALUE($A428),1000000000),IFERROR(IF(VALUE(MID($A428,2,20))&lt;100000000,VALUE(MID($A428,2,20)),1000000000),1000000000))+ROW()/100000,"")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IF($A429="","",E429*N429/100)</f>
        <v/>
      </c>
      <c r="J429" s="7" t="n"/>
      <c r="K429" s="7">
        <f>IF($A429="","",S429*N429)</f>
        <v/>
      </c>
      <c r="L429" s="7">
        <f>IF($A429="","",N429-K429)</f>
        <v/>
      </c>
      <c r="M429" s="7">
        <f>IF($A429="","",L429-F429)</f>
        <v/>
      </c>
      <c r="N429" s="7" t="n"/>
      <c r="Q429" s="11" t="n"/>
      <c r="S429">
        <f>IF($A429="","",IF($W429=1,Settings!$C$6,Settings!$C$7)*1)</f>
        <v/>
      </c>
      <c r="U429">
        <f>IF($A429="","",IF(COUNTIF($A$2:$A429,$A429)=1,1,0))</f>
        <v/>
      </c>
      <c r="V429">
        <f>IF($U429=1,SUMPRODUCT(--($X$2:$X$501&lt;$X429))+1,"")</f>
        <v/>
      </c>
      <c r="W429">
        <f>IF($A429="","",IF(OR($T429=TRUE(),$T429="TRUE"),1,0))</f>
        <v/>
      </c>
      <c r="X429">
        <f>IF($U429=1,IFERROR(IF(VALUE($A429)&lt;100000000,VALUE($A429),1000000000),IFERROR(IF(VALUE(MID($A429,2,20))&lt;100000000,VALUE(MID($A429,2,20)),1000000000),1000000000))+ROW()/100000,"")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IF($A430="","",E430*N430/100)</f>
        <v/>
      </c>
      <c r="J430" s="7" t="n"/>
      <c r="K430" s="7">
        <f>IF($A430="","",S430*N430)</f>
        <v/>
      </c>
      <c r="L430" s="7">
        <f>IF($A430="","",N430-K430)</f>
        <v/>
      </c>
      <c r="M430" s="7">
        <f>IF($A430="","",L430-F430)</f>
        <v/>
      </c>
      <c r="N430" s="7" t="n"/>
      <c r="Q430" s="11" t="n"/>
      <c r="S430">
        <f>IF($A430="","",IF($W430=1,Settings!$C$6,Settings!$C$7)*1)</f>
        <v/>
      </c>
      <c r="U430">
        <f>IF($A430="","",IF(COUNTIF($A$2:$A430,$A430)=1,1,0))</f>
        <v/>
      </c>
      <c r="V430">
        <f>IF($U430=1,SUMPRODUCT(--($X$2:$X$501&lt;$X430))+1,"")</f>
        <v/>
      </c>
      <c r="W430">
        <f>IF($A430="","",IF(OR($T430=TRUE(),$T430="TRUE"),1,0))</f>
        <v/>
      </c>
      <c r="X430">
        <f>IF($U430=1,IFERROR(IF(VALUE($A430)&lt;100000000,VALUE($A430),1000000000),IFERROR(IF(VALUE(MID($A430,2,20))&lt;100000000,VALUE(MID($A430,2,20)),1000000000),1000000000))+ROW()/100000,"")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IF($A431="","",E431*N431/100)</f>
        <v/>
      </c>
      <c r="J431" s="7" t="n"/>
      <c r="K431" s="7">
        <f>IF($A431="","",S431*N431)</f>
        <v/>
      </c>
      <c r="L431" s="7">
        <f>IF($A431="","",N431-K431)</f>
        <v/>
      </c>
      <c r="M431" s="7">
        <f>IF($A431="","",L431-F431)</f>
        <v/>
      </c>
      <c r="N431" s="7" t="n"/>
      <c r="Q431" s="11" t="n"/>
      <c r="S431">
        <f>IF($A431="","",IF($W431=1,Settings!$C$6,Settings!$C$7)*1)</f>
        <v/>
      </c>
      <c r="U431">
        <f>IF($A431="","",IF(COUNTIF($A$2:$A431,$A431)=1,1,0))</f>
        <v/>
      </c>
      <c r="V431">
        <f>IF($U431=1,SUMPRODUCT(--($X$2:$X$501&lt;$X431))+1,"")</f>
        <v/>
      </c>
      <c r="W431">
        <f>IF($A431="","",IF(OR($T431=TRUE(),$T431="TRUE"),1,0))</f>
        <v/>
      </c>
      <c r="X431">
        <f>IF($U431=1,IFERROR(IF(VALUE($A431)&lt;100000000,VALUE($A431),1000000000),IFERROR(IF(VALUE(MID($A431,2,20))&lt;100000000,VALUE(MID($A431,2,20)),1000000000),1000000000))+ROW()/100000,"")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IF($A432="","",E432*N432/100)</f>
        <v/>
      </c>
      <c r="J432" s="7" t="n"/>
      <c r="K432" s="7">
        <f>IF($A432="","",S432*N432)</f>
        <v/>
      </c>
      <c r="L432" s="7">
        <f>IF($A432="","",N432-K432)</f>
        <v/>
      </c>
      <c r="M432" s="7">
        <f>IF($A432="","",L432-F432)</f>
        <v/>
      </c>
      <c r="N432" s="7" t="n"/>
      <c r="Q432" s="11" t="n"/>
      <c r="S432">
        <f>IF($A432="","",IF($W432=1,Settings!$C$6,Settings!$C$7)*1)</f>
        <v/>
      </c>
      <c r="U432">
        <f>IF($A432="","",IF(COUNTIF($A$2:$A432,$A432)=1,1,0))</f>
        <v/>
      </c>
      <c r="V432">
        <f>IF($U432=1,SUMPRODUCT(--($X$2:$X$501&lt;$X432))+1,"")</f>
        <v/>
      </c>
      <c r="W432">
        <f>IF($A432="","",IF(OR($T432=TRUE(),$T432="TRUE"),1,0))</f>
        <v/>
      </c>
      <c r="X432">
        <f>IF($U432=1,IFERROR(IF(VALUE($A432)&lt;100000000,VALUE($A432),1000000000),IFERROR(IF(VALUE(MID($A432,2,20))&lt;100000000,VALUE(MID($A432,2,20)),1000000000),1000000000))+ROW()/100000,"")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IF($A433="","",E433*N433/100)</f>
        <v/>
      </c>
      <c r="J433" s="7" t="n"/>
      <c r="K433" s="7">
        <f>IF($A433="","",S433*N433)</f>
        <v/>
      </c>
      <c r="L433" s="7">
        <f>IF($A433="","",N433-K433)</f>
        <v/>
      </c>
      <c r="M433" s="7">
        <f>IF($A433="","",L433-F433)</f>
        <v/>
      </c>
      <c r="N433" s="7" t="n"/>
      <c r="Q433" s="11" t="n"/>
      <c r="S433">
        <f>IF($A433="","",IF($W433=1,Settings!$C$6,Settings!$C$7)*1)</f>
        <v/>
      </c>
      <c r="U433">
        <f>IF($A433="","",IF(COUNTIF($A$2:$A433,$A433)=1,1,0))</f>
        <v/>
      </c>
      <c r="V433">
        <f>IF($U433=1,SUMPRODUCT(--($X$2:$X$501&lt;$X433))+1,"")</f>
        <v/>
      </c>
      <c r="W433">
        <f>IF($A433="","",IF(OR($T433=TRUE(),$T433="TRUE"),1,0))</f>
        <v/>
      </c>
      <c r="X433">
        <f>IF($U433=1,IFERROR(IF(VALUE($A433)&lt;100000000,VALUE($A433),1000000000),IFERROR(IF(VALUE(MID($A433,2,20))&lt;100000000,VALUE(MID($A433,2,20)),1000000000),1000000000))+ROW()/100000,"")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IF($A434="","",E434*N434/100)</f>
        <v/>
      </c>
      <c r="J434" s="7" t="n"/>
      <c r="K434" s="7">
        <f>IF($A434="","",S434*N434)</f>
        <v/>
      </c>
      <c r="L434" s="7">
        <f>IF($A434="","",N434-K434)</f>
        <v/>
      </c>
      <c r="M434" s="7">
        <f>IF($A434="","",L434-F434)</f>
        <v/>
      </c>
      <c r="N434" s="7" t="n"/>
      <c r="Q434" s="11" t="n"/>
      <c r="S434">
        <f>IF($A434="","",IF($W434=1,Settings!$C$6,Settings!$C$7)*1)</f>
        <v/>
      </c>
      <c r="U434">
        <f>IF($A434="","",IF(COUNTIF($A$2:$A434,$A434)=1,1,0))</f>
        <v/>
      </c>
      <c r="V434">
        <f>IF($U434=1,SUMPRODUCT(--($X$2:$X$501&lt;$X434))+1,"")</f>
        <v/>
      </c>
      <c r="W434">
        <f>IF($A434="","",IF(OR($T434=TRUE(),$T434="TRUE"),1,0))</f>
        <v/>
      </c>
      <c r="X434">
        <f>IF($U434=1,IFERROR(IF(VALUE($A434)&lt;100000000,VALUE($A434),1000000000),IFERROR(IF(VALUE(MID($A434,2,20))&lt;100000000,VALUE(MID($A434,2,20)),1000000000),1000000000))+ROW()/100000,"")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IF($A435="","",E435*N435/100)</f>
        <v/>
      </c>
      <c r="J435" s="7" t="n"/>
      <c r="K435" s="7">
        <f>IF($A435="","",S435*N435)</f>
        <v/>
      </c>
      <c r="L435" s="7">
        <f>IF($A435="","",N435-K435)</f>
        <v/>
      </c>
      <c r="M435" s="7">
        <f>IF($A435="","",L435-F435)</f>
        <v/>
      </c>
      <c r="N435" s="7" t="n"/>
      <c r="Q435" s="11" t="n"/>
      <c r="S435">
        <f>IF($A435="","",IF($W435=1,Settings!$C$6,Settings!$C$7)*1)</f>
        <v/>
      </c>
      <c r="U435">
        <f>IF($A435="","",IF(COUNTIF($A$2:$A435,$A435)=1,1,0))</f>
        <v/>
      </c>
      <c r="V435">
        <f>IF($U435=1,SUMPRODUCT(--($X$2:$X$501&lt;$X435))+1,"")</f>
        <v/>
      </c>
      <c r="W435">
        <f>IF($A435="","",IF(OR($T435=TRUE(),$T435="TRUE"),1,0))</f>
        <v/>
      </c>
      <c r="X435">
        <f>IF($U435=1,IFERROR(IF(VALUE($A435)&lt;100000000,VALUE($A435),1000000000),IFERROR(IF(VALUE(MID($A435,2,20))&lt;100000000,VALUE(MID($A435,2,20)),1000000000),1000000000))+ROW()/100000,"")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IF($A436="","",E436*N436/100)</f>
        <v/>
      </c>
      <c r="J436" s="7" t="n"/>
      <c r="K436" s="7">
        <f>IF($A436="","",S436*N436)</f>
        <v/>
      </c>
      <c r="L436" s="7">
        <f>IF($A436="","",N436-K436)</f>
        <v/>
      </c>
      <c r="M436" s="7">
        <f>IF($A436="","",L436-F436)</f>
        <v/>
      </c>
      <c r="N436" s="7" t="n"/>
      <c r="Q436" s="11" t="n"/>
      <c r="S436">
        <f>IF($A436="","",IF($W436=1,Settings!$C$6,Settings!$C$7)*1)</f>
        <v/>
      </c>
      <c r="U436">
        <f>IF($A436="","",IF(COUNTIF($A$2:$A436,$A436)=1,1,0))</f>
        <v/>
      </c>
      <c r="V436">
        <f>IF($U436=1,SUMPRODUCT(--($X$2:$X$501&lt;$X436))+1,"")</f>
        <v/>
      </c>
      <c r="W436">
        <f>IF($A436="","",IF(OR($T436=TRUE(),$T436="TRUE"),1,0))</f>
        <v/>
      </c>
      <c r="X436">
        <f>IF($U436=1,IFERROR(IF(VALUE($A436)&lt;100000000,VALUE($A436),1000000000),IFERROR(IF(VALUE(MID($A436,2,20))&lt;100000000,VALUE(MID($A436,2,20)),1000000000),1000000000))+ROW()/100000,"")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IF($A437="","",E437*N437/100)</f>
        <v/>
      </c>
      <c r="J437" s="7" t="n"/>
      <c r="K437" s="7">
        <f>IF($A437="","",S437*N437)</f>
        <v/>
      </c>
      <c r="L437" s="7">
        <f>IF($A437="","",N437-K437)</f>
        <v/>
      </c>
      <c r="M437" s="7">
        <f>IF($A437="","",L437-F437)</f>
        <v/>
      </c>
      <c r="N437" s="7" t="n"/>
      <c r="Q437" s="11" t="n"/>
      <c r="S437">
        <f>IF($A437="","",IF($W437=1,Settings!$C$6,Settings!$C$7)*1)</f>
        <v/>
      </c>
      <c r="U437">
        <f>IF($A437="","",IF(COUNTIF($A$2:$A437,$A437)=1,1,0))</f>
        <v/>
      </c>
      <c r="V437">
        <f>IF($U437=1,SUMPRODUCT(--($X$2:$X$501&lt;$X437))+1,"")</f>
        <v/>
      </c>
      <c r="W437">
        <f>IF($A437="","",IF(OR($T437=TRUE(),$T437="TRUE"),1,0))</f>
        <v/>
      </c>
      <c r="X437">
        <f>IF($U437=1,IFERROR(IF(VALUE($A437)&lt;100000000,VALUE($A437),1000000000),IFERROR(IF(VALUE(MID($A437,2,20))&lt;100000000,VALUE(MID($A437,2,20)),1000000000),1000000000))+ROW()/100000,"")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IF($A438="","",E438*N438/100)</f>
        <v/>
      </c>
      <c r="J438" s="7" t="n"/>
      <c r="K438" s="7">
        <f>IF($A438="","",S438*N438)</f>
        <v/>
      </c>
      <c r="L438" s="7">
        <f>IF($A438="","",N438-K438)</f>
        <v/>
      </c>
      <c r="M438" s="7">
        <f>IF($A438="","",L438-F438)</f>
        <v/>
      </c>
      <c r="N438" s="7" t="n"/>
      <c r="Q438" s="11" t="n"/>
      <c r="S438">
        <f>IF($A438="","",IF($W438=1,Settings!$C$6,Settings!$C$7)*1)</f>
        <v/>
      </c>
      <c r="U438">
        <f>IF($A438="","",IF(COUNTIF($A$2:$A438,$A438)=1,1,0))</f>
        <v/>
      </c>
      <c r="V438">
        <f>IF($U438=1,SUMPRODUCT(--($X$2:$X$501&lt;$X438))+1,"")</f>
        <v/>
      </c>
      <c r="W438">
        <f>IF($A438="","",IF(OR($T438=TRUE(),$T438="TRUE"),1,0))</f>
        <v/>
      </c>
      <c r="X438">
        <f>IF($U438=1,IFERROR(IF(VALUE($A438)&lt;100000000,VALUE($A438),1000000000),IFERROR(IF(VALUE(MID($A438,2,20))&lt;100000000,VALUE(MID($A438,2,20)),1000000000),1000000000))+ROW()/100000,"")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IF($A439="","",E439*N439/100)</f>
        <v/>
      </c>
      <c r="J439" s="7" t="n"/>
      <c r="K439" s="7">
        <f>IF($A439="","",S439*N439)</f>
        <v/>
      </c>
      <c r="L439" s="7">
        <f>IF($A439="","",N439-K439)</f>
        <v/>
      </c>
      <c r="M439" s="7">
        <f>IF($A439="","",L439-F439)</f>
        <v/>
      </c>
      <c r="N439" s="7" t="n"/>
      <c r="Q439" s="11" t="n"/>
      <c r="S439">
        <f>IF($A439="","",IF($W439=1,Settings!$C$6,Settings!$C$7)*1)</f>
        <v/>
      </c>
      <c r="U439">
        <f>IF($A439="","",IF(COUNTIF($A$2:$A439,$A439)=1,1,0))</f>
        <v/>
      </c>
      <c r="V439">
        <f>IF($U439=1,SUMPRODUCT(--($X$2:$X$501&lt;$X439))+1,"")</f>
        <v/>
      </c>
      <c r="W439">
        <f>IF($A439="","",IF(OR($T439=TRUE(),$T439="TRUE"),1,0))</f>
        <v/>
      </c>
      <c r="X439">
        <f>IF($U439=1,IFERROR(IF(VALUE($A439)&lt;100000000,VALUE($A439),1000000000),IFERROR(IF(VALUE(MID($A439,2,20))&lt;100000000,VALUE(MID($A439,2,20)),1000000000),1000000000))+ROW()/100000,"")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IF($A440="","",E440*N440/100)</f>
        <v/>
      </c>
      <c r="J440" s="7" t="n"/>
      <c r="K440" s="7">
        <f>IF($A440="","",S440*N440)</f>
        <v/>
      </c>
      <c r="L440" s="7">
        <f>IF($A440="","",N440-K440)</f>
        <v/>
      </c>
      <c r="M440" s="7">
        <f>IF($A440="","",L440-F440)</f>
        <v/>
      </c>
      <c r="N440" s="7" t="n"/>
      <c r="Q440" s="11" t="n"/>
      <c r="S440">
        <f>IF($A440="","",IF($W440=1,Settings!$C$6,Settings!$C$7)*1)</f>
        <v/>
      </c>
      <c r="U440">
        <f>IF($A440="","",IF(COUNTIF($A$2:$A440,$A440)=1,1,0))</f>
        <v/>
      </c>
      <c r="V440">
        <f>IF($U440=1,SUMPRODUCT(--($X$2:$X$501&lt;$X440))+1,"")</f>
        <v/>
      </c>
      <c r="W440">
        <f>IF($A440="","",IF(OR($T440=TRUE(),$T440="TRUE"),1,0))</f>
        <v/>
      </c>
      <c r="X440">
        <f>IF($U440=1,IFERROR(IF(VALUE($A440)&lt;100000000,VALUE($A440),1000000000),IFERROR(IF(VALUE(MID($A440,2,20))&lt;100000000,VALUE(MID($A440,2,20)),1000000000),1000000000))+ROW()/100000,"")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IF($A441="","",E441*N441/100)</f>
        <v/>
      </c>
      <c r="J441" s="7" t="n"/>
      <c r="K441" s="7">
        <f>IF($A441="","",S441*N441)</f>
        <v/>
      </c>
      <c r="L441" s="7">
        <f>IF($A441="","",N441-K441)</f>
        <v/>
      </c>
      <c r="M441" s="7">
        <f>IF($A441="","",L441-F441)</f>
        <v/>
      </c>
      <c r="N441" s="7" t="n"/>
      <c r="Q441" s="11" t="n"/>
      <c r="S441">
        <f>IF($A441="","",IF($W441=1,Settings!$C$6,Settings!$C$7)*1)</f>
        <v/>
      </c>
      <c r="U441">
        <f>IF($A441="","",IF(COUNTIF($A$2:$A441,$A441)=1,1,0))</f>
        <v/>
      </c>
      <c r="V441">
        <f>IF($U441=1,SUMPRODUCT(--($X$2:$X$501&lt;$X441))+1,"")</f>
        <v/>
      </c>
      <c r="W441">
        <f>IF($A441="","",IF(OR($T441=TRUE(),$T441="TRUE"),1,0))</f>
        <v/>
      </c>
      <c r="X441">
        <f>IF($U441=1,IFERROR(IF(VALUE($A441)&lt;100000000,VALUE($A441),1000000000),IFERROR(IF(VALUE(MID($A441,2,20))&lt;100000000,VALUE(MID($A441,2,20)),1000000000),1000000000))+ROW()/100000,"")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IF($A442="","",E442*N442/100)</f>
        <v/>
      </c>
      <c r="J442" s="7" t="n"/>
      <c r="K442" s="7">
        <f>IF($A442="","",S442*N442)</f>
        <v/>
      </c>
      <c r="L442" s="7">
        <f>IF($A442="","",N442-K442)</f>
        <v/>
      </c>
      <c r="M442" s="7">
        <f>IF($A442="","",L442-F442)</f>
        <v/>
      </c>
      <c r="N442" s="7" t="n"/>
      <c r="Q442" s="11" t="n"/>
      <c r="S442">
        <f>IF($A442="","",IF($W442=1,Settings!$C$6,Settings!$C$7)*1)</f>
        <v/>
      </c>
      <c r="U442">
        <f>IF($A442="","",IF(COUNTIF($A$2:$A442,$A442)=1,1,0))</f>
        <v/>
      </c>
      <c r="V442">
        <f>IF($U442=1,SUMPRODUCT(--($X$2:$X$501&lt;$X442))+1,"")</f>
        <v/>
      </c>
      <c r="W442">
        <f>IF($A442="","",IF(OR($T442=TRUE(),$T442="TRUE"),1,0))</f>
        <v/>
      </c>
      <c r="X442">
        <f>IF($U442=1,IFERROR(IF(VALUE($A442)&lt;100000000,VALUE($A442),1000000000),IFERROR(IF(VALUE(MID($A442,2,20))&lt;100000000,VALUE(MID($A442,2,20)),1000000000),1000000000))+ROW()/100000,"")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IF($A443="","",E443*N443/100)</f>
        <v/>
      </c>
      <c r="J443" s="7" t="n"/>
      <c r="K443" s="7">
        <f>IF($A443="","",S443*N443)</f>
        <v/>
      </c>
      <c r="L443" s="7">
        <f>IF($A443="","",N443-K443)</f>
        <v/>
      </c>
      <c r="M443" s="7">
        <f>IF($A443="","",L443-F443)</f>
        <v/>
      </c>
      <c r="N443" s="7" t="n"/>
      <c r="Q443" s="11" t="n"/>
      <c r="S443">
        <f>IF($A443="","",IF($W443=1,Settings!$C$6,Settings!$C$7)*1)</f>
        <v/>
      </c>
      <c r="U443">
        <f>IF($A443="","",IF(COUNTIF($A$2:$A443,$A443)=1,1,0))</f>
        <v/>
      </c>
      <c r="V443">
        <f>IF($U443=1,SUMPRODUCT(--($X$2:$X$501&lt;$X443))+1,"")</f>
        <v/>
      </c>
      <c r="W443">
        <f>IF($A443="","",IF(OR($T443=TRUE(),$T443="TRUE"),1,0))</f>
        <v/>
      </c>
      <c r="X443">
        <f>IF($U443=1,IFERROR(IF(VALUE($A443)&lt;100000000,VALUE($A443),1000000000),IFERROR(IF(VALUE(MID($A443,2,20))&lt;100000000,VALUE(MID($A443,2,20)),1000000000),1000000000))+ROW()/100000,"")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IF($A444="","",E444*N444/100)</f>
        <v/>
      </c>
      <c r="J444" s="7" t="n"/>
      <c r="K444" s="7">
        <f>IF($A444="","",S444*N444)</f>
        <v/>
      </c>
      <c r="L444" s="7">
        <f>IF($A444="","",N444-K444)</f>
        <v/>
      </c>
      <c r="M444" s="7">
        <f>IF($A444="","",L444-F444)</f>
        <v/>
      </c>
      <c r="N444" s="7" t="n"/>
      <c r="Q444" s="11" t="n"/>
      <c r="S444">
        <f>IF($A444="","",IF($W444=1,Settings!$C$6,Settings!$C$7)*1)</f>
        <v/>
      </c>
      <c r="U444">
        <f>IF($A444="","",IF(COUNTIF($A$2:$A444,$A444)=1,1,0))</f>
        <v/>
      </c>
      <c r="V444">
        <f>IF($U444=1,SUMPRODUCT(--($X$2:$X$501&lt;$X444))+1,"")</f>
        <v/>
      </c>
      <c r="W444">
        <f>IF($A444="","",IF(OR($T444=TRUE(),$T444="TRUE"),1,0))</f>
        <v/>
      </c>
      <c r="X444">
        <f>IF($U444=1,IFERROR(IF(VALUE($A444)&lt;100000000,VALUE($A444),1000000000),IFERROR(IF(VALUE(MID($A444,2,20))&lt;100000000,VALUE(MID($A444,2,20)),1000000000),1000000000))+ROW()/100000,"")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IF($A445="","",E445*N445/100)</f>
        <v/>
      </c>
      <c r="J445" s="7" t="n"/>
      <c r="K445" s="7">
        <f>IF($A445="","",S445*N445)</f>
        <v/>
      </c>
      <c r="L445" s="7">
        <f>IF($A445="","",N445-K445)</f>
        <v/>
      </c>
      <c r="M445" s="7">
        <f>IF($A445="","",L445-F445)</f>
        <v/>
      </c>
      <c r="N445" s="7" t="n"/>
      <c r="Q445" s="11" t="n"/>
      <c r="S445">
        <f>IF($A445="","",IF($W445=1,Settings!$C$6,Settings!$C$7)*1)</f>
        <v/>
      </c>
      <c r="U445">
        <f>IF($A445="","",IF(COUNTIF($A$2:$A445,$A445)=1,1,0))</f>
        <v/>
      </c>
      <c r="V445">
        <f>IF($U445=1,SUMPRODUCT(--($X$2:$X$501&lt;$X445))+1,"")</f>
        <v/>
      </c>
      <c r="W445">
        <f>IF($A445="","",IF(OR($T445=TRUE(),$T445="TRUE"),1,0))</f>
        <v/>
      </c>
      <c r="X445">
        <f>IF($U445=1,IFERROR(IF(VALUE($A445)&lt;100000000,VALUE($A445),1000000000),IFERROR(IF(VALUE(MID($A445,2,20))&lt;100000000,VALUE(MID($A445,2,20)),1000000000),1000000000))+ROW()/100000,"")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IF($A446="","",E446*N446/100)</f>
        <v/>
      </c>
      <c r="J446" s="7" t="n"/>
      <c r="K446" s="7">
        <f>IF($A446="","",S446*N446)</f>
        <v/>
      </c>
      <c r="L446" s="7">
        <f>IF($A446="","",N446-K446)</f>
        <v/>
      </c>
      <c r="M446" s="7">
        <f>IF($A446="","",L446-F446)</f>
        <v/>
      </c>
      <c r="N446" s="7" t="n"/>
      <c r="Q446" s="11" t="n"/>
      <c r="S446">
        <f>IF($A446="","",IF($W446=1,Settings!$C$6,Settings!$C$7)*1)</f>
        <v/>
      </c>
      <c r="U446">
        <f>IF($A446="","",IF(COUNTIF($A$2:$A446,$A446)=1,1,0))</f>
        <v/>
      </c>
      <c r="V446">
        <f>IF($U446=1,SUMPRODUCT(--($X$2:$X$501&lt;$X446))+1,"")</f>
        <v/>
      </c>
      <c r="W446">
        <f>IF($A446="","",IF(OR($T446=TRUE(),$T446="TRUE"),1,0))</f>
        <v/>
      </c>
      <c r="X446">
        <f>IF($U446=1,IFERROR(IF(VALUE($A446)&lt;100000000,VALUE($A446),1000000000),IFERROR(IF(VALUE(MID($A446,2,20))&lt;100000000,VALUE(MID($A446,2,20)),1000000000),1000000000))+ROW()/100000,"")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IF($A447="","",E447*N447/100)</f>
        <v/>
      </c>
      <c r="J447" s="7" t="n"/>
      <c r="K447" s="7">
        <f>IF($A447="","",S447*N447)</f>
        <v/>
      </c>
      <c r="L447" s="7">
        <f>IF($A447="","",N447-K447)</f>
        <v/>
      </c>
      <c r="M447" s="7">
        <f>IF($A447="","",L447-F447)</f>
        <v/>
      </c>
      <c r="N447" s="7" t="n"/>
      <c r="Q447" s="11" t="n"/>
      <c r="S447">
        <f>IF($A447="","",IF($W447=1,Settings!$C$6,Settings!$C$7)*1)</f>
        <v/>
      </c>
      <c r="U447">
        <f>IF($A447="","",IF(COUNTIF($A$2:$A447,$A447)=1,1,0))</f>
        <v/>
      </c>
      <c r="V447">
        <f>IF($U447=1,SUMPRODUCT(--($X$2:$X$501&lt;$X447))+1,"")</f>
        <v/>
      </c>
      <c r="W447">
        <f>IF($A447="","",IF(OR($T447=TRUE(),$T447="TRUE"),1,0))</f>
        <v/>
      </c>
      <c r="X447">
        <f>IF($U447=1,IFERROR(IF(VALUE($A447)&lt;100000000,VALUE($A447),1000000000),IFERROR(IF(VALUE(MID($A447,2,20))&lt;100000000,VALUE(MID($A447,2,20)),1000000000),1000000000))+ROW()/100000,"")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IF($A448="","",E448*N448/100)</f>
        <v/>
      </c>
      <c r="J448" s="7" t="n"/>
      <c r="K448" s="7">
        <f>IF($A448="","",S448*N448)</f>
        <v/>
      </c>
      <c r="L448" s="7">
        <f>IF($A448="","",N448-K448)</f>
        <v/>
      </c>
      <c r="M448" s="7">
        <f>IF($A448="","",L448-F448)</f>
        <v/>
      </c>
      <c r="N448" s="7" t="n"/>
      <c r="Q448" s="11" t="n"/>
      <c r="S448">
        <f>IF($A448="","",IF($W448=1,Settings!$C$6,Settings!$C$7)*1)</f>
        <v/>
      </c>
      <c r="U448">
        <f>IF($A448="","",IF(COUNTIF($A$2:$A448,$A448)=1,1,0))</f>
        <v/>
      </c>
      <c r="V448">
        <f>IF($U448=1,SUMPRODUCT(--($X$2:$X$501&lt;$X448))+1,"")</f>
        <v/>
      </c>
      <c r="W448">
        <f>IF($A448="","",IF(OR($T448=TRUE(),$T448="TRUE"),1,0))</f>
        <v/>
      </c>
      <c r="X448">
        <f>IF($U448=1,IFERROR(IF(VALUE($A448)&lt;100000000,VALUE($A448),1000000000),IFERROR(IF(VALUE(MID($A448,2,20))&lt;100000000,VALUE(MID($A448,2,20)),1000000000),1000000000))+ROW()/100000,"")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IF($A449="","",E449*N449/100)</f>
        <v/>
      </c>
      <c r="J449" s="7" t="n"/>
      <c r="K449" s="7">
        <f>IF($A449="","",S449*N449)</f>
        <v/>
      </c>
      <c r="L449" s="7">
        <f>IF($A449="","",N449-K449)</f>
        <v/>
      </c>
      <c r="M449" s="7">
        <f>IF($A449="","",L449-F449)</f>
        <v/>
      </c>
      <c r="N449" s="7" t="n"/>
      <c r="Q449" s="11" t="n"/>
      <c r="S449">
        <f>IF($A449="","",IF($W449=1,Settings!$C$6,Settings!$C$7)*1)</f>
        <v/>
      </c>
      <c r="U449">
        <f>IF($A449="","",IF(COUNTIF($A$2:$A449,$A449)=1,1,0))</f>
        <v/>
      </c>
      <c r="V449">
        <f>IF($U449=1,SUMPRODUCT(--($X$2:$X$501&lt;$X449))+1,"")</f>
        <v/>
      </c>
      <c r="W449">
        <f>IF($A449="","",IF(OR($T449=TRUE(),$T449="TRUE"),1,0))</f>
        <v/>
      </c>
      <c r="X449">
        <f>IF($U449=1,IFERROR(IF(VALUE($A449)&lt;100000000,VALUE($A449),1000000000),IFERROR(IF(VALUE(MID($A449,2,20))&lt;100000000,VALUE(MID($A449,2,20)),1000000000),1000000000))+ROW()/100000,"")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IF($A450="","",E450*N450/100)</f>
        <v/>
      </c>
      <c r="J450" s="7" t="n"/>
      <c r="K450" s="7">
        <f>IF($A450="","",S450*N450)</f>
        <v/>
      </c>
      <c r="L450" s="7">
        <f>IF($A450="","",N450-K450)</f>
        <v/>
      </c>
      <c r="M450" s="7">
        <f>IF($A450="","",L450-F450)</f>
        <v/>
      </c>
      <c r="N450" s="7" t="n"/>
      <c r="Q450" s="11" t="n"/>
      <c r="S450">
        <f>IF($A450="","",IF($W450=1,Settings!$C$6,Settings!$C$7)*1)</f>
        <v/>
      </c>
      <c r="U450">
        <f>IF($A450="","",IF(COUNTIF($A$2:$A450,$A450)=1,1,0))</f>
        <v/>
      </c>
      <c r="V450">
        <f>IF($U450=1,SUMPRODUCT(--($X$2:$X$501&lt;$X450))+1,"")</f>
        <v/>
      </c>
      <c r="W450">
        <f>IF($A450="","",IF(OR($T450=TRUE(),$T450="TRUE"),1,0))</f>
        <v/>
      </c>
      <c r="X450">
        <f>IF($U450=1,IFERROR(IF(VALUE($A450)&lt;100000000,VALUE($A450),1000000000),IFERROR(IF(VALUE(MID($A450,2,20))&lt;100000000,VALUE(MID($A450,2,20)),1000000000),1000000000))+ROW()/100000,"")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IF($A451="","",E451*N451/100)</f>
        <v/>
      </c>
      <c r="J451" s="7" t="n"/>
      <c r="K451" s="7">
        <f>IF($A451="","",S451*N451)</f>
        <v/>
      </c>
      <c r="L451" s="7">
        <f>IF($A451="","",N451-K451)</f>
        <v/>
      </c>
      <c r="M451" s="7">
        <f>IF($A451="","",L451-F451)</f>
        <v/>
      </c>
      <c r="N451" s="7" t="n"/>
      <c r="Q451" s="11" t="n"/>
      <c r="S451">
        <f>IF($A451="","",IF($W451=1,Settings!$C$6,Settings!$C$7)*1)</f>
        <v/>
      </c>
      <c r="U451">
        <f>IF($A451="","",IF(COUNTIF($A$2:$A451,$A451)=1,1,0))</f>
        <v/>
      </c>
      <c r="V451">
        <f>IF($U451=1,SUMPRODUCT(--($X$2:$X$501&lt;$X451))+1,"")</f>
        <v/>
      </c>
      <c r="W451">
        <f>IF($A451="","",IF(OR($T451=TRUE(),$T451="TRUE"),1,0))</f>
        <v/>
      </c>
      <c r="X451">
        <f>IF($U451=1,IFERROR(IF(VALUE($A451)&lt;100000000,VALUE($A451),1000000000),IFERROR(IF(VALUE(MID($A451,2,20))&lt;100000000,VALUE(MID($A451,2,20)),1000000000),1000000000))+ROW()/100000,"")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IF($A452="","",E452*N452/100)</f>
        <v/>
      </c>
      <c r="J452" s="7" t="n"/>
      <c r="K452" s="7">
        <f>IF($A452="","",S452*N452)</f>
        <v/>
      </c>
      <c r="L452" s="7">
        <f>IF($A452="","",N452-K452)</f>
        <v/>
      </c>
      <c r="M452" s="7">
        <f>IF($A452="","",L452-F452)</f>
        <v/>
      </c>
      <c r="N452" s="7" t="n"/>
      <c r="Q452" s="11" t="n"/>
      <c r="S452">
        <f>IF($A452="","",IF($W452=1,Settings!$C$6,Settings!$C$7)*1)</f>
        <v/>
      </c>
      <c r="U452">
        <f>IF($A452="","",IF(COUNTIF($A$2:$A452,$A452)=1,1,0))</f>
        <v/>
      </c>
      <c r="V452">
        <f>IF($U452=1,SUMPRODUCT(--($X$2:$X$501&lt;$X452))+1,"")</f>
        <v/>
      </c>
      <c r="W452">
        <f>IF($A452="","",IF(OR($T452=TRUE(),$T452="TRUE"),1,0))</f>
        <v/>
      </c>
      <c r="X452">
        <f>IF($U452=1,IFERROR(IF(VALUE($A452)&lt;100000000,VALUE($A452),1000000000),IFERROR(IF(VALUE(MID($A452,2,20))&lt;100000000,VALUE(MID($A452,2,20)),1000000000),1000000000))+ROW()/100000,"")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IF($A453="","",E453*N453/100)</f>
        <v/>
      </c>
      <c r="J453" s="7" t="n"/>
      <c r="K453" s="7">
        <f>IF($A453="","",S453*N453)</f>
        <v/>
      </c>
      <c r="L453" s="7">
        <f>IF($A453="","",N453-K453)</f>
        <v/>
      </c>
      <c r="M453" s="7">
        <f>IF($A453="","",L453-F453)</f>
        <v/>
      </c>
      <c r="N453" s="7" t="n"/>
      <c r="Q453" s="11" t="n"/>
      <c r="S453">
        <f>IF($A453="","",IF($W453=1,Settings!$C$6,Settings!$C$7)*1)</f>
        <v/>
      </c>
      <c r="U453">
        <f>IF($A453="","",IF(COUNTIF($A$2:$A453,$A453)=1,1,0))</f>
        <v/>
      </c>
      <c r="V453">
        <f>IF($U453=1,SUMPRODUCT(--($X$2:$X$501&lt;$X453))+1,"")</f>
        <v/>
      </c>
      <c r="W453">
        <f>IF($A453="","",IF(OR($T453=TRUE(),$T453="TRUE"),1,0))</f>
        <v/>
      </c>
      <c r="X453">
        <f>IF($U453=1,IFERROR(IF(VALUE($A453)&lt;100000000,VALUE($A453),1000000000),IFERROR(IF(VALUE(MID($A453,2,20))&lt;100000000,VALUE(MID($A453,2,20)),1000000000),1000000000))+ROW()/100000,"")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IF($A454="","",E454*N454/100)</f>
        <v/>
      </c>
      <c r="J454" s="7" t="n"/>
      <c r="K454" s="7">
        <f>IF($A454="","",S454*N454)</f>
        <v/>
      </c>
      <c r="L454" s="7">
        <f>IF($A454="","",N454-K454)</f>
        <v/>
      </c>
      <c r="M454" s="7">
        <f>IF($A454="","",L454-F454)</f>
        <v/>
      </c>
      <c r="N454" s="7" t="n"/>
      <c r="Q454" s="11" t="n"/>
      <c r="S454">
        <f>IF($A454="","",IF($W454=1,Settings!$C$6,Settings!$C$7)*1)</f>
        <v/>
      </c>
      <c r="U454">
        <f>IF($A454="","",IF(COUNTIF($A$2:$A454,$A454)=1,1,0))</f>
        <v/>
      </c>
      <c r="V454">
        <f>IF($U454=1,SUMPRODUCT(--($X$2:$X$501&lt;$X454))+1,"")</f>
        <v/>
      </c>
      <c r="W454">
        <f>IF($A454="","",IF(OR($T454=TRUE(),$T454="TRUE"),1,0))</f>
        <v/>
      </c>
      <c r="X454">
        <f>IF($U454=1,IFERROR(IF(VALUE($A454)&lt;100000000,VALUE($A454),1000000000),IFERROR(IF(VALUE(MID($A454,2,20))&lt;100000000,VALUE(MID($A454,2,20)),1000000000),1000000000))+ROW()/100000,"")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IF($A455="","",E455*N455/100)</f>
        <v/>
      </c>
      <c r="J455" s="7" t="n"/>
      <c r="K455" s="7">
        <f>IF($A455="","",S455*N455)</f>
        <v/>
      </c>
      <c r="L455" s="7">
        <f>IF($A455="","",N455-K455)</f>
        <v/>
      </c>
      <c r="M455" s="7">
        <f>IF($A455="","",L455-F455)</f>
        <v/>
      </c>
      <c r="N455" s="7" t="n"/>
      <c r="Q455" s="11" t="n"/>
      <c r="S455">
        <f>IF($A455="","",IF($W455=1,Settings!$C$6,Settings!$C$7)*1)</f>
        <v/>
      </c>
      <c r="U455">
        <f>IF($A455="","",IF(COUNTIF($A$2:$A455,$A455)=1,1,0))</f>
        <v/>
      </c>
      <c r="V455">
        <f>IF($U455=1,SUMPRODUCT(--($X$2:$X$501&lt;$X455))+1,"")</f>
        <v/>
      </c>
      <c r="W455">
        <f>IF($A455="","",IF(OR($T455=TRUE(),$T455="TRUE"),1,0))</f>
        <v/>
      </c>
      <c r="X455">
        <f>IF($U455=1,IFERROR(IF(VALUE($A455)&lt;100000000,VALUE($A455),1000000000),IFERROR(IF(VALUE(MID($A455,2,20))&lt;100000000,VALUE(MID($A455,2,20)),1000000000),1000000000))+ROW()/100000,"")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IF($A456="","",E456*N456/100)</f>
        <v/>
      </c>
      <c r="J456" s="7" t="n"/>
      <c r="K456" s="7">
        <f>IF($A456="","",S456*N456)</f>
        <v/>
      </c>
      <c r="L456" s="7">
        <f>IF($A456="","",N456-K456)</f>
        <v/>
      </c>
      <c r="M456" s="7">
        <f>IF($A456="","",L456-F456)</f>
        <v/>
      </c>
      <c r="N456" s="7" t="n"/>
      <c r="Q456" s="11" t="n"/>
      <c r="S456">
        <f>IF($A456="","",IF($W456=1,Settings!$C$6,Settings!$C$7)*1)</f>
        <v/>
      </c>
      <c r="U456">
        <f>IF($A456="","",IF(COUNTIF($A$2:$A456,$A456)=1,1,0))</f>
        <v/>
      </c>
      <c r="V456">
        <f>IF($U456=1,SUMPRODUCT(--($X$2:$X$501&lt;$X456))+1,"")</f>
        <v/>
      </c>
      <c r="W456">
        <f>IF($A456="","",IF(OR($T456=TRUE(),$T456="TRUE"),1,0))</f>
        <v/>
      </c>
      <c r="X456">
        <f>IF($U456=1,IFERROR(IF(VALUE($A456)&lt;100000000,VALUE($A456),1000000000),IFERROR(IF(VALUE(MID($A456,2,20))&lt;100000000,VALUE(MID($A456,2,20)),1000000000),1000000000))+ROW()/100000,"")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IF($A457="","",E457*N457/100)</f>
        <v/>
      </c>
      <c r="J457" s="7" t="n"/>
      <c r="K457" s="7">
        <f>IF($A457="","",S457*N457)</f>
        <v/>
      </c>
      <c r="L457" s="7">
        <f>IF($A457="","",N457-K457)</f>
        <v/>
      </c>
      <c r="M457" s="7">
        <f>IF($A457="","",L457-F457)</f>
        <v/>
      </c>
      <c r="N457" s="7" t="n"/>
      <c r="Q457" s="11" t="n"/>
      <c r="S457">
        <f>IF($A457="","",IF($W457=1,Settings!$C$6,Settings!$C$7)*1)</f>
        <v/>
      </c>
      <c r="U457">
        <f>IF($A457="","",IF(COUNTIF($A$2:$A457,$A457)=1,1,0))</f>
        <v/>
      </c>
      <c r="V457">
        <f>IF($U457=1,SUMPRODUCT(--($X$2:$X$501&lt;$X457))+1,"")</f>
        <v/>
      </c>
      <c r="W457">
        <f>IF($A457="","",IF(OR($T457=TRUE(),$T457="TRUE"),1,0))</f>
        <v/>
      </c>
      <c r="X457">
        <f>IF($U457=1,IFERROR(IF(VALUE($A457)&lt;100000000,VALUE($A457),1000000000),IFERROR(IF(VALUE(MID($A457,2,20))&lt;100000000,VALUE(MID($A457,2,20)),1000000000),1000000000))+ROW()/100000,"")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IF($A458="","",E458*N458/100)</f>
        <v/>
      </c>
      <c r="J458" s="7" t="n"/>
      <c r="K458" s="7">
        <f>IF($A458="","",S458*N458)</f>
        <v/>
      </c>
      <c r="L458" s="7">
        <f>IF($A458="","",N458-K458)</f>
        <v/>
      </c>
      <c r="M458" s="7">
        <f>IF($A458="","",L458-F458)</f>
        <v/>
      </c>
      <c r="N458" s="7" t="n"/>
      <c r="Q458" s="11" t="n"/>
      <c r="S458">
        <f>IF($A458="","",IF($W458=1,Settings!$C$6,Settings!$C$7)*1)</f>
        <v/>
      </c>
      <c r="U458">
        <f>IF($A458="","",IF(COUNTIF($A$2:$A458,$A458)=1,1,0))</f>
        <v/>
      </c>
      <c r="V458">
        <f>IF($U458=1,SUMPRODUCT(--($X$2:$X$501&lt;$X458))+1,"")</f>
        <v/>
      </c>
      <c r="W458">
        <f>IF($A458="","",IF(OR($T458=TRUE(),$T458="TRUE"),1,0))</f>
        <v/>
      </c>
      <c r="X458">
        <f>IF($U458=1,IFERROR(IF(VALUE($A458)&lt;100000000,VALUE($A458),1000000000),IFERROR(IF(VALUE(MID($A458,2,20))&lt;100000000,VALUE(MID($A458,2,20)),1000000000),1000000000))+ROW()/100000,"")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IF($A459="","",E459*N459/100)</f>
        <v/>
      </c>
      <c r="J459" s="7" t="n"/>
      <c r="K459" s="7">
        <f>IF($A459="","",S459*N459)</f>
        <v/>
      </c>
      <c r="L459" s="7">
        <f>IF($A459="","",N459-K459)</f>
        <v/>
      </c>
      <c r="M459" s="7">
        <f>IF($A459="","",L459-F459)</f>
        <v/>
      </c>
      <c r="N459" s="7" t="n"/>
      <c r="Q459" s="11" t="n"/>
      <c r="S459">
        <f>IF($A459="","",IF($W459=1,Settings!$C$6,Settings!$C$7)*1)</f>
        <v/>
      </c>
      <c r="U459">
        <f>IF($A459="","",IF(COUNTIF($A$2:$A459,$A459)=1,1,0))</f>
        <v/>
      </c>
      <c r="V459">
        <f>IF($U459=1,SUMPRODUCT(--($X$2:$X$501&lt;$X459))+1,"")</f>
        <v/>
      </c>
      <c r="W459">
        <f>IF($A459="","",IF(OR($T459=TRUE(),$T459="TRUE"),1,0))</f>
        <v/>
      </c>
      <c r="X459">
        <f>IF($U459=1,IFERROR(IF(VALUE($A459)&lt;100000000,VALUE($A459),1000000000),IFERROR(IF(VALUE(MID($A459,2,20))&lt;100000000,VALUE(MID($A459,2,20)),1000000000),1000000000))+ROW()/100000,"")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IF($A460="","",E460*N460/100)</f>
        <v/>
      </c>
      <c r="J460" s="7" t="n"/>
      <c r="K460" s="7">
        <f>IF($A460="","",S460*N460)</f>
        <v/>
      </c>
      <c r="L460" s="7">
        <f>IF($A460="","",N460-K460)</f>
        <v/>
      </c>
      <c r="M460" s="7">
        <f>IF($A460="","",L460-F460)</f>
        <v/>
      </c>
      <c r="N460" s="7" t="n"/>
      <c r="Q460" s="11" t="n"/>
      <c r="S460">
        <f>IF($A460="","",IF($W460=1,Settings!$C$6,Settings!$C$7)*1)</f>
        <v/>
      </c>
      <c r="U460">
        <f>IF($A460="","",IF(COUNTIF($A$2:$A460,$A460)=1,1,0))</f>
        <v/>
      </c>
      <c r="V460">
        <f>IF($U460=1,SUMPRODUCT(--($X$2:$X$501&lt;$X460))+1,"")</f>
        <v/>
      </c>
      <c r="W460">
        <f>IF($A460="","",IF(OR($T460=TRUE(),$T460="TRUE"),1,0))</f>
        <v/>
      </c>
      <c r="X460">
        <f>IF($U460=1,IFERROR(IF(VALUE($A460)&lt;100000000,VALUE($A460),1000000000),IFERROR(IF(VALUE(MID($A460,2,20))&lt;100000000,VALUE(MID($A460,2,20)),1000000000),1000000000))+ROW()/100000,"")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IF($A461="","",E461*N461/100)</f>
        <v/>
      </c>
      <c r="J461" s="7" t="n"/>
      <c r="K461" s="7">
        <f>IF($A461="","",S461*N461)</f>
        <v/>
      </c>
      <c r="L461" s="7">
        <f>IF($A461="","",N461-K461)</f>
        <v/>
      </c>
      <c r="M461" s="7">
        <f>IF($A461="","",L461-F461)</f>
        <v/>
      </c>
      <c r="N461" s="7" t="n"/>
      <c r="Q461" s="11" t="n"/>
      <c r="S461">
        <f>IF($A461="","",IF($W461=1,Settings!$C$6,Settings!$C$7)*1)</f>
        <v/>
      </c>
      <c r="U461">
        <f>IF($A461="","",IF(COUNTIF($A$2:$A461,$A461)=1,1,0))</f>
        <v/>
      </c>
      <c r="V461">
        <f>IF($U461=1,SUMPRODUCT(--($X$2:$X$501&lt;$X461))+1,"")</f>
        <v/>
      </c>
      <c r="W461">
        <f>IF($A461="","",IF(OR($T461=TRUE(),$T461="TRUE"),1,0))</f>
        <v/>
      </c>
      <c r="X461">
        <f>IF($U461=1,IFERROR(IF(VALUE($A461)&lt;100000000,VALUE($A461),1000000000),IFERROR(IF(VALUE(MID($A461,2,20))&lt;100000000,VALUE(MID($A461,2,20)),1000000000),1000000000))+ROW()/100000,"")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IF($A462="","",E462*N462/100)</f>
        <v/>
      </c>
      <c r="J462" s="7" t="n"/>
      <c r="K462" s="7">
        <f>IF($A462="","",S462*N462)</f>
        <v/>
      </c>
      <c r="L462" s="7">
        <f>IF($A462="","",N462-K462)</f>
        <v/>
      </c>
      <c r="M462" s="7">
        <f>IF($A462="","",L462-F462)</f>
        <v/>
      </c>
      <c r="N462" s="7" t="n"/>
      <c r="Q462" s="11" t="n"/>
      <c r="S462">
        <f>IF($A462="","",IF($W462=1,Settings!$C$6,Settings!$C$7)*1)</f>
        <v/>
      </c>
      <c r="U462">
        <f>IF($A462="","",IF(COUNTIF($A$2:$A462,$A462)=1,1,0))</f>
        <v/>
      </c>
      <c r="V462">
        <f>IF($U462=1,SUMPRODUCT(--($X$2:$X$501&lt;$X462))+1,"")</f>
        <v/>
      </c>
      <c r="W462">
        <f>IF($A462="","",IF(OR($T462=TRUE(),$T462="TRUE"),1,0))</f>
        <v/>
      </c>
      <c r="X462">
        <f>IF($U462=1,IFERROR(IF(VALUE($A462)&lt;100000000,VALUE($A462),1000000000),IFERROR(IF(VALUE(MID($A462,2,20))&lt;100000000,VALUE(MID($A462,2,20)),1000000000),1000000000))+ROW()/100000,"")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IF($A463="","",E463*N463/100)</f>
        <v/>
      </c>
      <c r="J463" s="7" t="n"/>
      <c r="K463" s="7">
        <f>IF($A463="","",S463*N463)</f>
        <v/>
      </c>
      <c r="L463" s="7">
        <f>IF($A463="","",N463-K463)</f>
        <v/>
      </c>
      <c r="M463" s="7">
        <f>IF($A463="","",L463-F463)</f>
        <v/>
      </c>
      <c r="N463" s="7" t="n"/>
      <c r="Q463" s="11" t="n"/>
      <c r="S463">
        <f>IF($A463="","",IF($W463=1,Settings!$C$6,Settings!$C$7)*1)</f>
        <v/>
      </c>
      <c r="U463">
        <f>IF($A463="","",IF(COUNTIF($A$2:$A463,$A463)=1,1,0))</f>
        <v/>
      </c>
      <c r="V463">
        <f>IF($U463=1,SUMPRODUCT(--($X$2:$X$501&lt;$X463))+1,"")</f>
        <v/>
      </c>
      <c r="W463">
        <f>IF($A463="","",IF(OR($T463=TRUE(),$T463="TRUE"),1,0))</f>
        <v/>
      </c>
      <c r="X463">
        <f>IF($U463=1,IFERROR(IF(VALUE($A463)&lt;100000000,VALUE($A463),1000000000),IFERROR(IF(VALUE(MID($A463,2,20))&lt;100000000,VALUE(MID($A463,2,20)),1000000000),1000000000))+ROW()/100000,"")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IF($A464="","",E464*N464/100)</f>
        <v/>
      </c>
      <c r="J464" s="7" t="n"/>
      <c r="K464" s="7">
        <f>IF($A464="","",S464*N464)</f>
        <v/>
      </c>
      <c r="L464" s="7">
        <f>IF($A464="","",N464-K464)</f>
        <v/>
      </c>
      <c r="M464" s="7">
        <f>IF($A464="","",L464-F464)</f>
        <v/>
      </c>
      <c r="N464" s="7" t="n"/>
      <c r="Q464" s="11" t="n"/>
      <c r="S464">
        <f>IF($A464="","",IF($W464=1,Settings!$C$6,Settings!$C$7)*1)</f>
        <v/>
      </c>
      <c r="U464">
        <f>IF($A464="","",IF(COUNTIF($A$2:$A464,$A464)=1,1,0))</f>
        <v/>
      </c>
      <c r="V464">
        <f>IF($U464=1,SUMPRODUCT(--($X$2:$X$501&lt;$X464))+1,"")</f>
        <v/>
      </c>
      <c r="W464">
        <f>IF($A464="","",IF(OR($T464=TRUE(),$T464="TRUE"),1,0))</f>
        <v/>
      </c>
      <c r="X464">
        <f>IF($U464=1,IFERROR(IF(VALUE($A464)&lt;100000000,VALUE($A464),1000000000),IFERROR(IF(VALUE(MID($A464,2,20))&lt;100000000,VALUE(MID($A464,2,20)),1000000000),1000000000))+ROW()/100000,"")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IF($A465="","",E465*N465/100)</f>
        <v/>
      </c>
      <c r="J465" s="7" t="n"/>
      <c r="K465" s="7">
        <f>IF($A465="","",S465*N465)</f>
        <v/>
      </c>
      <c r="L465" s="7">
        <f>IF($A465="","",N465-K465)</f>
        <v/>
      </c>
      <c r="M465" s="7">
        <f>IF($A465="","",L465-F465)</f>
        <v/>
      </c>
      <c r="N465" s="7" t="n"/>
      <c r="Q465" s="11" t="n"/>
      <c r="S465">
        <f>IF($A465="","",IF($W465=1,Settings!$C$6,Settings!$C$7)*1)</f>
        <v/>
      </c>
      <c r="U465">
        <f>IF($A465="","",IF(COUNTIF($A$2:$A465,$A465)=1,1,0))</f>
        <v/>
      </c>
      <c r="V465">
        <f>IF($U465=1,SUMPRODUCT(--($X$2:$X$501&lt;$X465))+1,"")</f>
        <v/>
      </c>
      <c r="W465">
        <f>IF($A465="","",IF(OR($T465=TRUE(),$T465="TRUE"),1,0))</f>
        <v/>
      </c>
      <c r="X465">
        <f>IF($U465=1,IFERROR(IF(VALUE($A465)&lt;100000000,VALUE($A465),1000000000),IFERROR(IF(VALUE(MID($A465,2,20))&lt;100000000,VALUE(MID($A465,2,20)),1000000000),1000000000))+ROW()/100000,"")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IF($A466="","",E466*N466/100)</f>
        <v/>
      </c>
      <c r="J466" s="7" t="n"/>
      <c r="K466" s="7">
        <f>IF($A466="","",S466*N466)</f>
        <v/>
      </c>
      <c r="L466" s="7">
        <f>IF($A466="","",N466-K466)</f>
        <v/>
      </c>
      <c r="M466" s="7">
        <f>IF($A466="","",L466-F466)</f>
        <v/>
      </c>
      <c r="N466" s="7" t="n"/>
      <c r="Q466" s="11" t="n"/>
      <c r="S466">
        <f>IF($A466="","",IF($W466=1,Settings!$C$6,Settings!$C$7)*1)</f>
        <v/>
      </c>
      <c r="U466">
        <f>IF($A466="","",IF(COUNTIF($A$2:$A466,$A466)=1,1,0))</f>
        <v/>
      </c>
      <c r="V466">
        <f>IF($U466=1,SUMPRODUCT(--($X$2:$X$501&lt;$X466))+1,"")</f>
        <v/>
      </c>
      <c r="W466">
        <f>IF($A466="","",IF(OR($T466=TRUE(),$T466="TRUE"),1,0))</f>
        <v/>
      </c>
      <c r="X466">
        <f>IF($U466=1,IFERROR(IF(VALUE($A466)&lt;100000000,VALUE($A466),1000000000),IFERROR(IF(VALUE(MID($A466,2,20))&lt;100000000,VALUE(MID($A466,2,20)),1000000000),1000000000))+ROW()/100000,"")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IF($A467="","",E467*N467/100)</f>
        <v/>
      </c>
      <c r="J467" s="7" t="n"/>
      <c r="K467" s="7">
        <f>IF($A467="","",S467*N467)</f>
        <v/>
      </c>
      <c r="L467" s="7">
        <f>IF($A467="","",N467-K467)</f>
        <v/>
      </c>
      <c r="M467" s="7">
        <f>IF($A467="","",L467-F467)</f>
        <v/>
      </c>
      <c r="N467" s="7" t="n"/>
      <c r="Q467" s="11" t="n"/>
      <c r="S467">
        <f>IF($A467="","",IF($W467=1,Settings!$C$6,Settings!$C$7)*1)</f>
        <v/>
      </c>
      <c r="U467">
        <f>IF($A467="","",IF(COUNTIF($A$2:$A467,$A467)=1,1,0))</f>
        <v/>
      </c>
      <c r="V467">
        <f>IF($U467=1,SUMPRODUCT(--($X$2:$X$501&lt;$X467))+1,"")</f>
        <v/>
      </c>
      <c r="W467">
        <f>IF($A467="","",IF(OR($T467=TRUE(),$T467="TRUE"),1,0))</f>
        <v/>
      </c>
      <c r="X467">
        <f>IF($U467=1,IFERROR(IF(VALUE($A467)&lt;100000000,VALUE($A467),1000000000),IFERROR(IF(VALUE(MID($A467,2,20))&lt;100000000,VALUE(MID($A467,2,20)),1000000000),1000000000))+ROW()/100000,"")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IF($A468="","",E468*N468/100)</f>
        <v/>
      </c>
      <c r="J468" s="7" t="n"/>
      <c r="K468" s="7">
        <f>IF($A468="","",S468*N468)</f>
        <v/>
      </c>
      <c r="L468" s="7">
        <f>IF($A468="","",N468-K468)</f>
        <v/>
      </c>
      <c r="M468" s="7">
        <f>IF($A468="","",L468-F468)</f>
        <v/>
      </c>
      <c r="N468" s="7" t="n"/>
      <c r="Q468" s="11" t="n"/>
      <c r="S468">
        <f>IF($A468="","",IF($W468=1,Settings!$C$6,Settings!$C$7)*1)</f>
        <v/>
      </c>
      <c r="U468">
        <f>IF($A468="","",IF(COUNTIF($A$2:$A468,$A468)=1,1,0))</f>
        <v/>
      </c>
      <c r="V468">
        <f>IF($U468=1,SUMPRODUCT(--($X$2:$X$501&lt;$X468))+1,"")</f>
        <v/>
      </c>
      <c r="W468">
        <f>IF($A468="","",IF(OR($T468=TRUE(),$T468="TRUE"),1,0))</f>
        <v/>
      </c>
      <c r="X468">
        <f>IF($U468=1,IFERROR(IF(VALUE($A468)&lt;100000000,VALUE($A468),1000000000),IFERROR(IF(VALUE(MID($A468,2,20))&lt;100000000,VALUE(MID($A468,2,20)),1000000000),1000000000))+ROW()/100000,"")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IF($A469="","",E469*N469/100)</f>
        <v/>
      </c>
      <c r="J469" s="7" t="n"/>
      <c r="K469" s="7">
        <f>IF($A469="","",S469*N469)</f>
        <v/>
      </c>
      <c r="L469" s="7">
        <f>IF($A469="","",N469-K469)</f>
        <v/>
      </c>
      <c r="M469" s="7">
        <f>IF($A469="","",L469-F469)</f>
        <v/>
      </c>
      <c r="N469" s="7" t="n"/>
      <c r="Q469" s="11" t="n"/>
      <c r="S469">
        <f>IF($A469="","",IF($W469=1,Settings!$C$6,Settings!$C$7)*1)</f>
        <v/>
      </c>
      <c r="U469">
        <f>IF($A469="","",IF(COUNTIF($A$2:$A469,$A469)=1,1,0))</f>
        <v/>
      </c>
      <c r="V469">
        <f>IF($U469=1,SUMPRODUCT(--($X$2:$X$501&lt;$X469))+1,"")</f>
        <v/>
      </c>
      <c r="W469">
        <f>IF($A469="","",IF(OR($T469=TRUE(),$T469="TRUE"),1,0))</f>
        <v/>
      </c>
      <c r="X469">
        <f>IF($U469=1,IFERROR(IF(VALUE($A469)&lt;100000000,VALUE($A469),1000000000),IFERROR(IF(VALUE(MID($A469,2,20))&lt;100000000,VALUE(MID($A469,2,20)),1000000000),1000000000))+ROW()/100000,"")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IF($A470="","",E470*N470/100)</f>
        <v/>
      </c>
      <c r="J470" s="7" t="n"/>
      <c r="K470" s="7">
        <f>IF($A470="","",S470*N470)</f>
        <v/>
      </c>
      <c r="L470" s="7">
        <f>IF($A470="","",N470-K470)</f>
        <v/>
      </c>
      <c r="M470" s="7">
        <f>IF($A470="","",L470-F470)</f>
        <v/>
      </c>
      <c r="N470" s="7" t="n"/>
      <c r="Q470" s="11" t="n"/>
      <c r="S470">
        <f>IF($A470="","",IF($W470=1,Settings!$C$6,Settings!$C$7)*1)</f>
        <v/>
      </c>
      <c r="U470">
        <f>IF($A470="","",IF(COUNTIF($A$2:$A470,$A470)=1,1,0))</f>
        <v/>
      </c>
      <c r="V470">
        <f>IF($U470=1,SUMPRODUCT(--($X$2:$X$501&lt;$X470))+1,"")</f>
        <v/>
      </c>
      <c r="W470">
        <f>IF($A470="","",IF(OR($T470=TRUE(),$T470="TRUE"),1,0))</f>
        <v/>
      </c>
      <c r="X470">
        <f>IF($U470=1,IFERROR(IF(VALUE($A470)&lt;100000000,VALUE($A470),1000000000),IFERROR(IF(VALUE(MID($A470,2,20))&lt;100000000,VALUE(MID($A470,2,20)),1000000000),1000000000))+ROW()/100000,"")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IF($A471="","",E471*N471/100)</f>
        <v/>
      </c>
      <c r="J471" s="7" t="n"/>
      <c r="K471" s="7">
        <f>IF($A471="","",S471*N471)</f>
        <v/>
      </c>
      <c r="L471" s="7">
        <f>IF($A471="","",N471-K471)</f>
        <v/>
      </c>
      <c r="M471" s="7">
        <f>IF($A471="","",L471-F471)</f>
        <v/>
      </c>
      <c r="N471" s="7" t="n"/>
      <c r="Q471" s="11" t="n"/>
      <c r="S471">
        <f>IF($A471="","",IF($W471=1,Settings!$C$6,Settings!$C$7)*1)</f>
        <v/>
      </c>
      <c r="U471">
        <f>IF($A471="","",IF(COUNTIF($A$2:$A471,$A471)=1,1,0))</f>
        <v/>
      </c>
      <c r="V471">
        <f>IF($U471=1,SUMPRODUCT(--($X$2:$X$501&lt;$X471))+1,"")</f>
        <v/>
      </c>
      <c r="W471">
        <f>IF($A471="","",IF(OR($T471=TRUE(),$T471="TRUE"),1,0))</f>
        <v/>
      </c>
      <c r="X471">
        <f>IF($U471=1,IFERROR(IF(VALUE($A471)&lt;100000000,VALUE($A471),1000000000),IFERROR(IF(VALUE(MID($A471,2,20))&lt;100000000,VALUE(MID($A471,2,20)),1000000000),1000000000))+ROW()/100000,"")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IF($A472="","",E472*N472/100)</f>
        <v/>
      </c>
      <c r="J472" s="7" t="n"/>
      <c r="K472" s="7">
        <f>IF($A472="","",S472*N472)</f>
        <v/>
      </c>
      <c r="L472" s="7">
        <f>IF($A472="","",N472-K472)</f>
        <v/>
      </c>
      <c r="M472" s="7">
        <f>IF($A472="","",L472-F472)</f>
        <v/>
      </c>
      <c r="N472" s="7" t="n"/>
      <c r="Q472" s="11" t="n"/>
      <c r="S472">
        <f>IF($A472="","",IF($W472=1,Settings!$C$6,Settings!$C$7)*1)</f>
        <v/>
      </c>
      <c r="U472">
        <f>IF($A472="","",IF(COUNTIF($A$2:$A472,$A472)=1,1,0))</f>
        <v/>
      </c>
      <c r="V472">
        <f>IF($U472=1,SUMPRODUCT(--($X$2:$X$501&lt;$X472))+1,"")</f>
        <v/>
      </c>
      <c r="W472">
        <f>IF($A472="","",IF(OR($T472=TRUE(),$T472="TRUE"),1,0))</f>
        <v/>
      </c>
      <c r="X472">
        <f>IF($U472=1,IFERROR(IF(VALUE($A472)&lt;100000000,VALUE($A472),1000000000),IFERROR(IF(VALUE(MID($A472,2,20))&lt;100000000,VALUE(MID($A472,2,20)),1000000000),1000000000))+ROW()/100000,"")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IF($A473="","",E473*N473/100)</f>
        <v/>
      </c>
      <c r="J473" s="7" t="n"/>
      <c r="K473" s="7">
        <f>IF($A473="","",S473*N473)</f>
        <v/>
      </c>
      <c r="L473" s="7">
        <f>IF($A473="","",N473-K473)</f>
        <v/>
      </c>
      <c r="M473" s="7">
        <f>IF($A473="","",L473-F473)</f>
        <v/>
      </c>
      <c r="N473" s="7" t="n"/>
      <c r="Q473" s="11" t="n"/>
      <c r="S473">
        <f>IF($A473="","",IF($W473=1,Settings!$C$6,Settings!$C$7)*1)</f>
        <v/>
      </c>
      <c r="U473">
        <f>IF($A473="","",IF(COUNTIF($A$2:$A473,$A473)=1,1,0))</f>
        <v/>
      </c>
      <c r="V473">
        <f>IF($U473=1,SUMPRODUCT(--($X$2:$X$501&lt;$X473))+1,"")</f>
        <v/>
      </c>
      <c r="W473">
        <f>IF($A473="","",IF(OR($T473=TRUE(),$T473="TRUE"),1,0))</f>
        <v/>
      </c>
      <c r="X473">
        <f>IF($U473=1,IFERROR(IF(VALUE($A473)&lt;100000000,VALUE($A473),1000000000),IFERROR(IF(VALUE(MID($A473,2,20))&lt;100000000,VALUE(MID($A473,2,20)),1000000000),1000000000))+ROW()/100000,"")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IF($A474="","",E474*N474/100)</f>
        <v/>
      </c>
      <c r="J474" s="7" t="n"/>
      <c r="K474" s="7">
        <f>IF($A474="","",S474*N474)</f>
        <v/>
      </c>
      <c r="L474" s="7">
        <f>IF($A474="","",N474-K474)</f>
        <v/>
      </c>
      <c r="M474" s="7">
        <f>IF($A474="","",L474-F474)</f>
        <v/>
      </c>
      <c r="N474" s="7" t="n"/>
      <c r="Q474" s="11" t="n"/>
      <c r="S474">
        <f>IF($A474="","",IF($W474=1,Settings!$C$6,Settings!$C$7)*1)</f>
        <v/>
      </c>
      <c r="U474">
        <f>IF($A474="","",IF(COUNTIF($A$2:$A474,$A474)=1,1,0))</f>
        <v/>
      </c>
      <c r="V474">
        <f>IF($U474=1,SUMPRODUCT(--($X$2:$X$501&lt;$X474))+1,"")</f>
        <v/>
      </c>
      <c r="W474">
        <f>IF($A474="","",IF(OR($T474=TRUE(),$T474="TRUE"),1,0))</f>
        <v/>
      </c>
      <c r="X474">
        <f>IF($U474=1,IFERROR(IF(VALUE($A474)&lt;100000000,VALUE($A474),1000000000),IFERROR(IF(VALUE(MID($A474,2,20))&lt;100000000,VALUE(MID($A474,2,20)),1000000000),1000000000))+ROW()/100000,"")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IF($A475="","",E475*N475/100)</f>
        <v/>
      </c>
      <c r="J475" s="7" t="n"/>
      <c r="K475" s="7">
        <f>IF($A475="","",S475*N475)</f>
        <v/>
      </c>
      <c r="L475" s="7">
        <f>IF($A475="","",N475-K475)</f>
        <v/>
      </c>
      <c r="M475" s="7">
        <f>IF($A475="","",L475-F475)</f>
        <v/>
      </c>
      <c r="N475" s="7" t="n"/>
      <c r="Q475" s="11" t="n"/>
      <c r="S475">
        <f>IF($A475="","",IF($W475=1,Settings!$C$6,Settings!$C$7)*1)</f>
        <v/>
      </c>
      <c r="U475">
        <f>IF($A475="","",IF(COUNTIF($A$2:$A475,$A475)=1,1,0))</f>
        <v/>
      </c>
      <c r="V475">
        <f>IF($U475=1,SUMPRODUCT(--($X$2:$X$501&lt;$X475))+1,"")</f>
        <v/>
      </c>
      <c r="W475">
        <f>IF($A475="","",IF(OR($T475=TRUE(),$T475="TRUE"),1,0))</f>
        <v/>
      </c>
      <c r="X475">
        <f>IF($U475=1,IFERROR(IF(VALUE($A475)&lt;100000000,VALUE($A475),1000000000),IFERROR(IF(VALUE(MID($A475,2,20))&lt;100000000,VALUE(MID($A475,2,20)),1000000000),1000000000))+ROW()/100000,"")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IF($A476="","",E476*N476/100)</f>
        <v/>
      </c>
      <c r="J476" s="7" t="n"/>
      <c r="K476" s="7">
        <f>IF($A476="","",S476*N476)</f>
        <v/>
      </c>
      <c r="L476" s="7">
        <f>IF($A476="","",N476-K476)</f>
        <v/>
      </c>
      <c r="M476" s="7">
        <f>IF($A476="","",L476-F476)</f>
        <v/>
      </c>
      <c r="N476" s="7" t="n"/>
      <c r="Q476" s="11" t="n"/>
      <c r="S476">
        <f>IF($A476="","",IF($W476=1,Settings!$C$6,Settings!$C$7)*1)</f>
        <v/>
      </c>
      <c r="U476">
        <f>IF($A476="","",IF(COUNTIF($A$2:$A476,$A476)=1,1,0))</f>
        <v/>
      </c>
      <c r="V476">
        <f>IF($U476=1,SUMPRODUCT(--($X$2:$X$501&lt;$X476))+1,"")</f>
        <v/>
      </c>
      <c r="W476">
        <f>IF($A476="","",IF(OR($T476=TRUE(),$T476="TRUE"),1,0))</f>
        <v/>
      </c>
      <c r="X476">
        <f>IF($U476=1,IFERROR(IF(VALUE($A476)&lt;100000000,VALUE($A476),1000000000),IFERROR(IF(VALUE(MID($A476,2,20))&lt;100000000,VALUE(MID($A476,2,20)),1000000000),1000000000))+ROW()/100000,"")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IF($A477="","",E477*N477/100)</f>
        <v/>
      </c>
      <c r="J477" s="7" t="n"/>
      <c r="K477" s="7">
        <f>IF($A477="","",S477*N477)</f>
        <v/>
      </c>
      <c r="L477" s="7">
        <f>IF($A477="","",N477-K477)</f>
        <v/>
      </c>
      <c r="M477" s="7">
        <f>IF($A477="","",L477-F477)</f>
        <v/>
      </c>
      <c r="N477" s="7" t="n"/>
      <c r="Q477" s="11" t="n"/>
      <c r="S477">
        <f>IF($A477="","",IF($W477=1,Settings!$C$6,Settings!$C$7)*1)</f>
        <v/>
      </c>
      <c r="U477">
        <f>IF($A477="","",IF(COUNTIF($A$2:$A477,$A477)=1,1,0))</f>
        <v/>
      </c>
      <c r="V477">
        <f>IF($U477=1,SUMPRODUCT(--($X$2:$X$501&lt;$X477))+1,"")</f>
        <v/>
      </c>
      <c r="W477">
        <f>IF($A477="","",IF(OR($T477=TRUE(),$T477="TRUE"),1,0))</f>
        <v/>
      </c>
      <c r="X477">
        <f>IF($U477=1,IFERROR(IF(VALUE($A477)&lt;100000000,VALUE($A477),1000000000),IFERROR(IF(VALUE(MID($A477,2,20))&lt;100000000,VALUE(MID($A477,2,20)),1000000000),1000000000))+ROW()/100000,"")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IF($A478="","",E478*N478/100)</f>
        <v/>
      </c>
      <c r="J478" s="7" t="n"/>
      <c r="K478" s="7">
        <f>IF($A478="","",S478*N478)</f>
        <v/>
      </c>
      <c r="L478" s="7">
        <f>IF($A478="","",N478-K478)</f>
        <v/>
      </c>
      <c r="M478" s="7">
        <f>IF($A478="","",L478-F478)</f>
        <v/>
      </c>
      <c r="N478" s="7" t="n"/>
      <c r="Q478" s="11" t="n"/>
      <c r="S478">
        <f>IF($A478="","",IF($W478=1,Settings!$C$6,Settings!$C$7)*1)</f>
        <v/>
      </c>
      <c r="U478">
        <f>IF($A478="","",IF(COUNTIF($A$2:$A478,$A478)=1,1,0))</f>
        <v/>
      </c>
      <c r="V478">
        <f>IF($U478=1,SUMPRODUCT(--($X$2:$X$501&lt;$X478))+1,"")</f>
        <v/>
      </c>
      <c r="W478">
        <f>IF($A478="","",IF(OR($T478=TRUE(),$T478="TRUE"),1,0))</f>
        <v/>
      </c>
      <c r="X478">
        <f>IF($U478=1,IFERROR(IF(VALUE($A478)&lt;100000000,VALUE($A478),1000000000),IFERROR(IF(VALUE(MID($A478,2,20))&lt;100000000,VALUE(MID($A478,2,20)),1000000000),1000000000))+ROW()/100000,"")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IF($A479="","",E479*N479/100)</f>
        <v/>
      </c>
      <c r="J479" s="7" t="n"/>
      <c r="K479" s="7">
        <f>IF($A479="","",S479*N479)</f>
        <v/>
      </c>
      <c r="L479" s="7">
        <f>IF($A479="","",N479-K479)</f>
        <v/>
      </c>
      <c r="M479" s="7">
        <f>IF($A479="","",L479-F479)</f>
        <v/>
      </c>
      <c r="N479" s="7" t="n"/>
      <c r="Q479" s="11" t="n"/>
      <c r="S479">
        <f>IF($A479="","",IF($W479=1,Settings!$C$6,Settings!$C$7)*1)</f>
        <v/>
      </c>
      <c r="U479">
        <f>IF($A479="","",IF(COUNTIF($A$2:$A479,$A479)=1,1,0))</f>
        <v/>
      </c>
      <c r="V479">
        <f>IF($U479=1,SUMPRODUCT(--($X$2:$X$501&lt;$X479))+1,"")</f>
        <v/>
      </c>
      <c r="W479">
        <f>IF($A479="","",IF(OR($T479=TRUE(),$T479="TRUE"),1,0))</f>
        <v/>
      </c>
      <c r="X479">
        <f>IF($U479=1,IFERROR(IF(VALUE($A479)&lt;100000000,VALUE($A479),1000000000),IFERROR(IF(VALUE(MID($A479,2,20))&lt;100000000,VALUE(MID($A479,2,20)),1000000000),1000000000))+ROW()/100000,"")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IF($A480="","",E480*N480/100)</f>
        <v/>
      </c>
      <c r="J480" s="7" t="n"/>
      <c r="K480" s="7">
        <f>IF($A480="","",S480*N480)</f>
        <v/>
      </c>
      <c r="L480" s="7">
        <f>IF($A480="","",N480-K480)</f>
        <v/>
      </c>
      <c r="M480" s="7">
        <f>IF($A480="","",L480-F480)</f>
        <v/>
      </c>
      <c r="N480" s="7" t="n"/>
      <c r="Q480" s="11" t="n"/>
      <c r="S480">
        <f>IF($A480="","",IF($W480=1,Settings!$C$6,Settings!$C$7)*1)</f>
        <v/>
      </c>
      <c r="U480">
        <f>IF($A480="","",IF(COUNTIF($A$2:$A480,$A480)=1,1,0))</f>
        <v/>
      </c>
      <c r="V480">
        <f>IF($U480=1,SUMPRODUCT(--($X$2:$X$501&lt;$X480))+1,"")</f>
        <v/>
      </c>
      <c r="W480">
        <f>IF($A480="","",IF(OR($T480=TRUE(),$T480="TRUE"),1,0))</f>
        <v/>
      </c>
      <c r="X480">
        <f>IF($U480=1,IFERROR(IF(VALUE($A480)&lt;100000000,VALUE($A480),1000000000),IFERROR(IF(VALUE(MID($A480,2,20))&lt;100000000,VALUE(MID($A480,2,20)),1000000000),1000000000))+ROW()/100000,"")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IF($A481="","",E481*N481/100)</f>
        <v/>
      </c>
      <c r="J481" s="7" t="n"/>
      <c r="K481" s="7">
        <f>IF($A481="","",S481*N481)</f>
        <v/>
      </c>
      <c r="L481" s="7">
        <f>IF($A481="","",N481-K481)</f>
        <v/>
      </c>
      <c r="M481" s="7">
        <f>IF($A481="","",L481-F481)</f>
        <v/>
      </c>
      <c r="N481" s="7" t="n"/>
      <c r="Q481" s="11" t="n"/>
      <c r="S481">
        <f>IF($A481="","",IF($W481=1,Settings!$C$6,Settings!$C$7)*1)</f>
        <v/>
      </c>
      <c r="U481">
        <f>IF($A481="","",IF(COUNTIF($A$2:$A481,$A481)=1,1,0))</f>
        <v/>
      </c>
      <c r="V481">
        <f>IF($U481=1,SUMPRODUCT(--($X$2:$X$501&lt;$X481))+1,"")</f>
        <v/>
      </c>
      <c r="W481">
        <f>IF($A481="","",IF(OR($T481=TRUE(),$T481="TRUE"),1,0))</f>
        <v/>
      </c>
      <c r="X481">
        <f>IF($U481=1,IFERROR(IF(VALUE($A481)&lt;100000000,VALUE($A481),1000000000),IFERROR(IF(VALUE(MID($A481,2,20))&lt;100000000,VALUE(MID($A481,2,20)),1000000000),1000000000))+ROW()/100000,"")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IF($A482="","",E482*N482/100)</f>
        <v/>
      </c>
      <c r="J482" s="7" t="n"/>
      <c r="K482" s="7">
        <f>IF($A482="","",S482*N482)</f>
        <v/>
      </c>
      <c r="L482" s="7">
        <f>IF($A482="","",N482-K482)</f>
        <v/>
      </c>
      <c r="M482" s="7">
        <f>IF($A482="","",L482-F482)</f>
        <v/>
      </c>
      <c r="N482" s="7" t="n"/>
      <c r="Q482" s="11" t="n"/>
      <c r="S482">
        <f>IF($A482="","",IF($W482=1,Settings!$C$6,Settings!$C$7)*1)</f>
        <v/>
      </c>
      <c r="U482">
        <f>IF($A482="","",IF(COUNTIF($A$2:$A482,$A482)=1,1,0))</f>
        <v/>
      </c>
      <c r="V482">
        <f>IF($U482=1,SUMPRODUCT(--($X$2:$X$501&lt;$X482))+1,"")</f>
        <v/>
      </c>
      <c r="W482">
        <f>IF($A482="","",IF(OR($T482=TRUE(),$T482="TRUE"),1,0))</f>
        <v/>
      </c>
      <c r="X482">
        <f>IF($U482=1,IFERROR(IF(VALUE($A482)&lt;100000000,VALUE($A482),1000000000),IFERROR(IF(VALUE(MID($A482,2,20))&lt;100000000,VALUE(MID($A482,2,20)),1000000000),1000000000))+ROW()/100000,"")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IF($A483="","",E483*N483/100)</f>
        <v/>
      </c>
      <c r="J483" s="7" t="n"/>
      <c r="K483" s="7">
        <f>IF($A483="","",S483*N483)</f>
        <v/>
      </c>
      <c r="L483" s="7">
        <f>IF($A483="","",N483-K483)</f>
        <v/>
      </c>
      <c r="M483" s="7">
        <f>IF($A483="","",L483-F483)</f>
        <v/>
      </c>
      <c r="N483" s="7" t="n"/>
      <c r="Q483" s="11" t="n"/>
      <c r="S483">
        <f>IF($A483="","",IF($W483=1,Settings!$C$6,Settings!$C$7)*1)</f>
        <v/>
      </c>
      <c r="U483">
        <f>IF($A483="","",IF(COUNTIF($A$2:$A483,$A483)=1,1,0))</f>
        <v/>
      </c>
      <c r="V483">
        <f>IF($U483=1,SUMPRODUCT(--($X$2:$X$501&lt;$X483))+1,"")</f>
        <v/>
      </c>
      <c r="W483">
        <f>IF($A483="","",IF(OR($T483=TRUE(),$T483="TRUE"),1,0))</f>
        <v/>
      </c>
      <c r="X483">
        <f>IF($U483=1,IFERROR(IF(VALUE($A483)&lt;100000000,VALUE($A483),1000000000),IFERROR(IF(VALUE(MID($A483,2,20))&lt;100000000,VALUE(MID($A483,2,20)),1000000000),1000000000))+ROW()/100000,"")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IF($A484="","",E484*N484/100)</f>
        <v/>
      </c>
      <c r="J484" s="7" t="n"/>
      <c r="K484" s="7">
        <f>IF($A484="","",S484*N484)</f>
        <v/>
      </c>
      <c r="L484" s="7">
        <f>IF($A484="","",N484-K484)</f>
        <v/>
      </c>
      <c r="M484" s="7">
        <f>IF($A484="","",L484-F484)</f>
        <v/>
      </c>
      <c r="N484" s="7" t="n"/>
      <c r="Q484" s="11" t="n"/>
      <c r="S484">
        <f>IF($A484="","",IF($W484=1,Settings!$C$6,Settings!$C$7)*1)</f>
        <v/>
      </c>
      <c r="U484">
        <f>IF($A484="","",IF(COUNTIF($A$2:$A484,$A484)=1,1,0))</f>
        <v/>
      </c>
      <c r="V484">
        <f>IF($U484=1,SUMPRODUCT(--($X$2:$X$501&lt;$X484))+1,"")</f>
        <v/>
      </c>
      <c r="W484">
        <f>IF($A484="","",IF(OR($T484=TRUE(),$T484="TRUE"),1,0))</f>
        <v/>
      </c>
      <c r="X484">
        <f>IF($U484=1,IFERROR(IF(VALUE($A484)&lt;100000000,VALUE($A484),1000000000),IFERROR(IF(VALUE(MID($A484,2,20))&lt;100000000,VALUE(MID($A484,2,20)),1000000000),1000000000))+ROW()/100000,"")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IF($A485="","",E485*N485/100)</f>
        <v/>
      </c>
      <c r="J485" s="7" t="n"/>
      <c r="K485" s="7">
        <f>IF($A485="","",S485*N485)</f>
        <v/>
      </c>
      <c r="L485" s="7">
        <f>IF($A485="","",N485-K485)</f>
        <v/>
      </c>
      <c r="M485" s="7">
        <f>IF($A485="","",L485-F485)</f>
        <v/>
      </c>
      <c r="N485" s="7" t="n"/>
      <c r="Q485" s="11" t="n"/>
      <c r="S485">
        <f>IF($A485="","",IF($W485=1,Settings!$C$6,Settings!$C$7)*1)</f>
        <v/>
      </c>
      <c r="U485">
        <f>IF($A485="","",IF(COUNTIF($A$2:$A485,$A485)=1,1,0))</f>
        <v/>
      </c>
      <c r="V485">
        <f>IF($U485=1,SUMPRODUCT(--($X$2:$X$501&lt;$X485))+1,"")</f>
        <v/>
      </c>
      <c r="W485">
        <f>IF($A485="","",IF(OR($T485=TRUE(),$T485="TRUE"),1,0))</f>
        <v/>
      </c>
      <c r="X485">
        <f>IF($U485=1,IFERROR(IF(VALUE($A485)&lt;100000000,VALUE($A485),1000000000),IFERROR(IF(VALUE(MID($A485,2,20))&lt;100000000,VALUE(MID($A485,2,20)),1000000000),1000000000))+ROW()/100000,"")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IF($A486="","",E486*N486/100)</f>
        <v/>
      </c>
      <c r="J486" s="7" t="n"/>
      <c r="K486" s="7">
        <f>IF($A486="","",S486*N486)</f>
        <v/>
      </c>
      <c r="L486" s="7">
        <f>IF($A486="","",N486-K486)</f>
        <v/>
      </c>
      <c r="M486" s="7">
        <f>IF($A486="","",L486-F486)</f>
        <v/>
      </c>
      <c r="N486" s="7" t="n"/>
      <c r="Q486" s="11" t="n"/>
      <c r="S486">
        <f>IF($A486="","",IF($W486=1,Settings!$C$6,Settings!$C$7)*1)</f>
        <v/>
      </c>
      <c r="U486">
        <f>IF($A486="","",IF(COUNTIF($A$2:$A486,$A486)=1,1,0))</f>
        <v/>
      </c>
      <c r="V486">
        <f>IF($U486=1,SUMPRODUCT(--($X$2:$X$501&lt;$X486))+1,"")</f>
        <v/>
      </c>
      <c r="W486">
        <f>IF($A486="","",IF(OR($T486=TRUE(),$T486="TRUE"),1,0))</f>
        <v/>
      </c>
      <c r="X486">
        <f>IF($U486=1,IFERROR(IF(VALUE($A486)&lt;100000000,VALUE($A486),1000000000),IFERROR(IF(VALUE(MID($A486,2,20))&lt;100000000,VALUE(MID($A486,2,20)),1000000000),1000000000))+ROW()/100000,"")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IF($A487="","",E487*N487/100)</f>
        <v/>
      </c>
      <c r="J487" s="7" t="n"/>
      <c r="K487" s="7">
        <f>IF($A487="","",S487*N487)</f>
        <v/>
      </c>
      <c r="L487" s="7">
        <f>IF($A487="","",N487-K487)</f>
        <v/>
      </c>
      <c r="M487" s="7">
        <f>IF($A487="","",L487-F487)</f>
        <v/>
      </c>
      <c r="N487" s="7" t="n"/>
      <c r="Q487" s="11" t="n"/>
      <c r="S487">
        <f>IF($A487="","",IF($W487=1,Settings!$C$6,Settings!$C$7)*1)</f>
        <v/>
      </c>
      <c r="U487">
        <f>IF($A487="","",IF(COUNTIF($A$2:$A487,$A487)=1,1,0))</f>
        <v/>
      </c>
      <c r="V487">
        <f>IF($U487=1,SUMPRODUCT(--($X$2:$X$501&lt;$X487))+1,"")</f>
        <v/>
      </c>
      <c r="W487">
        <f>IF($A487="","",IF(OR($T487=TRUE(),$T487="TRUE"),1,0))</f>
        <v/>
      </c>
      <c r="X487">
        <f>IF($U487=1,IFERROR(IF(VALUE($A487)&lt;100000000,VALUE($A487),1000000000),IFERROR(IF(VALUE(MID($A487,2,20))&lt;100000000,VALUE(MID($A487,2,20)),1000000000),1000000000))+ROW()/100000,"")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IF($A488="","",E488*N488/100)</f>
        <v/>
      </c>
      <c r="J488" s="7" t="n"/>
      <c r="K488" s="7">
        <f>IF($A488="","",S488*N488)</f>
        <v/>
      </c>
      <c r="L488" s="7">
        <f>IF($A488="","",N488-K488)</f>
        <v/>
      </c>
      <c r="M488" s="7">
        <f>IF($A488="","",L488-F488)</f>
        <v/>
      </c>
      <c r="N488" s="7" t="n"/>
      <c r="Q488" s="11" t="n"/>
      <c r="S488">
        <f>IF($A488="","",IF($W488=1,Settings!$C$6,Settings!$C$7)*1)</f>
        <v/>
      </c>
      <c r="U488">
        <f>IF($A488="","",IF(COUNTIF($A$2:$A488,$A488)=1,1,0))</f>
        <v/>
      </c>
      <c r="V488">
        <f>IF($U488=1,SUMPRODUCT(--($X$2:$X$501&lt;$X488))+1,"")</f>
        <v/>
      </c>
      <c r="W488">
        <f>IF($A488="","",IF(OR($T488=TRUE(),$T488="TRUE"),1,0))</f>
        <v/>
      </c>
      <c r="X488">
        <f>IF($U488=1,IFERROR(IF(VALUE($A488)&lt;100000000,VALUE($A488),1000000000),IFERROR(IF(VALUE(MID($A488,2,20))&lt;100000000,VALUE(MID($A488,2,20)),1000000000),1000000000))+ROW()/100000,"")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IF($A489="","",E489*N489/100)</f>
        <v/>
      </c>
      <c r="J489" s="7" t="n"/>
      <c r="K489" s="7">
        <f>IF($A489="","",S489*N489)</f>
        <v/>
      </c>
      <c r="L489" s="7">
        <f>IF($A489="","",N489-K489)</f>
        <v/>
      </c>
      <c r="M489" s="7">
        <f>IF($A489="","",L489-F489)</f>
        <v/>
      </c>
      <c r="N489" s="7" t="n"/>
      <c r="Q489" s="11" t="n"/>
      <c r="S489">
        <f>IF($A489="","",IF($W489=1,Settings!$C$6,Settings!$C$7)*1)</f>
        <v/>
      </c>
      <c r="U489">
        <f>IF($A489="","",IF(COUNTIF($A$2:$A489,$A489)=1,1,0))</f>
        <v/>
      </c>
      <c r="V489">
        <f>IF($U489=1,SUMPRODUCT(--($X$2:$X$501&lt;$X489))+1,"")</f>
        <v/>
      </c>
      <c r="W489">
        <f>IF($A489="","",IF(OR($T489=TRUE(),$T489="TRUE"),1,0))</f>
        <v/>
      </c>
      <c r="X489">
        <f>IF($U489=1,IFERROR(IF(VALUE($A489)&lt;100000000,VALUE($A489),1000000000),IFERROR(IF(VALUE(MID($A489,2,20))&lt;100000000,VALUE(MID($A489,2,20)),1000000000),1000000000))+ROW()/100000,"")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IF($A490="","",E490*N490/100)</f>
        <v/>
      </c>
      <c r="J490" s="7" t="n"/>
      <c r="K490" s="7">
        <f>IF($A490="","",S490*N490)</f>
        <v/>
      </c>
      <c r="L490" s="7">
        <f>IF($A490="","",N490-K490)</f>
        <v/>
      </c>
      <c r="M490" s="7">
        <f>IF($A490="","",L490-F490)</f>
        <v/>
      </c>
      <c r="N490" s="7" t="n"/>
      <c r="Q490" s="11" t="n"/>
      <c r="S490">
        <f>IF($A490="","",IF($W490=1,Settings!$C$6,Settings!$C$7)*1)</f>
        <v/>
      </c>
      <c r="U490">
        <f>IF($A490="","",IF(COUNTIF($A$2:$A490,$A490)=1,1,0))</f>
        <v/>
      </c>
      <c r="V490">
        <f>IF($U490=1,SUMPRODUCT(--($X$2:$X$501&lt;$X490))+1,"")</f>
        <v/>
      </c>
      <c r="W490">
        <f>IF($A490="","",IF(OR($T490=TRUE(),$T490="TRUE"),1,0))</f>
        <v/>
      </c>
      <c r="X490">
        <f>IF($U490=1,IFERROR(IF(VALUE($A490)&lt;100000000,VALUE($A490),1000000000),IFERROR(IF(VALUE(MID($A490,2,20))&lt;100000000,VALUE(MID($A490,2,20)),1000000000),1000000000))+ROW()/100000,"")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IF($A491="","",E491*N491/100)</f>
        <v/>
      </c>
      <c r="J491" s="7" t="n"/>
      <c r="K491" s="7">
        <f>IF($A491="","",S491*N491)</f>
        <v/>
      </c>
      <c r="L491" s="7">
        <f>IF($A491="","",N491-K491)</f>
        <v/>
      </c>
      <c r="M491" s="7">
        <f>IF($A491="","",L491-F491)</f>
        <v/>
      </c>
      <c r="N491" s="7" t="n"/>
      <c r="Q491" s="11" t="n"/>
      <c r="S491">
        <f>IF($A491="","",IF($W491=1,Settings!$C$6,Settings!$C$7)*1)</f>
        <v/>
      </c>
      <c r="U491">
        <f>IF($A491="","",IF(COUNTIF($A$2:$A491,$A491)=1,1,0))</f>
        <v/>
      </c>
      <c r="V491">
        <f>IF($U491=1,SUMPRODUCT(--($X$2:$X$501&lt;$X491))+1,"")</f>
        <v/>
      </c>
      <c r="W491">
        <f>IF($A491="","",IF(OR($T491=TRUE(),$T491="TRUE"),1,0))</f>
        <v/>
      </c>
      <c r="X491">
        <f>IF($U491=1,IFERROR(IF(VALUE($A491)&lt;100000000,VALUE($A491),1000000000),IFERROR(IF(VALUE(MID($A491,2,20))&lt;100000000,VALUE(MID($A491,2,20)),1000000000),1000000000))+ROW()/100000,"")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IF($A492="","",E492*N492/100)</f>
        <v/>
      </c>
      <c r="J492" s="7" t="n"/>
      <c r="K492" s="7">
        <f>IF($A492="","",S492*N492)</f>
        <v/>
      </c>
      <c r="L492" s="7">
        <f>IF($A492="","",N492-K492)</f>
        <v/>
      </c>
      <c r="M492" s="7">
        <f>IF($A492="","",L492-F492)</f>
        <v/>
      </c>
      <c r="N492" s="7" t="n"/>
      <c r="Q492" s="11" t="n"/>
      <c r="S492">
        <f>IF($A492="","",IF($W492=1,Settings!$C$6,Settings!$C$7)*1)</f>
        <v/>
      </c>
      <c r="U492">
        <f>IF($A492="","",IF(COUNTIF($A$2:$A492,$A492)=1,1,0))</f>
        <v/>
      </c>
      <c r="V492">
        <f>IF($U492=1,SUMPRODUCT(--($X$2:$X$501&lt;$X492))+1,"")</f>
        <v/>
      </c>
      <c r="W492">
        <f>IF($A492="","",IF(OR($T492=TRUE(),$T492="TRUE"),1,0))</f>
        <v/>
      </c>
      <c r="X492">
        <f>IF($U492=1,IFERROR(IF(VALUE($A492)&lt;100000000,VALUE($A492),1000000000),IFERROR(IF(VALUE(MID($A492,2,20))&lt;100000000,VALUE(MID($A492,2,20)),1000000000),1000000000))+ROW()/100000,"")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IF($A493="","",E493*N493/100)</f>
        <v/>
      </c>
      <c r="J493" s="7" t="n"/>
      <c r="K493" s="7">
        <f>IF($A493="","",S493*N493)</f>
        <v/>
      </c>
      <c r="L493" s="7">
        <f>IF($A493="","",N493-K493)</f>
        <v/>
      </c>
      <c r="M493" s="7">
        <f>IF($A493="","",L493-F493)</f>
        <v/>
      </c>
      <c r="N493" s="7" t="n"/>
      <c r="Q493" s="11" t="n"/>
      <c r="S493">
        <f>IF($A493="","",IF($W493=1,Settings!$C$6,Settings!$C$7)*1)</f>
        <v/>
      </c>
      <c r="U493">
        <f>IF($A493="","",IF(COUNTIF($A$2:$A493,$A493)=1,1,0))</f>
        <v/>
      </c>
      <c r="V493">
        <f>IF($U493=1,SUMPRODUCT(--($X$2:$X$501&lt;$X493))+1,"")</f>
        <v/>
      </c>
      <c r="W493">
        <f>IF($A493="","",IF(OR($T493=TRUE(),$T493="TRUE"),1,0))</f>
        <v/>
      </c>
      <c r="X493">
        <f>IF($U493=1,IFERROR(IF(VALUE($A493)&lt;100000000,VALUE($A493),1000000000),IFERROR(IF(VALUE(MID($A493,2,20))&lt;100000000,VALUE(MID($A493,2,20)),1000000000),1000000000))+ROW()/100000,"")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IF($A494="","",E494*N494/100)</f>
        <v/>
      </c>
      <c r="J494" s="7" t="n"/>
      <c r="K494" s="7">
        <f>IF($A494="","",S494*N494)</f>
        <v/>
      </c>
      <c r="L494" s="7">
        <f>IF($A494="","",N494-K494)</f>
        <v/>
      </c>
      <c r="M494" s="7">
        <f>IF($A494="","",L494-F494)</f>
        <v/>
      </c>
      <c r="N494" s="7" t="n"/>
      <c r="Q494" s="11" t="n"/>
      <c r="S494">
        <f>IF($A494="","",IF($W494=1,Settings!$C$6,Settings!$C$7)*1)</f>
        <v/>
      </c>
      <c r="U494">
        <f>IF($A494="","",IF(COUNTIF($A$2:$A494,$A494)=1,1,0))</f>
        <v/>
      </c>
      <c r="V494">
        <f>IF($U494=1,SUMPRODUCT(--($X$2:$X$501&lt;$X494))+1,"")</f>
        <v/>
      </c>
      <c r="W494">
        <f>IF($A494="","",IF(OR($T494=TRUE(),$T494="TRUE"),1,0))</f>
        <v/>
      </c>
      <c r="X494">
        <f>IF($U494=1,IFERROR(IF(VALUE($A494)&lt;100000000,VALUE($A494),1000000000),IFERROR(IF(VALUE(MID($A494,2,20))&lt;100000000,VALUE(MID($A494,2,20)),1000000000),1000000000))+ROW()/100000,"")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IF($A495="","",E495*N495/100)</f>
        <v/>
      </c>
      <c r="J495" s="7" t="n"/>
      <c r="K495" s="7">
        <f>IF($A495="","",S495*N495)</f>
        <v/>
      </c>
      <c r="L495" s="7">
        <f>IF($A495="","",N495-K495)</f>
        <v/>
      </c>
      <c r="M495" s="7">
        <f>IF($A495="","",L495-F495)</f>
        <v/>
      </c>
      <c r="N495" s="7" t="n"/>
      <c r="Q495" s="11" t="n"/>
      <c r="S495">
        <f>IF($A495="","",IF($W495=1,Settings!$C$6,Settings!$C$7)*1)</f>
        <v/>
      </c>
      <c r="U495">
        <f>IF($A495="","",IF(COUNTIF($A$2:$A495,$A495)=1,1,0))</f>
        <v/>
      </c>
      <c r="V495">
        <f>IF($U495=1,SUMPRODUCT(--($X$2:$X$501&lt;$X495))+1,"")</f>
        <v/>
      </c>
      <c r="W495">
        <f>IF($A495="","",IF(OR($T495=TRUE(),$T495="TRUE"),1,0))</f>
        <v/>
      </c>
      <c r="X495">
        <f>IF($U495=1,IFERROR(IF(VALUE($A495)&lt;100000000,VALUE($A495),1000000000),IFERROR(IF(VALUE(MID($A495,2,20))&lt;100000000,VALUE(MID($A495,2,20)),1000000000),1000000000))+ROW()/100000,"")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IF($A496="","",E496*N496/100)</f>
        <v/>
      </c>
      <c r="J496" s="7" t="n"/>
      <c r="K496" s="7">
        <f>IF($A496="","",S496*N496)</f>
        <v/>
      </c>
      <c r="L496" s="7">
        <f>IF($A496="","",N496-K496)</f>
        <v/>
      </c>
      <c r="M496" s="7">
        <f>IF($A496="","",L496-F496)</f>
        <v/>
      </c>
      <c r="N496" s="7" t="n"/>
      <c r="Q496" s="11" t="n"/>
      <c r="S496">
        <f>IF($A496="","",IF($W496=1,Settings!$C$6,Settings!$C$7)*1)</f>
        <v/>
      </c>
      <c r="U496">
        <f>IF($A496="","",IF(COUNTIF($A$2:$A496,$A496)=1,1,0))</f>
        <v/>
      </c>
      <c r="V496">
        <f>IF($U496=1,SUMPRODUCT(--($X$2:$X$501&lt;$X496))+1,"")</f>
        <v/>
      </c>
      <c r="W496">
        <f>IF($A496="","",IF(OR($T496=TRUE(),$T496="TRUE"),1,0))</f>
        <v/>
      </c>
      <c r="X496">
        <f>IF($U496=1,IFERROR(IF(VALUE($A496)&lt;100000000,VALUE($A496),1000000000),IFERROR(IF(VALUE(MID($A496,2,20))&lt;100000000,VALUE(MID($A496,2,20)),1000000000),1000000000))+ROW()/100000,"")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IF($A497="","",E497*N497/100)</f>
        <v/>
      </c>
      <c r="J497" s="7" t="n"/>
      <c r="K497" s="7">
        <f>IF($A497="","",S497*N497)</f>
        <v/>
      </c>
      <c r="L497" s="7">
        <f>IF($A497="","",N497-K497)</f>
        <v/>
      </c>
      <c r="M497" s="7">
        <f>IF($A497="","",L497-F497)</f>
        <v/>
      </c>
      <c r="N497" s="7" t="n"/>
      <c r="Q497" s="11" t="n"/>
      <c r="S497">
        <f>IF($A497="","",IF($W497=1,Settings!$C$6,Settings!$C$7)*1)</f>
        <v/>
      </c>
      <c r="U497">
        <f>IF($A497="","",IF(COUNTIF($A$2:$A497,$A497)=1,1,0))</f>
        <v/>
      </c>
      <c r="V497">
        <f>IF($U497=1,SUMPRODUCT(--($X$2:$X$501&lt;$X497))+1,"")</f>
        <v/>
      </c>
      <c r="W497">
        <f>IF($A497="","",IF(OR($T497=TRUE(),$T497="TRUE"),1,0))</f>
        <v/>
      </c>
      <c r="X497">
        <f>IF($U497=1,IFERROR(IF(VALUE($A497)&lt;100000000,VALUE($A497),1000000000),IFERROR(IF(VALUE(MID($A497,2,20))&lt;100000000,VALUE(MID($A497,2,20)),1000000000),1000000000))+ROW()/100000,"")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IF($A498="","",E498*N498/100)</f>
        <v/>
      </c>
      <c r="J498" s="7" t="n"/>
      <c r="K498" s="7">
        <f>IF($A498="","",S498*N498)</f>
        <v/>
      </c>
      <c r="L498" s="7">
        <f>IF($A498="","",N498-K498)</f>
        <v/>
      </c>
      <c r="M498" s="7">
        <f>IF($A498="","",L498-F498)</f>
        <v/>
      </c>
      <c r="N498" s="7" t="n"/>
      <c r="Q498" s="11" t="n"/>
      <c r="S498">
        <f>IF($A498="","",IF($W498=1,Settings!$C$6,Settings!$C$7)*1)</f>
        <v/>
      </c>
      <c r="U498">
        <f>IF($A498="","",IF(COUNTIF($A$2:$A498,$A498)=1,1,0))</f>
        <v/>
      </c>
      <c r="V498">
        <f>IF($U498=1,SUMPRODUCT(--($X$2:$X$501&lt;$X498))+1,"")</f>
        <v/>
      </c>
      <c r="W498">
        <f>IF($A498="","",IF(OR($T498=TRUE(),$T498="TRUE"),1,0))</f>
        <v/>
      </c>
      <c r="X498">
        <f>IF($U498=1,IFERROR(IF(VALUE($A498)&lt;100000000,VALUE($A498),1000000000),IFERROR(IF(VALUE(MID($A498,2,20))&lt;100000000,VALUE(MID($A498,2,20)),1000000000),1000000000))+ROW()/100000,"")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IF($A499="","",E499*N499/100)</f>
        <v/>
      </c>
      <c r="J499" s="7" t="n"/>
      <c r="K499" s="7">
        <f>IF($A499="","",S499*N499)</f>
        <v/>
      </c>
      <c r="L499" s="7">
        <f>IF($A499="","",N499-K499)</f>
        <v/>
      </c>
      <c r="M499" s="7">
        <f>IF($A499="","",L499-F499)</f>
        <v/>
      </c>
      <c r="N499" s="7" t="n"/>
      <c r="Q499" s="11" t="n"/>
      <c r="S499">
        <f>IF($A499="","",IF($W499=1,Settings!$C$6,Settings!$C$7)*1)</f>
        <v/>
      </c>
      <c r="U499">
        <f>IF($A499="","",IF(COUNTIF($A$2:$A499,$A499)=1,1,0))</f>
        <v/>
      </c>
      <c r="V499">
        <f>IF($U499=1,SUMPRODUCT(--($X$2:$X$501&lt;$X499))+1,"")</f>
        <v/>
      </c>
      <c r="W499">
        <f>IF($A499="","",IF(OR($T499=TRUE(),$T499="TRUE"),1,0))</f>
        <v/>
      </c>
      <c r="X499">
        <f>IF($U499=1,IFERROR(IF(VALUE($A499)&lt;100000000,VALUE($A499),1000000000),IFERROR(IF(VALUE(MID($A499,2,20))&lt;100000000,VALUE(MID($A499,2,20)),1000000000),1000000000))+ROW()/100000,"")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IF($A500="","",E500*N500/100)</f>
        <v/>
      </c>
      <c r="J500" s="7" t="n"/>
      <c r="K500" s="7">
        <f>IF($A500="","",S500*N500)</f>
        <v/>
      </c>
      <c r="L500" s="7">
        <f>IF($A500="","",N500-K500)</f>
        <v/>
      </c>
      <c r="M500" s="7">
        <f>IF($A500="","",L500-F500)</f>
        <v/>
      </c>
      <c r="N500" s="7" t="n"/>
      <c r="Q500" s="11" t="n"/>
      <c r="S500">
        <f>IF($A500="","",IF($W500=1,Settings!$C$6,Settings!$C$7)*1)</f>
        <v/>
      </c>
      <c r="U500">
        <f>IF($A500="","",IF(COUNTIF($A$2:$A500,$A500)=1,1,0))</f>
        <v/>
      </c>
      <c r="V500">
        <f>IF($U500=1,SUMPRODUCT(--($X$2:$X$501&lt;$X500))+1,"")</f>
        <v/>
      </c>
      <c r="W500">
        <f>IF($A500="","",IF(OR($T500=TRUE(),$T500="TRUE"),1,0))</f>
        <v/>
      </c>
      <c r="X500">
        <f>IF($U500=1,IFERROR(IF(VALUE($A500)&lt;100000000,VALUE($A500),1000000000),IFERROR(IF(VALUE(MID($A500,2,20))&lt;100000000,VALUE(MID($A500,2,20)),1000000000),1000000000))+ROW()/100000,"")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IF($A501="","",E501*N501/100)</f>
        <v/>
      </c>
      <c r="J501" s="7" t="n"/>
      <c r="K501" s="7">
        <f>IF($A501="","",S501*N501)</f>
        <v/>
      </c>
      <c r="L501" s="7">
        <f>IF($A501="","",N501-K501)</f>
        <v/>
      </c>
      <c r="M501" s="7">
        <f>IF($A501="","",L501-F501)</f>
        <v/>
      </c>
      <c r="N501" s="7" t="n"/>
      <c r="Q501" s="11" t="n"/>
      <c r="S501">
        <f>IF($A501="","",IF($W501=1,Settings!$C$6,Settings!$C$7)*1)</f>
        <v/>
      </c>
      <c r="U501">
        <f>IF($A501="","",IF(COUNTIF($A$2:$A501,$A501)=1,1,0))</f>
        <v/>
      </c>
      <c r="V501">
        <f>IF($U501=1,SUMPRODUCT(--($X$2:$X$501&lt;$X501))+1,"")</f>
        <v/>
      </c>
      <c r="W501">
        <f>IF($A501="","",IF(OR($T501=TRUE(),$T501="TRUE"),1,0))</f>
        <v/>
      </c>
      <c r="X501">
        <f>IF($U501=1,IFERROR(IF(VALUE($A501)&lt;100000000,VALUE($A501),1000000000),IFERROR(IF(VALUE(MID($A501,2,20))&lt;100000000,VALUE(MID($A501,2,20)),1000000000),1000000000))+ROW()/100000,"")</f>
        <v/>
      </c>
    </row>
  </sheetData>
  <autoFilter ref="A1:X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3" customWidth="1" min="8" max="8"/>
    <col width="17" customWidth="1" min="9" max="9"/>
    <col width="2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9" t="inlineStr">
        <is>
          <t>Pos Reference</t>
        </is>
      </c>
      <c r="B1" s="8" t="inlineStr">
        <is>
          <t>Invoice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Payment Type</t>
        </is>
      </c>
      <c r="I1" s="9" t="inlineStr">
        <is>
          <t>Create Date</t>
        </is>
      </c>
      <c r="J1" s="9" t="inlineStr">
        <is>
          <t>Order Reference</t>
        </is>
      </c>
      <c r="K1" s="9" t="inlineStr">
        <is>
          <t>IMP %</t>
        </is>
      </c>
      <c r="L1" s="9" t="inlineStr">
        <is>
          <t>imp</t>
        </is>
      </c>
      <c r="M1" s="9" t="inlineStr">
        <is>
          <t>imp val</t>
        </is>
      </c>
      <c r="N1" s="9" t="inlineStr">
        <is>
          <t>LOC %</t>
        </is>
      </c>
      <c r="O1" s="9" t="inlineStr">
        <is>
          <t>loc</t>
        </is>
      </c>
      <c r="P1" s="9" t="inlineStr">
        <is>
          <t>loc val</t>
        </is>
      </c>
      <c r="Q1" s="9" t="inlineStr">
        <is>
          <t>total val</t>
        </is>
      </c>
      <c r="R1" s="9" t="inlineStr">
        <is>
          <t>subtotal</t>
        </is>
      </c>
      <c r="S1" s="9" t="inlineStr">
        <is>
          <t>Grand Total</t>
        </is>
      </c>
      <c r="T1" s="9" t="inlineStr">
        <is>
          <t>net</t>
        </is>
      </c>
      <c r="U1" s="10" t="inlineStr">
        <is>
          <t>Src Row (helper)</t>
        </is>
      </c>
    </row>
    <row r="2">
      <c r="A2">
        <f>IF($U2="","",INDEX('Per Line'!$A$2:$A$501,$U2)&amp;"")</f>
        <v/>
      </c>
      <c r="B2" s="12" t="n"/>
      <c r="C2">
        <f>IF($U2="","",INDEX('Per Line'!$B$2:$B$501,$U2)&amp;"")</f>
        <v/>
      </c>
      <c r="D2">
        <f>IF($U2="","",INDEX('Per Line'!$C$2:$C$501,$U2)&amp;"")</f>
        <v/>
      </c>
      <c r="E2">
        <f>IF($U2="","",INDEX('Per Line'!$D$2:$D$501,$U2)&amp;"")</f>
        <v/>
      </c>
      <c r="F2">
        <f>IF($U2="","",INDEX('Per Line'!$E$2:$E$501,$U2))</f>
        <v/>
      </c>
      <c r="G2" s="7">
        <f>IF($U2="","",F2*S2/100)</f>
        <v/>
      </c>
      <c r="H2">
        <f>IF($U2="","",INDEX('Per Line'!$O$2:$O$501,$U2)&amp;"")</f>
        <v/>
      </c>
      <c r="I2" s="11">
        <f>IF($U2="","",INDEX('Per Line'!$Q$2:$Q$501,$U2))</f>
        <v/>
      </c>
      <c r="J2">
        <f>IF($U2="","",INDEX('Per Line'!$R$2:$R$501,$U2)&amp;"")</f>
        <v/>
      </c>
      <c r="K2">
        <f>IF($U2="","",Settings!$C$7)</f>
        <v/>
      </c>
      <c r="L2" s="7">
        <f>IF($U2="","",SUMIFS('Per Line'!$N$2:$N$501,'Per Line'!$A$2:$A$501,$A2,'Per Line'!$W$2:$W$501,0))</f>
        <v/>
      </c>
      <c r="M2" s="7">
        <f>IF($U2="","",L2*K2)</f>
        <v/>
      </c>
      <c r="N2">
        <f>IF($U2="","",Settings!$C$6)</f>
        <v/>
      </c>
      <c r="O2" s="7">
        <f>IF($U2="","",SUMIFS('Per Line'!$N$2:$N$501,'Per Line'!$A$2:$A$501,$A2,'Per Line'!$W$2:$W$501,1))</f>
        <v/>
      </c>
      <c r="P2" s="7">
        <f>IF($U2="","",O2*N2)</f>
        <v/>
      </c>
      <c r="Q2" s="7">
        <f>IF($U2="","",P2+M2)</f>
        <v/>
      </c>
      <c r="R2" s="7">
        <f>IF($U2="","",S2-Q2)</f>
        <v/>
      </c>
      <c r="S2" s="7">
        <f>IF($U2="","",L2+O2)</f>
        <v/>
      </c>
      <c r="T2" s="7">
        <f>IF($U2="","",S2-Q2-G2)</f>
        <v/>
      </c>
      <c r="U2" s="13">
        <f>IF(ROWS($U$2:$U2)&lt;=MAX('Per Line'!$V$2:$V$501),MATCH(ROWS($U$2:$U2),'Per Line'!$V$2:$V$501,0),"")</f>
        <v/>
      </c>
    </row>
    <row r="3">
      <c r="A3">
        <f>IF($U3="","",INDEX('Per Line'!$A$2:$A$501,$U3)&amp;"")</f>
        <v/>
      </c>
      <c r="B3" s="12" t="n"/>
      <c r="C3">
        <f>IF($U3="","",INDEX('Per Line'!$B$2:$B$501,$U3)&amp;"")</f>
        <v/>
      </c>
      <c r="D3">
        <f>IF($U3="","",INDEX('Per Line'!$C$2:$C$501,$U3)&amp;"")</f>
        <v/>
      </c>
      <c r="E3">
        <f>IF($U3="","",INDEX('Per Line'!$D$2:$D$501,$U3)&amp;"")</f>
        <v/>
      </c>
      <c r="F3">
        <f>IF($U3="","",INDEX('Per Line'!$E$2:$E$501,$U3))</f>
        <v/>
      </c>
      <c r="G3" s="7">
        <f>IF($U3="","",F3*S3/100)</f>
        <v/>
      </c>
      <c r="H3">
        <f>IF($U3="","",INDEX('Per Line'!$O$2:$O$501,$U3)&amp;"")</f>
        <v/>
      </c>
      <c r="I3" s="11">
        <f>IF($U3="","",INDEX('Per Line'!$Q$2:$Q$501,$U3))</f>
        <v/>
      </c>
      <c r="J3">
        <f>IF($U3="","",INDEX('Per Line'!$R$2:$R$501,$U3)&amp;"")</f>
        <v/>
      </c>
      <c r="K3">
        <f>IF($U3="","",Settings!$C$7)</f>
        <v/>
      </c>
      <c r="L3" s="7">
        <f>IF($U3="","",SUMIFS('Per Line'!$N$2:$N$501,'Per Line'!$A$2:$A$501,$A3,'Per Line'!$W$2:$W$501,0))</f>
        <v/>
      </c>
      <c r="M3" s="7">
        <f>IF($U3="","",L3*K3)</f>
        <v/>
      </c>
      <c r="N3">
        <f>IF($U3="","",Settings!$C$6)</f>
        <v/>
      </c>
      <c r="O3" s="7">
        <f>IF($U3="","",SUMIFS('Per Line'!$N$2:$N$501,'Per Line'!$A$2:$A$501,$A3,'Per Line'!$W$2:$W$501,1))</f>
        <v/>
      </c>
      <c r="P3" s="7">
        <f>IF($U3="","",O3*N3)</f>
        <v/>
      </c>
      <c r="Q3" s="7">
        <f>IF($U3="","",P3+M3)</f>
        <v/>
      </c>
      <c r="R3" s="7">
        <f>IF($U3="","",S3-Q3)</f>
        <v/>
      </c>
      <c r="S3" s="7">
        <f>IF($U3="","",L3+O3)</f>
        <v/>
      </c>
      <c r="T3" s="7">
        <f>IF($U3="","",S3-Q3-G3)</f>
        <v/>
      </c>
      <c r="U3" s="13">
        <f>IF(ROWS($U$2:$U3)&lt;=MAX('Per Line'!$V$2:$V$501),MATCH(ROWS($U$2:$U3),'Per Line'!$V$2:$V$501,0),"")</f>
        <v/>
      </c>
    </row>
    <row r="4">
      <c r="A4">
        <f>IF($U4="","",INDEX('Per Line'!$A$2:$A$501,$U4)&amp;"")</f>
        <v/>
      </c>
      <c r="B4" s="12" t="n"/>
      <c r="C4">
        <f>IF($U4="","",INDEX('Per Line'!$B$2:$B$501,$U4)&amp;"")</f>
        <v/>
      </c>
      <c r="D4">
        <f>IF($U4="","",INDEX('Per Line'!$C$2:$C$501,$U4)&amp;"")</f>
        <v/>
      </c>
      <c r="E4">
        <f>IF($U4="","",INDEX('Per Line'!$D$2:$D$501,$U4)&amp;"")</f>
        <v/>
      </c>
      <c r="F4">
        <f>IF($U4="","",INDEX('Per Line'!$E$2:$E$501,$U4))</f>
        <v/>
      </c>
      <c r="G4" s="7">
        <f>IF($U4="","",F4*S4/100)</f>
        <v/>
      </c>
      <c r="H4">
        <f>IF($U4="","",INDEX('Per Line'!$O$2:$O$501,$U4)&amp;"")</f>
        <v/>
      </c>
      <c r="I4" s="11">
        <f>IF($U4="","",INDEX('Per Line'!$Q$2:$Q$501,$U4))</f>
        <v/>
      </c>
      <c r="J4">
        <f>IF($U4="","",INDEX('Per Line'!$R$2:$R$501,$U4)&amp;"")</f>
        <v/>
      </c>
      <c r="K4">
        <f>IF($U4="","",Settings!$C$7)</f>
        <v/>
      </c>
      <c r="L4" s="7">
        <f>IF($U4="","",SUMIFS('Per Line'!$N$2:$N$501,'Per Line'!$A$2:$A$501,$A4,'Per Line'!$W$2:$W$501,0))</f>
        <v/>
      </c>
      <c r="M4" s="7">
        <f>IF($U4="","",L4*K4)</f>
        <v/>
      </c>
      <c r="N4">
        <f>IF($U4="","",Settings!$C$6)</f>
        <v/>
      </c>
      <c r="O4" s="7">
        <f>IF($U4="","",SUMIFS('Per Line'!$N$2:$N$501,'Per Line'!$A$2:$A$501,$A4,'Per Line'!$W$2:$W$501,1))</f>
        <v/>
      </c>
      <c r="P4" s="7">
        <f>IF($U4="","",O4*N4)</f>
        <v/>
      </c>
      <c r="Q4" s="7">
        <f>IF($U4="","",P4+M4)</f>
        <v/>
      </c>
      <c r="R4" s="7">
        <f>IF($U4="","",S4-Q4)</f>
        <v/>
      </c>
      <c r="S4" s="7">
        <f>IF($U4="","",L4+O4)</f>
        <v/>
      </c>
      <c r="T4" s="7">
        <f>IF($U4="","",S4-Q4-G4)</f>
        <v/>
      </c>
      <c r="U4" s="13">
        <f>IF(ROWS($U$2:$U4)&lt;=MAX('Per Line'!$V$2:$V$501),MATCH(ROWS($U$2:$U4),'Per Line'!$V$2:$V$501,0),"")</f>
        <v/>
      </c>
    </row>
    <row r="5">
      <c r="A5">
        <f>IF($U5="","",INDEX('Per Line'!$A$2:$A$501,$U5)&amp;"")</f>
        <v/>
      </c>
      <c r="B5" s="12" t="n"/>
      <c r="C5">
        <f>IF($U5="","",INDEX('Per Line'!$B$2:$B$501,$U5)&amp;"")</f>
        <v/>
      </c>
      <c r="D5">
        <f>IF($U5="","",INDEX('Per Line'!$C$2:$C$501,$U5)&amp;"")</f>
        <v/>
      </c>
      <c r="E5">
        <f>IF($U5="","",INDEX('Per Line'!$D$2:$D$501,$U5)&amp;"")</f>
        <v/>
      </c>
      <c r="F5">
        <f>IF($U5="","",INDEX('Per Line'!$E$2:$E$501,$U5))</f>
        <v/>
      </c>
      <c r="G5" s="7">
        <f>IF($U5="","",F5*S5/100)</f>
        <v/>
      </c>
      <c r="H5">
        <f>IF($U5="","",INDEX('Per Line'!$O$2:$O$501,$U5)&amp;"")</f>
        <v/>
      </c>
      <c r="I5" s="11">
        <f>IF($U5="","",INDEX('Per Line'!$Q$2:$Q$501,$U5))</f>
        <v/>
      </c>
      <c r="J5">
        <f>IF($U5="","",INDEX('Per Line'!$R$2:$R$501,$U5)&amp;"")</f>
        <v/>
      </c>
      <c r="K5">
        <f>IF($U5="","",Settings!$C$7)</f>
        <v/>
      </c>
      <c r="L5" s="7">
        <f>IF($U5="","",SUMIFS('Per Line'!$N$2:$N$501,'Per Line'!$A$2:$A$501,$A5,'Per Line'!$W$2:$W$501,0))</f>
        <v/>
      </c>
      <c r="M5" s="7">
        <f>IF($U5="","",L5*K5)</f>
        <v/>
      </c>
      <c r="N5">
        <f>IF($U5="","",Settings!$C$6)</f>
        <v/>
      </c>
      <c r="O5" s="7">
        <f>IF($U5="","",SUMIFS('Per Line'!$N$2:$N$501,'Per Line'!$A$2:$A$501,$A5,'Per Line'!$W$2:$W$501,1))</f>
        <v/>
      </c>
      <c r="P5" s="7">
        <f>IF($U5="","",O5*N5)</f>
        <v/>
      </c>
      <c r="Q5" s="7">
        <f>IF($U5="","",P5+M5)</f>
        <v/>
      </c>
      <c r="R5" s="7">
        <f>IF($U5="","",S5-Q5)</f>
        <v/>
      </c>
      <c r="S5" s="7">
        <f>IF($U5="","",L5+O5)</f>
        <v/>
      </c>
      <c r="T5" s="7">
        <f>IF($U5="","",S5-Q5-G5)</f>
        <v/>
      </c>
      <c r="U5" s="13">
        <f>IF(ROWS($U$2:$U5)&lt;=MAX('Per Line'!$V$2:$V$501),MATCH(ROWS($U$2:$U5),'Per Line'!$V$2:$V$501,0),"")</f>
        <v/>
      </c>
    </row>
    <row r="6">
      <c r="A6">
        <f>IF($U6="","",INDEX('Per Line'!$A$2:$A$501,$U6)&amp;"")</f>
        <v/>
      </c>
      <c r="B6" s="12" t="n"/>
      <c r="C6">
        <f>IF($U6="","",INDEX('Per Line'!$B$2:$B$501,$U6)&amp;"")</f>
        <v/>
      </c>
      <c r="D6">
        <f>IF($U6="","",INDEX('Per Line'!$C$2:$C$501,$U6)&amp;"")</f>
        <v/>
      </c>
      <c r="E6">
        <f>IF($U6="","",INDEX('Per Line'!$D$2:$D$501,$U6)&amp;"")</f>
        <v/>
      </c>
      <c r="F6">
        <f>IF($U6="","",INDEX('Per Line'!$E$2:$E$501,$U6))</f>
        <v/>
      </c>
      <c r="G6" s="7">
        <f>IF($U6="","",F6*S6/100)</f>
        <v/>
      </c>
      <c r="H6">
        <f>IF($U6="","",INDEX('Per Line'!$O$2:$O$501,$U6)&amp;"")</f>
        <v/>
      </c>
      <c r="I6" s="11">
        <f>IF($U6="","",INDEX('Per Line'!$Q$2:$Q$501,$U6))</f>
        <v/>
      </c>
      <c r="J6">
        <f>IF($U6="","",INDEX('Per Line'!$R$2:$R$501,$U6)&amp;"")</f>
        <v/>
      </c>
      <c r="K6">
        <f>IF($U6="","",Settings!$C$7)</f>
        <v/>
      </c>
      <c r="L6" s="7">
        <f>IF($U6="","",SUMIFS('Per Line'!$N$2:$N$501,'Per Line'!$A$2:$A$501,$A6,'Per Line'!$W$2:$W$501,0))</f>
        <v/>
      </c>
      <c r="M6" s="7">
        <f>IF($U6="","",L6*K6)</f>
        <v/>
      </c>
      <c r="N6">
        <f>IF($U6="","",Settings!$C$6)</f>
        <v/>
      </c>
      <c r="O6" s="7">
        <f>IF($U6="","",SUMIFS('Per Line'!$N$2:$N$501,'Per Line'!$A$2:$A$501,$A6,'Per Line'!$W$2:$W$501,1))</f>
        <v/>
      </c>
      <c r="P6" s="7">
        <f>IF($U6="","",O6*N6)</f>
        <v/>
      </c>
      <c r="Q6" s="7">
        <f>IF($U6="","",P6+M6)</f>
        <v/>
      </c>
      <c r="R6" s="7">
        <f>IF($U6="","",S6-Q6)</f>
        <v/>
      </c>
      <c r="S6" s="7">
        <f>IF($U6="","",L6+O6)</f>
        <v/>
      </c>
      <c r="T6" s="7">
        <f>IF($U6="","",S6-Q6-G6)</f>
        <v/>
      </c>
      <c r="U6" s="13">
        <f>IF(ROWS($U$2:$U6)&lt;=MAX('Per Line'!$V$2:$V$501),MATCH(ROWS($U$2:$U6),'Per Line'!$V$2:$V$501,0),"")</f>
        <v/>
      </c>
    </row>
    <row r="7">
      <c r="A7">
        <f>IF($U7="","",INDEX('Per Line'!$A$2:$A$501,$U7)&amp;"")</f>
        <v/>
      </c>
      <c r="B7" s="12" t="n"/>
      <c r="C7">
        <f>IF($U7="","",INDEX('Per Line'!$B$2:$B$501,$U7)&amp;"")</f>
        <v/>
      </c>
      <c r="D7">
        <f>IF($U7="","",INDEX('Per Line'!$C$2:$C$501,$U7)&amp;"")</f>
        <v/>
      </c>
      <c r="E7">
        <f>IF($U7="","",INDEX('Per Line'!$D$2:$D$501,$U7)&amp;"")</f>
        <v/>
      </c>
      <c r="F7">
        <f>IF($U7="","",INDEX('Per Line'!$E$2:$E$501,$U7))</f>
        <v/>
      </c>
      <c r="G7" s="7">
        <f>IF($U7="","",F7*S7/100)</f>
        <v/>
      </c>
      <c r="H7">
        <f>IF($U7="","",INDEX('Per Line'!$O$2:$O$501,$U7)&amp;"")</f>
        <v/>
      </c>
      <c r="I7" s="11">
        <f>IF($U7="","",INDEX('Per Line'!$Q$2:$Q$501,$U7))</f>
        <v/>
      </c>
      <c r="J7">
        <f>IF($U7="","",INDEX('Per Line'!$R$2:$R$501,$U7)&amp;"")</f>
        <v/>
      </c>
      <c r="K7">
        <f>IF($U7="","",Settings!$C$7)</f>
        <v/>
      </c>
      <c r="L7" s="7">
        <f>IF($U7="","",SUMIFS('Per Line'!$N$2:$N$501,'Per Line'!$A$2:$A$501,$A7,'Per Line'!$W$2:$W$501,0))</f>
        <v/>
      </c>
      <c r="M7" s="7">
        <f>IF($U7="","",L7*K7)</f>
        <v/>
      </c>
      <c r="N7">
        <f>IF($U7="","",Settings!$C$6)</f>
        <v/>
      </c>
      <c r="O7" s="7">
        <f>IF($U7="","",SUMIFS('Per Line'!$N$2:$N$501,'Per Line'!$A$2:$A$501,$A7,'Per Line'!$W$2:$W$501,1))</f>
        <v/>
      </c>
      <c r="P7" s="7">
        <f>IF($U7="","",O7*N7)</f>
        <v/>
      </c>
      <c r="Q7" s="7">
        <f>IF($U7="","",P7+M7)</f>
        <v/>
      </c>
      <c r="R7" s="7">
        <f>IF($U7="","",S7-Q7)</f>
        <v/>
      </c>
      <c r="S7" s="7">
        <f>IF($U7="","",L7+O7)</f>
        <v/>
      </c>
      <c r="T7" s="7">
        <f>IF($U7="","",S7-Q7-G7)</f>
        <v/>
      </c>
      <c r="U7" s="13">
        <f>IF(ROWS($U$2:$U7)&lt;=MAX('Per Line'!$V$2:$V$501),MATCH(ROWS($U$2:$U7),'Per Line'!$V$2:$V$501,0),"")</f>
        <v/>
      </c>
    </row>
    <row r="8">
      <c r="A8">
        <f>IF($U8="","",INDEX('Per Line'!$A$2:$A$501,$U8)&amp;"")</f>
        <v/>
      </c>
      <c r="B8" s="12" t="n"/>
      <c r="C8">
        <f>IF($U8="","",INDEX('Per Line'!$B$2:$B$501,$U8)&amp;"")</f>
        <v/>
      </c>
      <c r="D8">
        <f>IF($U8="","",INDEX('Per Line'!$C$2:$C$501,$U8)&amp;"")</f>
        <v/>
      </c>
      <c r="E8">
        <f>IF($U8="","",INDEX('Per Line'!$D$2:$D$501,$U8)&amp;"")</f>
        <v/>
      </c>
      <c r="F8">
        <f>IF($U8="","",INDEX('Per Line'!$E$2:$E$501,$U8))</f>
        <v/>
      </c>
      <c r="G8" s="7">
        <f>IF($U8="","",F8*S8/100)</f>
        <v/>
      </c>
      <c r="H8">
        <f>IF($U8="","",INDEX('Per Line'!$O$2:$O$501,$U8)&amp;"")</f>
        <v/>
      </c>
      <c r="I8" s="11">
        <f>IF($U8="","",INDEX('Per Line'!$Q$2:$Q$501,$U8))</f>
        <v/>
      </c>
      <c r="J8">
        <f>IF($U8="","",INDEX('Per Line'!$R$2:$R$501,$U8)&amp;"")</f>
        <v/>
      </c>
      <c r="K8">
        <f>IF($U8="","",Settings!$C$7)</f>
        <v/>
      </c>
      <c r="L8" s="7">
        <f>IF($U8="","",SUMIFS('Per Line'!$N$2:$N$501,'Per Line'!$A$2:$A$501,$A8,'Per Line'!$W$2:$W$501,0))</f>
        <v/>
      </c>
      <c r="M8" s="7">
        <f>IF($U8="","",L8*K8)</f>
        <v/>
      </c>
      <c r="N8">
        <f>IF($U8="","",Settings!$C$6)</f>
        <v/>
      </c>
      <c r="O8" s="7">
        <f>IF($U8="","",SUMIFS('Per Line'!$N$2:$N$501,'Per Line'!$A$2:$A$501,$A8,'Per Line'!$W$2:$W$501,1))</f>
        <v/>
      </c>
      <c r="P8" s="7">
        <f>IF($U8="","",O8*N8)</f>
        <v/>
      </c>
      <c r="Q8" s="7">
        <f>IF($U8="","",P8+M8)</f>
        <v/>
      </c>
      <c r="R8" s="7">
        <f>IF($U8="","",S8-Q8)</f>
        <v/>
      </c>
      <c r="S8" s="7">
        <f>IF($U8="","",L8+O8)</f>
        <v/>
      </c>
      <c r="T8" s="7">
        <f>IF($U8="","",S8-Q8-G8)</f>
        <v/>
      </c>
      <c r="U8" s="13">
        <f>IF(ROWS($U$2:$U8)&lt;=MAX('Per Line'!$V$2:$V$501),MATCH(ROWS($U$2:$U8),'Per Line'!$V$2:$V$501,0),"")</f>
        <v/>
      </c>
    </row>
    <row r="9">
      <c r="A9">
        <f>IF($U9="","",INDEX('Per Line'!$A$2:$A$501,$U9)&amp;"")</f>
        <v/>
      </c>
      <c r="B9" s="12" t="n"/>
      <c r="C9">
        <f>IF($U9="","",INDEX('Per Line'!$B$2:$B$501,$U9)&amp;"")</f>
        <v/>
      </c>
      <c r="D9">
        <f>IF($U9="","",INDEX('Per Line'!$C$2:$C$501,$U9)&amp;"")</f>
        <v/>
      </c>
      <c r="E9">
        <f>IF($U9="","",INDEX('Per Line'!$D$2:$D$501,$U9)&amp;"")</f>
        <v/>
      </c>
      <c r="F9">
        <f>IF($U9="","",INDEX('Per Line'!$E$2:$E$501,$U9))</f>
        <v/>
      </c>
      <c r="G9" s="7">
        <f>IF($U9="","",F9*S9/100)</f>
        <v/>
      </c>
      <c r="H9">
        <f>IF($U9="","",INDEX('Per Line'!$O$2:$O$501,$U9)&amp;"")</f>
        <v/>
      </c>
      <c r="I9" s="11">
        <f>IF($U9="","",INDEX('Per Line'!$Q$2:$Q$501,$U9))</f>
        <v/>
      </c>
      <c r="J9">
        <f>IF($U9="","",INDEX('Per Line'!$R$2:$R$501,$U9)&amp;"")</f>
        <v/>
      </c>
      <c r="K9">
        <f>IF($U9="","",Settings!$C$7)</f>
        <v/>
      </c>
      <c r="L9" s="7">
        <f>IF($U9="","",SUMIFS('Per Line'!$N$2:$N$501,'Per Line'!$A$2:$A$501,$A9,'Per Line'!$W$2:$W$501,0))</f>
        <v/>
      </c>
      <c r="M9" s="7">
        <f>IF($U9="","",L9*K9)</f>
        <v/>
      </c>
      <c r="N9">
        <f>IF($U9="","",Settings!$C$6)</f>
        <v/>
      </c>
      <c r="O9" s="7">
        <f>IF($U9="","",SUMIFS('Per Line'!$N$2:$N$501,'Per Line'!$A$2:$A$501,$A9,'Per Line'!$W$2:$W$501,1))</f>
        <v/>
      </c>
      <c r="P9" s="7">
        <f>IF($U9="","",O9*N9)</f>
        <v/>
      </c>
      <c r="Q9" s="7">
        <f>IF($U9="","",P9+M9)</f>
        <v/>
      </c>
      <c r="R9" s="7">
        <f>IF($U9="","",S9-Q9)</f>
        <v/>
      </c>
      <c r="S9" s="7">
        <f>IF($U9="","",L9+O9)</f>
        <v/>
      </c>
      <c r="T9" s="7">
        <f>IF($U9="","",S9-Q9-G9)</f>
        <v/>
      </c>
      <c r="U9" s="13">
        <f>IF(ROWS($U$2:$U9)&lt;=MAX('Per Line'!$V$2:$V$501),MATCH(ROWS($U$2:$U9),'Per Line'!$V$2:$V$501,0),"")</f>
        <v/>
      </c>
    </row>
    <row r="10">
      <c r="A10">
        <f>IF($U10="","",INDEX('Per Line'!$A$2:$A$501,$U10)&amp;"")</f>
        <v/>
      </c>
      <c r="B10" s="12" t="n"/>
      <c r="C10">
        <f>IF($U10="","",INDEX('Per Line'!$B$2:$B$501,$U10)&amp;"")</f>
        <v/>
      </c>
      <c r="D10">
        <f>IF($U10="","",INDEX('Per Line'!$C$2:$C$501,$U10)&amp;"")</f>
        <v/>
      </c>
      <c r="E10">
        <f>IF($U10="","",INDEX('Per Line'!$D$2:$D$501,$U10)&amp;"")</f>
        <v/>
      </c>
      <c r="F10">
        <f>IF($U10="","",INDEX('Per Line'!$E$2:$E$501,$U10))</f>
        <v/>
      </c>
      <c r="G10" s="7">
        <f>IF($U10="","",F10*S10/100)</f>
        <v/>
      </c>
      <c r="H10">
        <f>IF($U10="","",INDEX('Per Line'!$O$2:$O$501,$U10)&amp;"")</f>
        <v/>
      </c>
      <c r="I10" s="11">
        <f>IF($U10="","",INDEX('Per Line'!$Q$2:$Q$501,$U10))</f>
        <v/>
      </c>
      <c r="J10">
        <f>IF($U10="","",INDEX('Per Line'!$R$2:$R$501,$U10)&amp;"")</f>
        <v/>
      </c>
      <c r="K10">
        <f>IF($U10="","",Settings!$C$7)</f>
        <v/>
      </c>
      <c r="L10" s="7">
        <f>IF($U10="","",SUMIFS('Per Line'!$N$2:$N$501,'Per Line'!$A$2:$A$501,$A10,'Per Line'!$W$2:$W$501,0))</f>
        <v/>
      </c>
      <c r="M10" s="7">
        <f>IF($U10="","",L10*K10)</f>
        <v/>
      </c>
      <c r="N10">
        <f>IF($U10="","",Settings!$C$6)</f>
        <v/>
      </c>
      <c r="O10" s="7">
        <f>IF($U10="","",SUMIFS('Per Line'!$N$2:$N$501,'Per Line'!$A$2:$A$501,$A10,'Per Line'!$W$2:$W$501,1))</f>
        <v/>
      </c>
      <c r="P10" s="7">
        <f>IF($U10="","",O10*N10)</f>
        <v/>
      </c>
      <c r="Q10" s="7">
        <f>IF($U10="","",P10+M10)</f>
        <v/>
      </c>
      <c r="R10" s="7">
        <f>IF($U10="","",S10-Q10)</f>
        <v/>
      </c>
      <c r="S10" s="7">
        <f>IF($U10="","",L10+O10)</f>
        <v/>
      </c>
      <c r="T10" s="7">
        <f>IF($U10="","",S10-Q10-G10)</f>
        <v/>
      </c>
      <c r="U10" s="13">
        <f>IF(ROWS($U$2:$U10)&lt;=MAX('Per Line'!$V$2:$V$501),MATCH(ROWS($U$2:$U10),'Per Line'!$V$2:$V$501,0),"")</f>
        <v/>
      </c>
    </row>
    <row r="11">
      <c r="A11">
        <f>IF($U11="","",INDEX('Per Line'!$A$2:$A$501,$U11)&amp;"")</f>
        <v/>
      </c>
      <c r="B11" s="12" t="n"/>
      <c r="C11">
        <f>IF($U11="","",INDEX('Per Line'!$B$2:$B$501,$U11)&amp;"")</f>
        <v/>
      </c>
      <c r="D11">
        <f>IF($U11="","",INDEX('Per Line'!$C$2:$C$501,$U11)&amp;"")</f>
        <v/>
      </c>
      <c r="E11">
        <f>IF($U11="","",INDEX('Per Line'!$D$2:$D$501,$U11)&amp;"")</f>
        <v/>
      </c>
      <c r="F11">
        <f>IF($U11="","",INDEX('Per Line'!$E$2:$E$501,$U11))</f>
        <v/>
      </c>
      <c r="G11" s="7">
        <f>IF($U11="","",F11*S11/100)</f>
        <v/>
      </c>
      <c r="H11">
        <f>IF($U11="","",INDEX('Per Line'!$O$2:$O$501,$U11)&amp;"")</f>
        <v/>
      </c>
      <c r="I11" s="11">
        <f>IF($U11="","",INDEX('Per Line'!$Q$2:$Q$501,$U11))</f>
        <v/>
      </c>
      <c r="J11">
        <f>IF($U11="","",INDEX('Per Line'!$R$2:$R$501,$U11)&amp;"")</f>
        <v/>
      </c>
      <c r="K11">
        <f>IF($U11="","",Settings!$C$7)</f>
        <v/>
      </c>
      <c r="L11" s="7">
        <f>IF($U11="","",SUMIFS('Per Line'!$N$2:$N$501,'Per Line'!$A$2:$A$501,$A11,'Per Line'!$W$2:$W$501,0))</f>
        <v/>
      </c>
      <c r="M11" s="7">
        <f>IF($U11="","",L11*K11)</f>
        <v/>
      </c>
      <c r="N11">
        <f>IF($U11="","",Settings!$C$6)</f>
        <v/>
      </c>
      <c r="O11" s="7">
        <f>IF($U11="","",SUMIFS('Per Line'!$N$2:$N$501,'Per Line'!$A$2:$A$501,$A11,'Per Line'!$W$2:$W$501,1))</f>
        <v/>
      </c>
      <c r="P11" s="7">
        <f>IF($U11="","",O11*N11)</f>
        <v/>
      </c>
      <c r="Q11" s="7">
        <f>IF($U11="","",P11+M11)</f>
        <v/>
      </c>
      <c r="R11" s="7">
        <f>IF($U11="","",S11-Q11)</f>
        <v/>
      </c>
      <c r="S11" s="7">
        <f>IF($U11="","",L11+O11)</f>
        <v/>
      </c>
      <c r="T11" s="7">
        <f>IF($U11="","",S11-Q11-G11)</f>
        <v/>
      </c>
      <c r="U11" s="13">
        <f>IF(ROWS($U$2:$U11)&lt;=MAX('Per Line'!$V$2:$V$501),MATCH(ROWS($U$2:$U11),'Per Line'!$V$2:$V$501,0),"")</f>
        <v/>
      </c>
    </row>
    <row r="12">
      <c r="A12">
        <f>IF($U12="","",INDEX('Per Line'!$A$2:$A$501,$U12)&amp;"")</f>
        <v/>
      </c>
      <c r="B12" s="12" t="n"/>
      <c r="C12">
        <f>IF($U12="","",INDEX('Per Line'!$B$2:$B$501,$U12)&amp;"")</f>
        <v/>
      </c>
      <c r="D12">
        <f>IF($U12="","",INDEX('Per Line'!$C$2:$C$501,$U12)&amp;"")</f>
        <v/>
      </c>
      <c r="E12">
        <f>IF($U12="","",INDEX('Per Line'!$D$2:$D$501,$U12)&amp;"")</f>
        <v/>
      </c>
      <c r="F12">
        <f>IF($U12="","",INDEX('Per Line'!$E$2:$E$501,$U12))</f>
        <v/>
      </c>
      <c r="G12" s="7">
        <f>IF($U12="","",F12*S12/100)</f>
        <v/>
      </c>
      <c r="H12">
        <f>IF($U12="","",INDEX('Per Line'!$O$2:$O$501,$U12)&amp;"")</f>
        <v/>
      </c>
      <c r="I12" s="11">
        <f>IF($U12="","",INDEX('Per Line'!$Q$2:$Q$501,$U12))</f>
        <v/>
      </c>
      <c r="J12">
        <f>IF($U12="","",INDEX('Per Line'!$R$2:$R$501,$U12)&amp;"")</f>
        <v/>
      </c>
      <c r="K12">
        <f>IF($U12="","",Settings!$C$7)</f>
        <v/>
      </c>
      <c r="L12" s="7">
        <f>IF($U12="","",SUMIFS('Per Line'!$N$2:$N$501,'Per Line'!$A$2:$A$501,$A12,'Per Line'!$W$2:$W$501,0))</f>
        <v/>
      </c>
      <c r="M12" s="7">
        <f>IF($U12="","",L12*K12)</f>
        <v/>
      </c>
      <c r="N12">
        <f>IF($U12="","",Settings!$C$6)</f>
        <v/>
      </c>
      <c r="O12" s="7">
        <f>IF($U12="","",SUMIFS('Per Line'!$N$2:$N$501,'Per Line'!$A$2:$A$501,$A12,'Per Line'!$W$2:$W$501,1))</f>
        <v/>
      </c>
      <c r="P12" s="7">
        <f>IF($U12="","",O12*N12)</f>
        <v/>
      </c>
      <c r="Q12" s="7">
        <f>IF($U12="","",P12+M12)</f>
        <v/>
      </c>
      <c r="R12" s="7">
        <f>IF($U12="","",S12-Q12)</f>
        <v/>
      </c>
      <c r="S12" s="7">
        <f>IF($U12="","",L12+O12)</f>
        <v/>
      </c>
      <c r="T12" s="7">
        <f>IF($U12="","",S12-Q12-G12)</f>
        <v/>
      </c>
      <c r="U12" s="13">
        <f>IF(ROWS($U$2:$U12)&lt;=MAX('Per Line'!$V$2:$V$501),MATCH(ROWS($U$2:$U12),'Per Line'!$V$2:$V$501,0),"")</f>
        <v/>
      </c>
    </row>
    <row r="13">
      <c r="A13">
        <f>IF($U13="","",INDEX('Per Line'!$A$2:$A$501,$U13)&amp;"")</f>
        <v/>
      </c>
      <c r="B13" s="12" t="n"/>
      <c r="C13">
        <f>IF($U13="","",INDEX('Per Line'!$B$2:$B$501,$U13)&amp;"")</f>
        <v/>
      </c>
      <c r="D13">
        <f>IF($U13="","",INDEX('Per Line'!$C$2:$C$501,$U13)&amp;"")</f>
        <v/>
      </c>
      <c r="E13">
        <f>IF($U13="","",INDEX('Per Line'!$D$2:$D$501,$U13)&amp;"")</f>
        <v/>
      </c>
      <c r="F13">
        <f>IF($U13="","",INDEX('Per Line'!$E$2:$E$501,$U13))</f>
        <v/>
      </c>
      <c r="G13" s="7">
        <f>IF($U13="","",F13*S13/100)</f>
        <v/>
      </c>
      <c r="H13">
        <f>IF($U13="","",INDEX('Per Line'!$O$2:$O$501,$U13)&amp;"")</f>
        <v/>
      </c>
      <c r="I13" s="11">
        <f>IF($U13="","",INDEX('Per Line'!$Q$2:$Q$501,$U13))</f>
        <v/>
      </c>
      <c r="J13">
        <f>IF($U13="","",INDEX('Per Line'!$R$2:$R$501,$U13)&amp;"")</f>
        <v/>
      </c>
      <c r="K13">
        <f>IF($U13="","",Settings!$C$7)</f>
        <v/>
      </c>
      <c r="L13" s="7">
        <f>IF($U13="","",SUMIFS('Per Line'!$N$2:$N$501,'Per Line'!$A$2:$A$501,$A13,'Per Line'!$W$2:$W$501,0))</f>
        <v/>
      </c>
      <c r="M13" s="7">
        <f>IF($U13="","",L13*K13)</f>
        <v/>
      </c>
      <c r="N13">
        <f>IF($U13="","",Settings!$C$6)</f>
        <v/>
      </c>
      <c r="O13" s="7">
        <f>IF($U13="","",SUMIFS('Per Line'!$N$2:$N$501,'Per Line'!$A$2:$A$501,$A13,'Per Line'!$W$2:$W$501,1))</f>
        <v/>
      </c>
      <c r="P13" s="7">
        <f>IF($U13="","",O13*N13)</f>
        <v/>
      </c>
      <c r="Q13" s="7">
        <f>IF($U13="","",P13+M13)</f>
        <v/>
      </c>
      <c r="R13" s="7">
        <f>IF($U13="","",S13-Q13)</f>
        <v/>
      </c>
      <c r="S13" s="7">
        <f>IF($U13="","",L13+O13)</f>
        <v/>
      </c>
      <c r="T13" s="7">
        <f>IF($U13="","",S13-Q13-G13)</f>
        <v/>
      </c>
      <c r="U13" s="13">
        <f>IF(ROWS($U$2:$U13)&lt;=MAX('Per Line'!$V$2:$V$501),MATCH(ROWS($U$2:$U13),'Per Line'!$V$2:$V$501,0),"")</f>
        <v/>
      </c>
    </row>
    <row r="14">
      <c r="A14">
        <f>IF($U14="","",INDEX('Per Line'!$A$2:$A$501,$U14)&amp;"")</f>
        <v/>
      </c>
      <c r="B14" s="12" t="n"/>
      <c r="C14">
        <f>IF($U14="","",INDEX('Per Line'!$B$2:$B$501,$U14)&amp;"")</f>
        <v/>
      </c>
      <c r="D14">
        <f>IF($U14="","",INDEX('Per Line'!$C$2:$C$501,$U14)&amp;"")</f>
        <v/>
      </c>
      <c r="E14">
        <f>IF($U14="","",INDEX('Per Line'!$D$2:$D$501,$U14)&amp;"")</f>
        <v/>
      </c>
      <c r="F14">
        <f>IF($U14="","",INDEX('Per Line'!$E$2:$E$501,$U14))</f>
        <v/>
      </c>
      <c r="G14" s="7">
        <f>IF($U14="","",F14*S14/100)</f>
        <v/>
      </c>
      <c r="H14">
        <f>IF($U14="","",INDEX('Per Line'!$O$2:$O$501,$U14)&amp;"")</f>
        <v/>
      </c>
      <c r="I14" s="11">
        <f>IF($U14="","",INDEX('Per Line'!$Q$2:$Q$501,$U14))</f>
        <v/>
      </c>
      <c r="J14">
        <f>IF($U14="","",INDEX('Per Line'!$R$2:$R$501,$U14)&amp;"")</f>
        <v/>
      </c>
      <c r="K14">
        <f>IF($U14="","",Settings!$C$7)</f>
        <v/>
      </c>
      <c r="L14" s="7">
        <f>IF($U14="","",SUMIFS('Per Line'!$N$2:$N$501,'Per Line'!$A$2:$A$501,$A14,'Per Line'!$W$2:$W$501,0))</f>
        <v/>
      </c>
      <c r="M14" s="7">
        <f>IF($U14="","",L14*K14)</f>
        <v/>
      </c>
      <c r="N14">
        <f>IF($U14="","",Settings!$C$6)</f>
        <v/>
      </c>
      <c r="O14" s="7">
        <f>IF($U14="","",SUMIFS('Per Line'!$N$2:$N$501,'Per Line'!$A$2:$A$501,$A14,'Per Line'!$W$2:$W$501,1))</f>
        <v/>
      </c>
      <c r="P14" s="7">
        <f>IF($U14="","",O14*N14)</f>
        <v/>
      </c>
      <c r="Q14" s="7">
        <f>IF($U14="","",P14+M14)</f>
        <v/>
      </c>
      <c r="R14" s="7">
        <f>IF($U14="","",S14-Q14)</f>
        <v/>
      </c>
      <c r="S14" s="7">
        <f>IF($U14="","",L14+O14)</f>
        <v/>
      </c>
      <c r="T14" s="7">
        <f>IF($U14="","",S14-Q14-G14)</f>
        <v/>
      </c>
      <c r="U14" s="13">
        <f>IF(ROWS($U$2:$U14)&lt;=MAX('Per Line'!$V$2:$V$501),MATCH(ROWS($U$2:$U14),'Per Line'!$V$2:$V$501,0),"")</f>
        <v/>
      </c>
    </row>
    <row r="15">
      <c r="A15">
        <f>IF($U15="","",INDEX('Per Line'!$A$2:$A$501,$U15)&amp;"")</f>
        <v/>
      </c>
      <c r="B15" s="12" t="n"/>
      <c r="C15">
        <f>IF($U15="","",INDEX('Per Line'!$B$2:$B$501,$U15)&amp;"")</f>
        <v/>
      </c>
      <c r="D15">
        <f>IF($U15="","",INDEX('Per Line'!$C$2:$C$501,$U15)&amp;"")</f>
        <v/>
      </c>
      <c r="E15">
        <f>IF($U15="","",INDEX('Per Line'!$D$2:$D$501,$U15)&amp;"")</f>
        <v/>
      </c>
      <c r="F15">
        <f>IF($U15="","",INDEX('Per Line'!$E$2:$E$501,$U15))</f>
        <v/>
      </c>
      <c r="G15" s="7">
        <f>IF($U15="","",F15*S15/100)</f>
        <v/>
      </c>
      <c r="H15">
        <f>IF($U15="","",INDEX('Per Line'!$O$2:$O$501,$U15)&amp;"")</f>
        <v/>
      </c>
      <c r="I15" s="11">
        <f>IF($U15="","",INDEX('Per Line'!$Q$2:$Q$501,$U15))</f>
        <v/>
      </c>
      <c r="J15">
        <f>IF($U15="","",INDEX('Per Line'!$R$2:$R$501,$U15)&amp;"")</f>
        <v/>
      </c>
      <c r="K15">
        <f>IF($U15="","",Settings!$C$7)</f>
        <v/>
      </c>
      <c r="L15" s="7">
        <f>IF($U15="","",SUMIFS('Per Line'!$N$2:$N$501,'Per Line'!$A$2:$A$501,$A15,'Per Line'!$W$2:$W$501,0))</f>
        <v/>
      </c>
      <c r="M15" s="7">
        <f>IF($U15="","",L15*K15)</f>
        <v/>
      </c>
      <c r="N15">
        <f>IF($U15="","",Settings!$C$6)</f>
        <v/>
      </c>
      <c r="O15" s="7">
        <f>IF($U15="","",SUMIFS('Per Line'!$N$2:$N$501,'Per Line'!$A$2:$A$501,$A15,'Per Line'!$W$2:$W$501,1))</f>
        <v/>
      </c>
      <c r="P15" s="7">
        <f>IF($U15="","",O15*N15)</f>
        <v/>
      </c>
      <c r="Q15" s="7">
        <f>IF($U15="","",P15+M15)</f>
        <v/>
      </c>
      <c r="R15" s="7">
        <f>IF($U15="","",S15-Q15)</f>
        <v/>
      </c>
      <c r="S15" s="7">
        <f>IF($U15="","",L15+O15)</f>
        <v/>
      </c>
      <c r="T15" s="7">
        <f>IF($U15="","",S15-Q15-G15)</f>
        <v/>
      </c>
      <c r="U15" s="13">
        <f>IF(ROWS($U$2:$U15)&lt;=MAX('Per Line'!$V$2:$V$501),MATCH(ROWS($U$2:$U15),'Per Line'!$V$2:$V$501,0),"")</f>
        <v/>
      </c>
    </row>
    <row r="16">
      <c r="A16">
        <f>IF($U16="","",INDEX('Per Line'!$A$2:$A$501,$U16)&amp;"")</f>
        <v/>
      </c>
      <c r="B16" s="12" t="n"/>
      <c r="C16">
        <f>IF($U16="","",INDEX('Per Line'!$B$2:$B$501,$U16)&amp;"")</f>
        <v/>
      </c>
      <c r="D16">
        <f>IF($U16="","",INDEX('Per Line'!$C$2:$C$501,$U16)&amp;"")</f>
        <v/>
      </c>
      <c r="E16">
        <f>IF($U16="","",INDEX('Per Line'!$D$2:$D$501,$U16)&amp;"")</f>
        <v/>
      </c>
      <c r="F16">
        <f>IF($U16="","",INDEX('Per Line'!$E$2:$E$501,$U16))</f>
        <v/>
      </c>
      <c r="G16" s="7">
        <f>IF($U16="","",F16*S16/100)</f>
        <v/>
      </c>
      <c r="H16">
        <f>IF($U16="","",INDEX('Per Line'!$O$2:$O$501,$U16)&amp;"")</f>
        <v/>
      </c>
      <c r="I16" s="11">
        <f>IF($U16="","",INDEX('Per Line'!$Q$2:$Q$501,$U16))</f>
        <v/>
      </c>
      <c r="J16">
        <f>IF($U16="","",INDEX('Per Line'!$R$2:$R$501,$U16)&amp;"")</f>
        <v/>
      </c>
      <c r="K16">
        <f>IF($U16="","",Settings!$C$7)</f>
        <v/>
      </c>
      <c r="L16" s="7">
        <f>IF($U16="","",SUMIFS('Per Line'!$N$2:$N$501,'Per Line'!$A$2:$A$501,$A16,'Per Line'!$W$2:$W$501,0))</f>
        <v/>
      </c>
      <c r="M16" s="7">
        <f>IF($U16="","",L16*K16)</f>
        <v/>
      </c>
      <c r="N16">
        <f>IF($U16="","",Settings!$C$6)</f>
        <v/>
      </c>
      <c r="O16" s="7">
        <f>IF($U16="","",SUMIFS('Per Line'!$N$2:$N$501,'Per Line'!$A$2:$A$501,$A16,'Per Line'!$W$2:$W$501,1))</f>
        <v/>
      </c>
      <c r="P16" s="7">
        <f>IF($U16="","",O16*N16)</f>
        <v/>
      </c>
      <c r="Q16" s="7">
        <f>IF($U16="","",P16+M16)</f>
        <v/>
      </c>
      <c r="R16" s="7">
        <f>IF($U16="","",S16-Q16)</f>
        <v/>
      </c>
      <c r="S16" s="7">
        <f>IF($U16="","",L16+O16)</f>
        <v/>
      </c>
      <c r="T16" s="7">
        <f>IF($U16="","",S16-Q16-G16)</f>
        <v/>
      </c>
      <c r="U16" s="13">
        <f>IF(ROWS($U$2:$U16)&lt;=MAX('Per Line'!$V$2:$V$501),MATCH(ROWS($U$2:$U16),'Per Line'!$V$2:$V$501,0),"")</f>
        <v/>
      </c>
    </row>
    <row r="17">
      <c r="A17">
        <f>IF($U17="","",INDEX('Per Line'!$A$2:$A$501,$U17)&amp;"")</f>
        <v/>
      </c>
      <c r="B17" s="12" t="n"/>
      <c r="C17">
        <f>IF($U17="","",INDEX('Per Line'!$B$2:$B$501,$U17)&amp;"")</f>
        <v/>
      </c>
      <c r="D17">
        <f>IF($U17="","",INDEX('Per Line'!$C$2:$C$501,$U17)&amp;"")</f>
        <v/>
      </c>
      <c r="E17">
        <f>IF($U17="","",INDEX('Per Line'!$D$2:$D$501,$U17)&amp;"")</f>
        <v/>
      </c>
      <c r="F17">
        <f>IF($U17="","",INDEX('Per Line'!$E$2:$E$501,$U17))</f>
        <v/>
      </c>
      <c r="G17" s="7">
        <f>IF($U17="","",F17*S17/100)</f>
        <v/>
      </c>
      <c r="H17">
        <f>IF($U17="","",INDEX('Per Line'!$O$2:$O$501,$U17)&amp;"")</f>
        <v/>
      </c>
      <c r="I17" s="11">
        <f>IF($U17="","",INDEX('Per Line'!$Q$2:$Q$501,$U17))</f>
        <v/>
      </c>
      <c r="J17">
        <f>IF($U17="","",INDEX('Per Line'!$R$2:$R$501,$U17)&amp;"")</f>
        <v/>
      </c>
      <c r="K17">
        <f>IF($U17="","",Settings!$C$7)</f>
        <v/>
      </c>
      <c r="L17" s="7">
        <f>IF($U17="","",SUMIFS('Per Line'!$N$2:$N$501,'Per Line'!$A$2:$A$501,$A17,'Per Line'!$W$2:$W$501,0))</f>
        <v/>
      </c>
      <c r="M17" s="7">
        <f>IF($U17="","",L17*K17)</f>
        <v/>
      </c>
      <c r="N17">
        <f>IF($U17="","",Settings!$C$6)</f>
        <v/>
      </c>
      <c r="O17" s="7">
        <f>IF($U17="","",SUMIFS('Per Line'!$N$2:$N$501,'Per Line'!$A$2:$A$501,$A17,'Per Line'!$W$2:$W$501,1))</f>
        <v/>
      </c>
      <c r="P17" s="7">
        <f>IF($U17="","",O17*N17)</f>
        <v/>
      </c>
      <c r="Q17" s="7">
        <f>IF($U17="","",P17+M17)</f>
        <v/>
      </c>
      <c r="R17" s="7">
        <f>IF($U17="","",S17-Q17)</f>
        <v/>
      </c>
      <c r="S17" s="7">
        <f>IF($U17="","",L17+O17)</f>
        <v/>
      </c>
      <c r="T17" s="7">
        <f>IF($U17="","",S17-Q17-G17)</f>
        <v/>
      </c>
      <c r="U17" s="13">
        <f>IF(ROWS($U$2:$U17)&lt;=MAX('Per Line'!$V$2:$V$501),MATCH(ROWS($U$2:$U17),'Per Line'!$V$2:$V$501,0),"")</f>
        <v/>
      </c>
    </row>
    <row r="18">
      <c r="A18">
        <f>IF($U18="","",INDEX('Per Line'!$A$2:$A$501,$U18)&amp;"")</f>
        <v/>
      </c>
      <c r="B18" s="12" t="n"/>
      <c r="C18">
        <f>IF($U18="","",INDEX('Per Line'!$B$2:$B$501,$U18)&amp;"")</f>
        <v/>
      </c>
      <c r="D18">
        <f>IF($U18="","",INDEX('Per Line'!$C$2:$C$501,$U18)&amp;"")</f>
        <v/>
      </c>
      <c r="E18">
        <f>IF($U18="","",INDEX('Per Line'!$D$2:$D$501,$U18)&amp;"")</f>
        <v/>
      </c>
      <c r="F18">
        <f>IF($U18="","",INDEX('Per Line'!$E$2:$E$501,$U18))</f>
        <v/>
      </c>
      <c r="G18" s="7">
        <f>IF($U18="","",F18*S18/100)</f>
        <v/>
      </c>
      <c r="H18">
        <f>IF($U18="","",INDEX('Per Line'!$O$2:$O$501,$U18)&amp;"")</f>
        <v/>
      </c>
      <c r="I18" s="11">
        <f>IF($U18="","",INDEX('Per Line'!$Q$2:$Q$501,$U18))</f>
        <v/>
      </c>
      <c r="J18">
        <f>IF($U18="","",INDEX('Per Line'!$R$2:$R$501,$U18)&amp;"")</f>
        <v/>
      </c>
      <c r="K18">
        <f>IF($U18="","",Settings!$C$7)</f>
        <v/>
      </c>
      <c r="L18" s="7">
        <f>IF($U18="","",SUMIFS('Per Line'!$N$2:$N$501,'Per Line'!$A$2:$A$501,$A18,'Per Line'!$W$2:$W$501,0))</f>
        <v/>
      </c>
      <c r="M18" s="7">
        <f>IF($U18="","",L18*K18)</f>
        <v/>
      </c>
      <c r="N18">
        <f>IF($U18="","",Settings!$C$6)</f>
        <v/>
      </c>
      <c r="O18" s="7">
        <f>IF($U18="","",SUMIFS('Per Line'!$N$2:$N$501,'Per Line'!$A$2:$A$501,$A18,'Per Line'!$W$2:$W$501,1))</f>
        <v/>
      </c>
      <c r="P18" s="7">
        <f>IF($U18="","",O18*N18)</f>
        <v/>
      </c>
      <c r="Q18" s="7">
        <f>IF($U18="","",P18+M18)</f>
        <v/>
      </c>
      <c r="R18" s="7">
        <f>IF($U18="","",S18-Q18)</f>
        <v/>
      </c>
      <c r="S18" s="7">
        <f>IF($U18="","",L18+O18)</f>
        <v/>
      </c>
      <c r="T18" s="7">
        <f>IF($U18="","",S18-Q18-G18)</f>
        <v/>
      </c>
      <c r="U18" s="13">
        <f>IF(ROWS($U$2:$U18)&lt;=MAX('Per Line'!$V$2:$V$501),MATCH(ROWS($U$2:$U18),'Per Line'!$V$2:$V$501,0),"")</f>
        <v/>
      </c>
    </row>
    <row r="19">
      <c r="A19">
        <f>IF($U19="","",INDEX('Per Line'!$A$2:$A$501,$U19)&amp;"")</f>
        <v/>
      </c>
      <c r="B19" s="12" t="n"/>
      <c r="C19">
        <f>IF($U19="","",INDEX('Per Line'!$B$2:$B$501,$U19)&amp;"")</f>
        <v/>
      </c>
      <c r="D19">
        <f>IF($U19="","",INDEX('Per Line'!$C$2:$C$501,$U19)&amp;"")</f>
        <v/>
      </c>
      <c r="E19">
        <f>IF($U19="","",INDEX('Per Line'!$D$2:$D$501,$U19)&amp;"")</f>
        <v/>
      </c>
      <c r="F19">
        <f>IF($U19="","",INDEX('Per Line'!$E$2:$E$501,$U19))</f>
        <v/>
      </c>
      <c r="G19" s="7">
        <f>IF($U19="","",F19*S19/100)</f>
        <v/>
      </c>
      <c r="H19">
        <f>IF($U19="","",INDEX('Per Line'!$O$2:$O$501,$U19)&amp;"")</f>
        <v/>
      </c>
      <c r="I19" s="11">
        <f>IF($U19="","",INDEX('Per Line'!$Q$2:$Q$501,$U19))</f>
        <v/>
      </c>
      <c r="J19">
        <f>IF($U19="","",INDEX('Per Line'!$R$2:$R$501,$U19)&amp;"")</f>
        <v/>
      </c>
      <c r="K19">
        <f>IF($U19="","",Settings!$C$7)</f>
        <v/>
      </c>
      <c r="L19" s="7">
        <f>IF($U19="","",SUMIFS('Per Line'!$N$2:$N$501,'Per Line'!$A$2:$A$501,$A19,'Per Line'!$W$2:$W$501,0))</f>
        <v/>
      </c>
      <c r="M19" s="7">
        <f>IF($U19="","",L19*K19)</f>
        <v/>
      </c>
      <c r="N19">
        <f>IF($U19="","",Settings!$C$6)</f>
        <v/>
      </c>
      <c r="O19" s="7">
        <f>IF($U19="","",SUMIFS('Per Line'!$N$2:$N$501,'Per Line'!$A$2:$A$501,$A19,'Per Line'!$W$2:$W$501,1))</f>
        <v/>
      </c>
      <c r="P19" s="7">
        <f>IF($U19="","",O19*N19)</f>
        <v/>
      </c>
      <c r="Q19" s="7">
        <f>IF($U19="","",P19+M19)</f>
        <v/>
      </c>
      <c r="R19" s="7">
        <f>IF($U19="","",S19-Q19)</f>
        <v/>
      </c>
      <c r="S19" s="7">
        <f>IF($U19="","",L19+O19)</f>
        <v/>
      </c>
      <c r="T19" s="7">
        <f>IF($U19="","",S19-Q19-G19)</f>
        <v/>
      </c>
      <c r="U19" s="13">
        <f>IF(ROWS($U$2:$U19)&lt;=MAX('Per Line'!$V$2:$V$501),MATCH(ROWS($U$2:$U19),'Per Line'!$V$2:$V$501,0),"")</f>
        <v/>
      </c>
    </row>
    <row r="20">
      <c r="A20">
        <f>IF($U20="","",INDEX('Per Line'!$A$2:$A$501,$U20)&amp;"")</f>
        <v/>
      </c>
      <c r="B20" s="12" t="n"/>
      <c r="C20">
        <f>IF($U20="","",INDEX('Per Line'!$B$2:$B$501,$U20)&amp;"")</f>
        <v/>
      </c>
      <c r="D20">
        <f>IF($U20="","",INDEX('Per Line'!$C$2:$C$501,$U20)&amp;"")</f>
        <v/>
      </c>
      <c r="E20">
        <f>IF($U20="","",INDEX('Per Line'!$D$2:$D$501,$U20)&amp;"")</f>
        <v/>
      </c>
      <c r="F20">
        <f>IF($U20="","",INDEX('Per Line'!$E$2:$E$501,$U20))</f>
        <v/>
      </c>
      <c r="G20" s="7">
        <f>IF($U20="","",F20*S20/100)</f>
        <v/>
      </c>
      <c r="H20">
        <f>IF($U20="","",INDEX('Per Line'!$O$2:$O$501,$U20)&amp;"")</f>
        <v/>
      </c>
      <c r="I20" s="11">
        <f>IF($U20="","",INDEX('Per Line'!$Q$2:$Q$501,$U20))</f>
        <v/>
      </c>
      <c r="J20">
        <f>IF($U20="","",INDEX('Per Line'!$R$2:$R$501,$U20)&amp;"")</f>
        <v/>
      </c>
      <c r="K20">
        <f>IF($U20="","",Settings!$C$7)</f>
        <v/>
      </c>
      <c r="L20" s="7">
        <f>IF($U20="","",SUMIFS('Per Line'!$N$2:$N$501,'Per Line'!$A$2:$A$501,$A20,'Per Line'!$W$2:$W$501,0))</f>
        <v/>
      </c>
      <c r="M20" s="7">
        <f>IF($U20="","",L20*K20)</f>
        <v/>
      </c>
      <c r="N20">
        <f>IF($U20="","",Settings!$C$6)</f>
        <v/>
      </c>
      <c r="O20" s="7">
        <f>IF($U20="","",SUMIFS('Per Line'!$N$2:$N$501,'Per Line'!$A$2:$A$501,$A20,'Per Line'!$W$2:$W$501,1))</f>
        <v/>
      </c>
      <c r="P20" s="7">
        <f>IF($U20="","",O20*N20)</f>
        <v/>
      </c>
      <c r="Q20" s="7">
        <f>IF($U20="","",P20+M20)</f>
        <v/>
      </c>
      <c r="R20" s="7">
        <f>IF($U20="","",S20-Q20)</f>
        <v/>
      </c>
      <c r="S20" s="7">
        <f>IF($U20="","",L20+O20)</f>
        <v/>
      </c>
      <c r="T20" s="7">
        <f>IF($U20="","",S20-Q20-G20)</f>
        <v/>
      </c>
      <c r="U20" s="13">
        <f>IF(ROWS($U$2:$U20)&lt;=MAX('Per Line'!$V$2:$V$501),MATCH(ROWS($U$2:$U20),'Per Line'!$V$2:$V$501,0),"")</f>
        <v/>
      </c>
    </row>
    <row r="21">
      <c r="A21">
        <f>IF($U21="","",INDEX('Per Line'!$A$2:$A$501,$U21)&amp;"")</f>
        <v/>
      </c>
      <c r="B21" s="12" t="n"/>
      <c r="C21">
        <f>IF($U21="","",INDEX('Per Line'!$B$2:$B$501,$U21)&amp;"")</f>
        <v/>
      </c>
      <c r="D21">
        <f>IF($U21="","",INDEX('Per Line'!$C$2:$C$501,$U21)&amp;"")</f>
        <v/>
      </c>
      <c r="E21">
        <f>IF($U21="","",INDEX('Per Line'!$D$2:$D$501,$U21)&amp;"")</f>
        <v/>
      </c>
      <c r="F21">
        <f>IF($U21="","",INDEX('Per Line'!$E$2:$E$501,$U21))</f>
        <v/>
      </c>
      <c r="G21" s="7">
        <f>IF($U21="","",F21*S21/100)</f>
        <v/>
      </c>
      <c r="H21">
        <f>IF($U21="","",INDEX('Per Line'!$O$2:$O$501,$U21)&amp;"")</f>
        <v/>
      </c>
      <c r="I21" s="11">
        <f>IF($U21="","",INDEX('Per Line'!$Q$2:$Q$501,$U21))</f>
        <v/>
      </c>
      <c r="J21">
        <f>IF($U21="","",INDEX('Per Line'!$R$2:$R$501,$U21)&amp;"")</f>
        <v/>
      </c>
      <c r="K21">
        <f>IF($U21="","",Settings!$C$7)</f>
        <v/>
      </c>
      <c r="L21" s="7">
        <f>IF($U21="","",SUMIFS('Per Line'!$N$2:$N$501,'Per Line'!$A$2:$A$501,$A21,'Per Line'!$W$2:$W$501,0))</f>
        <v/>
      </c>
      <c r="M21" s="7">
        <f>IF($U21="","",L21*K21)</f>
        <v/>
      </c>
      <c r="N21">
        <f>IF($U21="","",Settings!$C$6)</f>
        <v/>
      </c>
      <c r="O21" s="7">
        <f>IF($U21="","",SUMIFS('Per Line'!$N$2:$N$501,'Per Line'!$A$2:$A$501,$A21,'Per Line'!$W$2:$W$501,1))</f>
        <v/>
      </c>
      <c r="P21" s="7">
        <f>IF($U21="","",O21*N21)</f>
        <v/>
      </c>
      <c r="Q21" s="7">
        <f>IF($U21="","",P21+M21)</f>
        <v/>
      </c>
      <c r="R21" s="7">
        <f>IF($U21="","",S21-Q21)</f>
        <v/>
      </c>
      <c r="S21" s="7">
        <f>IF($U21="","",L21+O21)</f>
        <v/>
      </c>
      <c r="T21" s="7">
        <f>IF($U21="","",S21-Q21-G21)</f>
        <v/>
      </c>
      <c r="U21" s="13">
        <f>IF(ROWS($U$2:$U21)&lt;=MAX('Per Line'!$V$2:$V$501),MATCH(ROWS($U$2:$U21),'Per Line'!$V$2:$V$501,0),"")</f>
        <v/>
      </c>
    </row>
    <row r="22">
      <c r="A22">
        <f>IF($U22="","",INDEX('Per Line'!$A$2:$A$501,$U22)&amp;"")</f>
        <v/>
      </c>
      <c r="B22" s="12" t="n"/>
      <c r="C22">
        <f>IF($U22="","",INDEX('Per Line'!$B$2:$B$501,$U22)&amp;"")</f>
        <v/>
      </c>
      <c r="D22">
        <f>IF($U22="","",INDEX('Per Line'!$C$2:$C$501,$U22)&amp;"")</f>
        <v/>
      </c>
      <c r="E22">
        <f>IF($U22="","",INDEX('Per Line'!$D$2:$D$501,$U22)&amp;"")</f>
        <v/>
      </c>
      <c r="F22">
        <f>IF($U22="","",INDEX('Per Line'!$E$2:$E$501,$U22))</f>
        <v/>
      </c>
      <c r="G22" s="7">
        <f>IF($U22="","",F22*S22/100)</f>
        <v/>
      </c>
      <c r="H22">
        <f>IF($U22="","",INDEX('Per Line'!$O$2:$O$501,$U22)&amp;"")</f>
        <v/>
      </c>
      <c r="I22" s="11">
        <f>IF($U22="","",INDEX('Per Line'!$Q$2:$Q$501,$U22))</f>
        <v/>
      </c>
      <c r="J22">
        <f>IF($U22="","",INDEX('Per Line'!$R$2:$R$501,$U22)&amp;"")</f>
        <v/>
      </c>
      <c r="K22">
        <f>IF($U22="","",Settings!$C$7)</f>
        <v/>
      </c>
      <c r="L22" s="7">
        <f>IF($U22="","",SUMIFS('Per Line'!$N$2:$N$501,'Per Line'!$A$2:$A$501,$A22,'Per Line'!$W$2:$W$501,0))</f>
        <v/>
      </c>
      <c r="M22" s="7">
        <f>IF($U22="","",L22*K22)</f>
        <v/>
      </c>
      <c r="N22">
        <f>IF($U22="","",Settings!$C$6)</f>
        <v/>
      </c>
      <c r="O22" s="7">
        <f>IF($U22="","",SUMIFS('Per Line'!$N$2:$N$501,'Per Line'!$A$2:$A$501,$A22,'Per Line'!$W$2:$W$501,1))</f>
        <v/>
      </c>
      <c r="P22" s="7">
        <f>IF($U22="","",O22*N22)</f>
        <v/>
      </c>
      <c r="Q22" s="7">
        <f>IF($U22="","",P22+M22)</f>
        <v/>
      </c>
      <c r="R22" s="7">
        <f>IF($U22="","",S22-Q22)</f>
        <v/>
      </c>
      <c r="S22" s="7">
        <f>IF($U22="","",L22+O22)</f>
        <v/>
      </c>
      <c r="T22" s="7">
        <f>IF($U22="","",S22-Q22-G22)</f>
        <v/>
      </c>
      <c r="U22" s="13">
        <f>IF(ROWS($U$2:$U22)&lt;=MAX('Per Line'!$V$2:$V$501),MATCH(ROWS($U$2:$U22),'Per Line'!$V$2:$V$501,0),"")</f>
        <v/>
      </c>
    </row>
    <row r="23">
      <c r="A23">
        <f>IF($U23="","",INDEX('Per Line'!$A$2:$A$501,$U23)&amp;"")</f>
        <v/>
      </c>
      <c r="B23" s="12" t="n"/>
      <c r="C23">
        <f>IF($U23="","",INDEX('Per Line'!$B$2:$B$501,$U23)&amp;"")</f>
        <v/>
      </c>
      <c r="D23">
        <f>IF($U23="","",INDEX('Per Line'!$C$2:$C$501,$U23)&amp;"")</f>
        <v/>
      </c>
      <c r="E23">
        <f>IF($U23="","",INDEX('Per Line'!$D$2:$D$501,$U23)&amp;"")</f>
        <v/>
      </c>
      <c r="F23">
        <f>IF($U23="","",INDEX('Per Line'!$E$2:$E$501,$U23))</f>
        <v/>
      </c>
      <c r="G23" s="7">
        <f>IF($U23="","",F23*S23/100)</f>
        <v/>
      </c>
      <c r="H23">
        <f>IF($U23="","",INDEX('Per Line'!$O$2:$O$501,$U23)&amp;"")</f>
        <v/>
      </c>
      <c r="I23" s="11">
        <f>IF($U23="","",INDEX('Per Line'!$Q$2:$Q$501,$U23))</f>
        <v/>
      </c>
      <c r="J23">
        <f>IF($U23="","",INDEX('Per Line'!$R$2:$R$501,$U23)&amp;"")</f>
        <v/>
      </c>
      <c r="K23">
        <f>IF($U23="","",Settings!$C$7)</f>
        <v/>
      </c>
      <c r="L23" s="7">
        <f>IF($U23="","",SUMIFS('Per Line'!$N$2:$N$501,'Per Line'!$A$2:$A$501,$A23,'Per Line'!$W$2:$W$501,0))</f>
        <v/>
      </c>
      <c r="M23" s="7">
        <f>IF($U23="","",L23*K23)</f>
        <v/>
      </c>
      <c r="N23">
        <f>IF($U23="","",Settings!$C$6)</f>
        <v/>
      </c>
      <c r="O23" s="7">
        <f>IF($U23="","",SUMIFS('Per Line'!$N$2:$N$501,'Per Line'!$A$2:$A$501,$A23,'Per Line'!$W$2:$W$501,1))</f>
        <v/>
      </c>
      <c r="P23" s="7">
        <f>IF($U23="","",O23*N23)</f>
        <v/>
      </c>
      <c r="Q23" s="7">
        <f>IF($U23="","",P23+M23)</f>
        <v/>
      </c>
      <c r="R23" s="7">
        <f>IF($U23="","",S23-Q23)</f>
        <v/>
      </c>
      <c r="S23" s="7">
        <f>IF($U23="","",L23+O23)</f>
        <v/>
      </c>
      <c r="T23" s="7">
        <f>IF($U23="","",S23-Q23-G23)</f>
        <v/>
      </c>
      <c r="U23" s="13">
        <f>IF(ROWS($U$2:$U23)&lt;=MAX('Per Line'!$V$2:$V$501),MATCH(ROWS($U$2:$U23),'Per Line'!$V$2:$V$501,0),"")</f>
        <v/>
      </c>
    </row>
    <row r="24">
      <c r="A24">
        <f>IF($U24="","",INDEX('Per Line'!$A$2:$A$501,$U24)&amp;"")</f>
        <v/>
      </c>
      <c r="B24" s="12" t="n"/>
      <c r="C24">
        <f>IF($U24="","",INDEX('Per Line'!$B$2:$B$501,$U24)&amp;"")</f>
        <v/>
      </c>
      <c r="D24">
        <f>IF($U24="","",INDEX('Per Line'!$C$2:$C$501,$U24)&amp;"")</f>
        <v/>
      </c>
      <c r="E24">
        <f>IF($U24="","",INDEX('Per Line'!$D$2:$D$501,$U24)&amp;"")</f>
        <v/>
      </c>
      <c r="F24">
        <f>IF($U24="","",INDEX('Per Line'!$E$2:$E$501,$U24))</f>
        <v/>
      </c>
      <c r="G24" s="7">
        <f>IF($U24="","",F24*S24/100)</f>
        <v/>
      </c>
      <c r="H24">
        <f>IF($U24="","",INDEX('Per Line'!$O$2:$O$501,$U24)&amp;"")</f>
        <v/>
      </c>
      <c r="I24" s="11">
        <f>IF($U24="","",INDEX('Per Line'!$Q$2:$Q$501,$U24))</f>
        <v/>
      </c>
      <c r="J24">
        <f>IF($U24="","",INDEX('Per Line'!$R$2:$R$501,$U24)&amp;"")</f>
        <v/>
      </c>
      <c r="K24">
        <f>IF($U24="","",Settings!$C$7)</f>
        <v/>
      </c>
      <c r="L24" s="7">
        <f>IF($U24="","",SUMIFS('Per Line'!$N$2:$N$501,'Per Line'!$A$2:$A$501,$A24,'Per Line'!$W$2:$W$501,0))</f>
        <v/>
      </c>
      <c r="M24" s="7">
        <f>IF($U24="","",L24*K24)</f>
        <v/>
      </c>
      <c r="N24">
        <f>IF($U24="","",Settings!$C$6)</f>
        <v/>
      </c>
      <c r="O24" s="7">
        <f>IF($U24="","",SUMIFS('Per Line'!$N$2:$N$501,'Per Line'!$A$2:$A$501,$A24,'Per Line'!$W$2:$W$501,1))</f>
        <v/>
      </c>
      <c r="P24" s="7">
        <f>IF($U24="","",O24*N24)</f>
        <v/>
      </c>
      <c r="Q24" s="7">
        <f>IF($U24="","",P24+M24)</f>
        <v/>
      </c>
      <c r="R24" s="7">
        <f>IF($U24="","",S24-Q24)</f>
        <v/>
      </c>
      <c r="S24" s="7">
        <f>IF($U24="","",L24+O24)</f>
        <v/>
      </c>
      <c r="T24" s="7">
        <f>IF($U24="","",S24-Q24-G24)</f>
        <v/>
      </c>
      <c r="U24" s="13">
        <f>IF(ROWS($U$2:$U24)&lt;=MAX('Per Line'!$V$2:$V$501),MATCH(ROWS($U$2:$U24),'Per Line'!$V$2:$V$501,0),"")</f>
        <v/>
      </c>
    </row>
    <row r="25">
      <c r="A25">
        <f>IF($U25="","",INDEX('Per Line'!$A$2:$A$501,$U25)&amp;"")</f>
        <v/>
      </c>
      <c r="B25" s="12" t="n"/>
      <c r="C25">
        <f>IF($U25="","",INDEX('Per Line'!$B$2:$B$501,$U25)&amp;"")</f>
        <v/>
      </c>
      <c r="D25">
        <f>IF($U25="","",INDEX('Per Line'!$C$2:$C$501,$U25)&amp;"")</f>
        <v/>
      </c>
      <c r="E25">
        <f>IF($U25="","",INDEX('Per Line'!$D$2:$D$501,$U25)&amp;"")</f>
        <v/>
      </c>
      <c r="F25">
        <f>IF($U25="","",INDEX('Per Line'!$E$2:$E$501,$U25))</f>
        <v/>
      </c>
      <c r="G25" s="7">
        <f>IF($U25="","",F25*S25/100)</f>
        <v/>
      </c>
      <c r="H25">
        <f>IF($U25="","",INDEX('Per Line'!$O$2:$O$501,$U25)&amp;"")</f>
        <v/>
      </c>
      <c r="I25" s="11">
        <f>IF($U25="","",INDEX('Per Line'!$Q$2:$Q$501,$U25))</f>
        <v/>
      </c>
      <c r="J25">
        <f>IF($U25="","",INDEX('Per Line'!$R$2:$R$501,$U25)&amp;"")</f>
        <v/>
      </c>
      <c r="K25">
        <f>IF($U25="","",Settings!$C$7)</f>
        <v/>
      </c>
      <c r="L25" s="7">
        <f>IF($U25="","",SUMIFS('Per Line'!$N$2:$N$501,'Per Line'!$A$2:$A$501,$A25,'Per Line'!$W$2:$W$501,0))</f>
        <v/>
      </c>
      <c r="M25" s="7">
        <f>IF($U25="","",L25*K25)</f>
        <v/>
      </c>
      <c r="N25">
        <f>IF($U25="","",Settings!$C$6)</f>
        <v/>
      </c>
      <c r="O25" s="7">
        <f>IF($U25="","",SUMIFS('Per Line'!$N$2:$N$501,'Per Line'!$A$2:$A$501,$A25,'Per Line'!$W$2:$W$501,1))</f>
        <v/>
      </c>
      <c r="P25" s="7">
        <f>IF($U25="","",O25*N25)</f>
        <v/>
      </c>
      <c r="Q25" s="7">
        <f>IF($U25="","",P25+M25)</f>
        <v/>
      </c>
      <c r="R25" s="7">
        <f>IF($U25="","",S25-Q25)</f>
        <v/>
      </c>
      <c r="S25" s="7">
        <f>IF($U25="","",L25+O25)</f>
        <v/>
      </c>
      <c r="T25" s="7">
        <f>IF($U25="","",S25-Q25-G25)</f>
        <v/>
      </c>
      <c r="U25" s="13">
        <f>IF(ROWS($U$2:$U25)&lt;=MAX('Per Line'!$V$2:$V$501),MATCH(ROWS($U$2:$U25),'Per Line'!$V$2:$V$501,0),"")</f>
        <v/>
      </c>
    </row>
    <row r="26">
      <c r="A26">
        <f>IF($U26="","",INDEX('Per Line'!$A$2:$A$501,$U26)&amp;"")</f>
        <v/>
      </c>
      <c r="B26" s="12" t="n"/>
      <c r="C26">
        <f>IF($U26="","",INDEX('Per Line'!$B$2:$B$501,$U26)&amp;"")</f>
        <v/>
      </c>
      <c r="D26">
        <f>IF($U26="","",INDEX('Per Line'!$C$2:$C$501,$U26)&amp;"")</f>
        <v/>
      </c>
      <c r="E26">
        <f>IF($U26="","",INDEX('Per Line'!$D$2:$D$501,$U26)&amp;"")</f>
        <v/>
      </c>
      <c r="F26">
        <f>IF($U26="","",INDEX('Per Line'!$E$2:$E$501,$U26))</f>
        <v/>
      </c>
      <c r="G26" s="7">
        <f>IF($U26="","",F26*S26/100)</f>
        <v/>
      </c>
      <c r="H26">
        <f>IF($U26="","",INDEX('Per Line'!$O$2:$O$501,$U26)&amp;"")</f>
        <v/>
      </c>
      <c r="I26" s="11">
        <f>IF($U26="","",INDEX('Per Line'!$Q$2:$Q$501,$U26))</f>
        <v/>
      </c>
      <c r="J26">
        <f>IF($U26="","",INDEX('Per Line'!$R$2:$R$501,$U26)&amp;"")</f>
        <v/>
      </c>
      <c r="K26">
        <f>IF($U26="","",Settings!$C$7)</f>
        <v/>
      </c>
      <c r="L26" s="7">
        <f>IF($U26="","",SUMIFS('Per Line'!$N$2:$N$501,'Per Line'!$A$2:$A$501,$A26,'Per Line'!$W$2:$W$501,0))</f>
        <v/>
      </c>
      <c r="M26" s="7">
        <f>IF($U26="","",L26*K26)</f>
        <v/>
      </c>
      <c r="N26">
        <f>IF($U26="","",Settings!$C$6)</f>
        <v/>
      </c>
      <c r="O26" s="7">
        <f>IF($U26="","",SUMIFS('Per Line'!$N$2:$N$501,'Per Line'!$A$2:$A$501,$A26,'Per Line'!$W$2:$W$501,1))</f>
        <v/>
      </c>
      <c r="P26" s="7">
        <f>IF($U26="","",O26*N26)</f>
        <v/>
      </c>
      <c r="Q26" s="7">
        <f>IF($U26="","",P26+M26)</f>
        <v/>
      </c>
      <c r="R26" s="7">
        <f>IF($U26="","",S26-Q26)</f>
        <v/>
      </c>
      <c r="S26" s="7">
        <f>IF($U26="","",L26+O26)</f>
        <v/>
      </c>
      <c r="T26" s="7">
        <f>IF($U26="","",S26-Q26-G26)</f>
        <v/>
      </c>
      <c r="U26" s="13">
        <f>IF(ROWS($U$2:$U26)&lt;=MAX('Per Line'!$V$2:$V$501),MATCH(ROWS($U$2:$U26),'Per Line'!$V$2:$V$501,0),"")</f>
        <v/>
      </c>
    </row>
    <row r="27">
      <c r="A27">
        <f>IF($U27="","",INDEX('Per Line'!$A$2:$A$501,$U27)&amp;"")</f>
        <v/>
      </c>
      <c r="B27" s="12" t="n"/>
      <c r="C27">
        <f>IF($U27="","",INDEX('Per Line'!$B$2:$B$501,$U27)&amp;"")</f>
        <v/>
      </c>
      <c r="D27">
        <f>IF($U27="","",INDEX('Per Line'!$C$2:$C$501,$U27)&amp;"")</f>
        <v/>
      </c>
      <c r="E27">
        <f>IF($U27="","",INDEX('Per Line'!$D$2:$D$501,$U27)&amp;"")</f>
        <v/>
      </c>
      <c r="F27">
        <f>IF($U27="","",INDEX('Per Line'!$E$2:$E$501,$U27))</f>
        <v/>
      </c>
      <c r="G27" s="7">
        <f>IF($U27="","",F27*S27/100)</f>
        <v/>
      </c>
      <c r="H27">
        <f>IF($U27="","",INDEX('Per Line'!$O$2:$O$501,$U27)&amp;"")</f>
        <v/>
      </c>
      <c r="I27" s="11">
        <f>IF($U27="","",INDEX('Per Line'!$Q$2:$Q$501,$U27))</f>
        <v/>
      </c>
      <c r="J27">
        <f>IF($U27="","",INDEX('Per Line'!$R$2:$R$501,$U27)&amp;"")</f>
        <v/>
      </c>
      <c r="K27">
        <f>IF($U27="","",Settings!$C$7)</f>
        <v/>
      </c>
      <c r="L27" s="7">
        <f>IF($U27="","",SUMIFS('Per Line'!$N$2:$N$501,'Per Line'!$A$2:$A$501,$A27,'Per Line'!$W$2:$W$501,0))</f>
        <v/>
      </c>
      <c r="M27" s="7">
        <f>IF($U27="","",L27*K27)</f>
        <v/>
      </c>
      <c r="N27">
        <f>IF($U27="","",Settings!$C$6)</f>
        <v/>
      </c>
      <c r="O27" s="7">
        <f>IF($U27="","",SUMIFS('Per Line'!$N$2:$N$501,'Per Line'!$A$2:$A$501,$A27,'Per Line'!$W$2:$W$501,1))</f>
        <v/>
      </c>
      <c r="P27" s="7">
        <f>IF($U27="","",O27*N27)</f>
        <v/>
      </c>
      <c r="Q27" s="7">
        <f>IF($U27="","",P27+M27)</f>
        <v/>
      </c>
      <c r="R27" s="7">
        <f>IF($U27="","",S27-Q27)</f>
        <v/>
      </c>
      <c r="S27" s="7">
        <f>IF($U27="","",L27+O27)</f>
        <v/>
      </c>
      <c r="T27" s="7">
        <f>IF($U27="","",S27-Q27-G27)</f>
        <v/>
      </c>
      <c r="U27" s="13">
        <f>IF(ROWS($U$2:$U27)&lt;=MAX('Per Line'!$V$2:$V$501),MATCH(ROWS($U$2:$U27),'Per Line'!$V$2:$V$501,0),"")</f>
        <v/>
      </c>
    </row>
    <row r="28">
      <c r="A28">
        <f>IF($U28="","",INDEX('Per Line'!$A$2:$A$501,$U28)&amp;"")</f>
        <v/>
      </c>
      <c r="B28" s="12" t="n"/>
      <c r="C28">
        <f>IF($U28="","",INDEX('Per Line'!$B$2:$B$501,$U28)&amp;"")</f>
        <v/>
      </c>
      <c r="D28">
        <f>IF($U28="","",INDEX('Per Line'!$C$2:$C$501,$U28)&amp;"")</f>
        <v/>
      </c>
      <c r="E28">
        <f>IF($U28="","",INDEX('Per Line'!$D$2:$D$501,$U28)&amp;"")</f>
        <v/>
      </c>
      <c r="F28">
        <f>IF($U28="","",INDEX('Per Line'!$E$2:$E$501,$U28))</f>
        <v/>
      </c>
      <c r="G28" s="7">
        <f>IF($U28="","",F28*S28/100)</f>
        <v/>
      </c>
      <c r="H28">
        <f>IF($U28="","",INDEX('Per Line'!$O$2:$O$501,$U28)&amp;"")</f>
        <v/>
      </c>
      <c r="I28" s="11">
        <f>IF($U28="","",INDEX('Per Line'!$Q$2:$Q$501,$U28))</f>
        <v/>
      </c>
      <c r="J28">
        <f>IF($U28="","",INDEX('Per Line'!$R$2:$R$501,$U28)&amp;"")</f>
        <v/>
      </c>
      <c r="K28">
        <f>IF($U28="","",Settings!$C$7)</f>
        <v/>
      </c>
      <c r="L28" s="7">
        <f>IF($U28="","",SUMIFS('Per Line'!$N$2:$N$501,'Per Line'!$A$2:$A$501,$A28,'Per Line'!$W$2:$W$501,0))</f>
        <v/>
      </c>
      <c r="M28" s="7">
        <f>IF($U28="","",L28*K28)</f>
        <v/>
      </c>
      <c r="N28">
        <f>IF($U28="","",Settings!$C$6)</f>
        <v/>
      </c>
      <c r="O28" s="7">
        <f>IF($U28="","",SUMIFS('Per Line'!$N$2:$N$501,'Per Line'!$A$2:$A$501,$A28,'Per Line'!$W$2:$W$501,1))</f>
        <v/>
      </c>
      <c r="P28" s="7">
        <f>IF($U28="","",O28*N28)</f>
        <v/>
      </c>
      <c r="Q28" s="7">
        <f>IF($U28="","",P28+M28)</f>
        <v/>
      </c>
      <c r="R28" s="7">
        <f>IF($U28="","",S28-Q28)</f>
        <v/>
      </c>
      <c r="S28" s="7">
        <f>IF($U28="","",L28+O28)</f>
        <v/>
      </c>
      <c r="T28" s="7">
        <f>IF($U28="","",S28-Q28-G28)</f>
        <v/>
      </c>
      <c r="U28" s="13">
        <f>IF(ROWS($U$2:$U28)&lt;=MAX('Per Line'!$V$2:$V$501),MATCH(ROWS($U$2:$U28),'Per Line'!$V$2:$V$501,0),"")</f>
        <v/>
      </c>
    </row>
    <row r="29">
      <c r="A29">
        <f>IF($U29="","",INDEX('Per Line'!$A$2:$A$501,$U29)&amp;"")</f>
        <v/>
      </c>
      <c r="B29" s="12" t="n"/>
      <c r="C29">
        <f>IF($U29="","",INDEX('Per Line'!$B$2:$B$501,$U29)&amp;"")</f>
        <v/>
      </c>
      <c r="D29">
        <f>IF($U29="","",INDEX('Per Line'!$C$2:$C$501,$U29)&amp;"")</f>
        <v/>
      </c>
      <c r="E29">
        <f>IF($U29="","",INDEX('Per Line'!$D$2:$D$501,$U29)&amp;"")</f>
        <v/>
      </c>
      <c r="F29">
        <f>IF($U29="","",INDEX('Per Line'!$E$2:$E$501,$U29))</f>
        <v/>
      </c>
      <c r="G29" s="7">
        <f>IF($U29="","",F29*S29/100)</f>
        <v/>
      </c>
      <c r="H29">
        <f>IF($U29="","",INDEX('Per Line'!$O$2:$O$501,$U29)&amp;"")</f>
        <v/>
      </c>
      <c r="I29" s="11">
        <f>IF($U29="","",INDEX('Per Line'!$Q$2:$Q$501,$U29))</f>
        <v/>
      </c>
      <c r="J29">
        <f>IF($U29="","",INDEX('Per Line'!$R$2:$R$501,$U29)&amp;"")</f>
        <v/>
      </c>
      <c r="K29">
        <f>IF($U29="","",Settings!$C$7)</f>
        <v/>
      </c>
      <c r="L29" s="7">
        <f>IF($U29="","",SUMIFS('Per Line'!$N$2:$N$501,'Per Line'!$A$2:$A$501,$A29,'Per Line'!$W$2:$W$501,0))</f>
        <v/>
      </c>
      <c r="M29" s="7">
        <f>IF($U29="","",L29*K29)</f>
        <v/>
      </c>
      <c r="N29">
        <f>IF($U29="","",Settings!$C$6)</f>
        <v/>
      </c>
      <c r="O29" s="7">
        <f>IF($U29="","",SUMIFS('Per Line'!$N$2:$N$501,'Per Line'!$A$2:$A$501,$A29,'Per Line'!$W$2:$W$501,1))</f>
        <v/>
      </c>
      <c r="P29" s="7">
        <f>IF($U29="","",O29*N29)</f>
        <v/>
      </c>
      <c r="Q29" s="7">
        <f>IF($U29="","",P29+M29)</f>
        <v/>
      </c>
      <c r="R29" s="7">
        <f>IF($U29="","",S29-Q29)</f>
        <v/>
      </c>
      <c r="S29" s="7">
        <f>IF($U29="","",L29+O29)</f>
        <v/>
      </c>
      <c r="T29" s="7">
        <f>IF($U29="","",S29-Q29-G29)</f>
        <v/>
      </c>
      <c r="U29" s="13">
        <f>IF(ROWS($U$2:$U29)&lt;=MAX('Per Line'!$V$2:$V$501),MATCH(ROWS($U$2:$U29),'Per Line'!$V$2:$V$501,0),"")</f>
        <v/>
      </c>
    </row>
    <row r="30">
      <c r="A30">
        <f>IF($U30="","",INDEX('Per Line'!$A$2:$A$501,$U30)&amp;"")</f>
        <v/>
      </c>
      <c r="B30" s="12" t="n"/>
      <c r="C30">
        <f>IF($U30="","",INDEX('Per Line'!$B$2:$B$501,$U30)&amp;"")</f>
        <v/>
      </c>
      <c r="D30">
        <f>IF($U30="","",INDEX('Per Line'!$C$2:$C$501,$U30)&amp;"")</f>
        <v/>
      </c>
      <c r="E30">
        <f>IF($U30="","",INDEX('Per Line'!$D$2:$D$501,$U30)&amp;"")</f>
        <v/>
      </c>
      <c r="F30">
        <f>IF($U30="","",INDEX('Per Line'!$E$2:$E$501,$U30))</f>
        <v/>
      </c>
      <c r="G30" s="7">
        <f>IF($U30="","",F30*S30/100)</f>
        <v/>
      </c>
      <c r="H30">
        <f>IF($U30="","",INDEX('Per Line'!$O$2:$O$501,$U30)&amp;"")</f>
        <v/>
      </c>
      <c r="I30" s="11">
        <f>IF($U30="","",INDEX('Per Line'!$Q$2:$Q$501,$U30))</f>
        <v/>
      </c>
      <c r="J30">
        <f>IF($U30="","",INDEX('Per Line'!$R$2:$R$501,$U30)&amp;"")</f>
        <v/>
      </c>
      <c r="K30">
        <f>IF($U30="","",Settings!$C$7)</f>
        <v/>
      </c>
      <c r="L30" s="7">
        <f>IF($U30="","",SUMIFS('Per Line'!$N$2:$N$501,'Per Line'!$A$2:$A$501,$A30,'Per Line'!$W$2:$W$501,0))</f>
        <v/>
      </c>
      <c r="M30" s="7">
        <f>IF($U30="","",L30*K30)</f>
        <v/>
      </c>
      <c r="N30">
        <f>IF($U30="","",Settings!$C$6)</f>
        <v/>
      </c>
      <c r="O30" s="7">
        <f>IF($U30="","",SUMIFS('Per Line'!$N$2:$N$501,'Per Line'!$A$2:$A$501,$A30,'Per Line'!$W$2:$W$501,1))</f>
        <v/>
      </c>
      <c r="P30" s="7">
        <f>IF($U30="","",O30*N30)</f>
        <v/>
      </c>
      <c r="Q30" s="7">
        <f>IF($U30="","",P30+M30)</f>
        <v/>
      </c>
      <c r="R30" s="7">
        <f>IF($U30="","",S30-Q30)</f>
        <v/>
      </c>
      <c r="S30" s="7">
        <f>IF($U30="","",L30+O30)</f>
        <v/>
      </c>
      <c r="T30" s="7">
        <f>IF($U30="","",S30-Q30-G30)</f>
        <v/>
      </c>
      <c r="U30" s="13">
        <f>IF(ROWS($U$2:$U30)&lt;=MAX('Per Line'!$V$2:$V$501),MATCH(ROWS($U$2:$U30),'Per Line'!$V$2:$V$501,0),"")</f>
        <v/>
      </c>
    </row>
    <row r="31">
      <c r="A31">
        <f>IF($U31="","",INDEX('Per Line'!$A$2:$A$501,$U31)&amp;"")</f>
        <v/>
      </c>
      <c r="B31" s="12" t="n"/>
      <c r="C31">
        <f>IF($U31="","",INDEX('Per Line'!$B$2:$B$501,$U31)&amp;"")</f>
        <v/>
      </c>
      <c r="D31">
        <f>IF($U31="","",INDEX('Per Line'!$C$2:$C$501,$U31)&amp;"")</f>
        <v/>
      </c>
      <c r="E31">
        <f>IF($U31="","",INDEX('Per Line'!$D$2:$D$501,$U31)&amp;"")</f>
        <v/>
      </c>
      <c r="F31">
        <f>IF($U31="","",INDEX('Per Line'!$E$2:$E$501,$U31))</f>
        <v/>
      </c>
      <c r="G31" s="7">
        <f>IF($U31="","",F31*S31/100)</f>
        <v/>
      </c>
      <c r="H31">
        <f>IF($U31="","",INDEX('Per Line'!$O$2:$O$501,$U31)&amp;"")</f>
        <v/>
      </c>
      <c r="I31" s="11">
        <f>IF($U31="","",INDEX('Per Line'!$Q$2:$Q$501,$U31))</f>
        <v/>
      </c>
      <c r="J31">
        <f>IF($U31="","",INDEX('Per Line'!$R$2:$R$501,$U31)&amp;"")</f>
        <v/>
      </c>
      <c r="K31">
        <f>IF($U31="","",Settings!$C$7)</f>
        <v/>
      </c>
      <c r="L31" s="7">
        <f>IF($U31="","",SUMIFS('Per Line'!$N$2:$N$501,'Per Line'!$A$2:$A$501,$A31,'Per Line'!$W$2:$W$501,0))</f>
        <v/>
      </c>
      <c r="M31" s="7">
        <f>IF($U31="","",L31*K31)</f>
        <v/>
      </c>
      <c r="N31">
        <f>IF($U31="","",Settings!$C$6)</f>
        <v/>
      </c>
      <c r="O31" s="7">
        <f>IF($U31="","",SUMIFS('Per Line'!$N$2:$N$501,'Per Line'!$A$2:$A$501,$A31,'Per Line'!$W$2:$W$501,1))</f>
        <v/>
      </c>
      <c r="P31" s="7">
        <f>IF($U31="","",O31*N31)</f>
        <v/>
      </c>
      <c r="Q31" s="7">
        <f>IF($U31="","",P31+M31)</f>
        <v/>
      </c>
      <c r="R31" s="7">
        <f>IF($U31="","",S31-Q31)</f>
        <v/>
      </c>
      <c r="S31" s="7">
        <f>IF($U31="","",L31+O31)</f>
        <v/>
      </c>
      <c r="T31" s="7">
        <f>IF($U31="","",S31-Q31-G31)</f>
        <v/>
      </c>
      <c r="U31" s="13">
        <f>IF(ROWS($U$2:$U31)&lt;=MAX('Per Line'!$V$2:$V$501),MATCH(ROWS($U$2:$U31),'Per Line'!$V$2:$V$501,0),"")</f>
        <v/>
      </c>
    </row>
    <row r="32">
      <c r="A32">
        <f>IF($U32="","",INDEX('Per Line'!$A$2:$A$501,$U32)&amp;"")</f>
        <v/>
      </c>
      <c r="B32" s="12" t="n"/>
      <c r="C32">
        <f>IF($U32="","",INDEX('Per Line'!$B$2:$B$501,$U32)&amp;"")</f>
        <v/>
      </c>
      <c r="D32">
        <f>IF($U32="","",INDEX('Per Line'!$C$2:$C$501,$U32)&amp;"")</f>
        <v/>
      </c>
      <c r="E32">
        <f>IF($U32="","",INDEX('Per Line'!$D$2:$D$501,$U32)&amp;"")</f>
        <v/>
      </c>
      <c r="F32">
        <f>IF($U32="","",INDEX('Per Line'!$E$2:$E$501,$U32))</f>
        <v/>
      </c>
      <c r="G32" s="7">
        <f>IF($U32="","",F32*S32/100)</f>
        <v/>
      </c>
      <c r="H32">
        <f>IF($U32="","",INDEX('Per Line'!$O$2:$O$501,$U32)&amp;"")</f>
        <v/>
      </c>
      <c r="I32" s="11">
        <f>IF($U32="","",INDEX('Per Line'!$Q$2:$Q$501,$U32))</f>
        <v/>
      </c>
      <c r="J32">
        <f>IF($U32="","",INDEX('Per Line'!$R$2:$R$501,$U32)&amp;"")</f>
        <v/>
      </c>
      <c r="K32">
        <f>IF($U32="","",Settings!$C$7)</f>
        <v/>
      </c>
      <c r="L32" s="7">
        <f>IF($U32="","",SUMIFS('Per Line'!$N$2:$N$501,'Per Line'!$A$2:$A$501,$A32,'Per Line'!$W$2:$W$501,0))</f>
        <v/>
      </c>
      <c r="M32" s="7">
        <f>IF($U32="","",L32*K32)</f>
        <v/>
      </c>
      <c r="N32">
        <f>IF($U32="","",Settings!$C$6)</f>
        <v/>
      </c>
      <c r="O32" s="7">
        <f>IF($U32="","",SUMIFS('Per Line'!$N$2:$N$501,'Per Line'!$A$2:$A$501,$A32,'Per Line'!$W$2:$W$501,1))</f>
        <v/>
      </c>
      <c r="P32" s="7">
        <f>IF($U32="","",O32*N32)</f>
        <v/>
      </c>
      <c r="Q32" s="7">
        <f>IF($U32="","",P32+M32)</f>
        <v/>
      </c>
      <c r="R32" s="7">
        <f>IF($U32="","",S32-Q32)</f>
        <v/>
      </c>
      <c r="S32" s="7">
        <f>IF($U32="","",L32+O32)</f>
        <v/>
      </c>
      <c r="T32" s="7">
        <f>IF($U32="","",S32-Q32-G32)</f>
        <v/>
      </c>
      <c r="U32" s="13">
        <f>IF(ROWS($U$2:$U32)&lt;=MAX('Per Line'!$V$2:$V$501),MATCH(ROWS($U$2:$U32),'Per Line'!$V$2:$V$501,0),"")</f>
        <v/>
      </c>
    </row>
    <row r="33">
      <c r="A33">
        <f>IF($U33="","",INDEX('Per Line'!$A$2:$A$501,$U33)&amp;"")</f>
        <v/>
      </c>
      <c r="B33" s="12" t="n"/>
      <c r="C33">
        <f>IF($U33="","",INDEX('Per Line'!$B$2:$B$501,$U33)&amp;"")</f>
        <v/>
      </c>
      <c r="D33">
        <f>IF($U33="","",INDEX('Per Line'!$C$2:$C$501,$U33)&amp;"")</f>
        <v/>
      </c>
      <c r="E33">
        <f>IF($U33="","",INDEX('Per Line'!$D$2:$D$501,$U33)&amp;"")</f>
        <v/>
      </c>
      <c r="F33">
        <f>IF($U33="","",INDEX('Per Line'!$E$2:$E$501,$U33))</f>
        <v/>
      </c>
      <c r="G33" s="7">
        <f>IF($U33="","",F33*S33/100)</f>
        <v/>
      </c>
      <c r="H33">
        <f>IF($U33="","",INDEX('Per Line'!$O$2:$O$501,$U33)&amp;"")</f>
        <v/>
      </c>
      <c r="I33" s="11">
        <f>IF($U33="","",INDEX('Per Line'!$Q$2:$Q$501,$U33))</f>
        <v/>
      </c>
      <c r="J33">
        <f>IF($U33="","",INDEX('Per Line'!$R$2:$R$501,$U33)&amp;"")</f>
        <v/>
      </c>
      <c r="K33">
        <f>IF($U33="","",Settings!$C$7)</f>
        <v/>
      </c>
      <c r="L33" s="7">
        <f>IF($U33="","",SUMIFS('Per Line'!$N$2:$N$501,'Per Line'!$A$2:$A$501,$A33,'Per Line'!$W$2:$W$501,0))</f>
        <v/>
      </c>
      <c r="M33" s="7">
        <f>IF($U33="","",L33*K33)</f>
        <v/>
      </c>
      <c r="N33">
        <f>IF($U33="","",Settings!$C$6)</f>
        <v/>
      </c>
      <c r="O33" s="7">
        <f>IF($U33="","",SUMIFS('Per Line'!$N$2:$N$501,'Per Line'!$A$2:$A$501,$A33,'Per Line'!$W$2:$W$501,1))</f>
        <v/>
      </c>
      <c r="P33" s="7">
        <f>IF($U33="","",O33*N33)</f>
        <v/>
      </c>
      <c r="Q33" s="7">
        <f>IF($U33="","",P33+M33)</f>
        <v/>
      </c>
      <c r="R33" s="7">
        <f>IF($U33="","",S33-Q33)</f>
        <v/>
      </c>
      <c r="S33" s="7">
        <f>IF($U33="","",L33+O33)</f>
        <v/>
      </c>
      <c r="T33" s="7">
        <f>IF($U33="","",S33-Q33-G33)</f>
        <v/>
      </c>
      <c r="U33" s="13">
        <f>IF(ROWS($U$2:$U33)&lt;=MAX('Per Line'!$V$2:$V$501),MATCH(ROWS($U$2:$U33),'Per Line'!$V$2:$V$501,0),"")</f>
        <v/>
      </c>
    </row>
    <row r="34">
      <c r="A34">
        <f>IF($U34="","",INDEX('Per Line'!$A$2:$A$501,$U34)&amp;"")</f>
        <v/>
      </c>
      <c r="B34" s="12" t="n"/>
      <c r="C34">
        <f>IF($U34="","",INDEX('Per Line'!$B$2:$B$501,$U34)&amp;"")</f>
        <v/>
      </c>
      <c r="D34">
        <f>IF($U34="","",INDEX('Per Line'!$C$2:$C$501,$U34)&amp;"")</f>
        <v/>
      </c>
      <c r="E34">
        <f>IF($U34="","",INDEX('Per Line'!$D$2:$D$501,$U34)&amp;"")</f>
        <v/>
      </c>
      <c r="F34">
        <f>IF($U34="","",INDEX('Per Line'!$E$2:$E$501,$U34))</f>
        <v/>
      </c>
      <c r="G34" s="7">
        <f>IF($U34="","",F34*S34/100)</f>
        <v/>
      </c>
      <c r="H34">
        <f>IF($U34="","",INDEX('Per Line'!$O$2:$O$501,$U34)&amp;"")</f>
        <v/>
      </c>
      <c r="I34" s="11">
        <f>IF($U34="","",INDEX('Per Line'!$Q$2:$Q$501,$U34))</f>
        <v/>
      </c>
      <c r="J34">
        <f>IF($U34="","",INDEX('Per Line'!$R$2:$R$501,$U34)&amp;"")</f>
        <v/>
      </c>
      <c r="K34">
        <f>IF($U34="","",Settings!$C$7)</f>
        <v/>
      </c>
      <c r="L34" s="7">
        <f>IF($U34="","",SUMIFS('Per Line'!$N$2:$N$501,'Per Line'!$A$2:$A$501,$A34,'Per Line'!$W$2:$W$501,0))</f>
        <v/>
      </c>
      <c r="M34" s="7">
        <f>IF($U34="","",L34*K34)</f>
        <v/>
      </c>
      <c r="N34">
        <f>IF($U34="","",Settings!$C$6)</f>
        <v/>
      </c>
      <c r="O34" s="7">
        <f>IF($U34="","",SUMIFS('Per Line'!$N$2:$N$501,'Per Line'!$A$2:$A$501,$A34,'Per Line'!$W$2:$W$501,1))</f>
        <v/>
      </c>
      <c r="P34" s="7">
        <f>IF($U34="","",O34*N34)</f>
        <v/>
      </c>
      <c r="Q34" s="7">
        <f>IF($U34="","",P34+M34)</f>
        <v/>
      </c>
      <c r="R34" s="7">
        <f>IF($U34="","",S34-Q34)</f>
        <v/>
      </c>
      <c r="S34" s="7">
        <f>IF($U34="","",L34+O34)</f>
        <v/>
      </c>
      <c r="T34" s="7">
        <f>IF($U34="","",S34-Q34-G34)</f>
        <v/>
      </c>
      <c r="U34" s="13">
        <f>IF(ROWS($U$2:$U34)&lt;=MAX('Per Line'!$V$2:$V$501),MATCH(ROWS($U$2:$U34),'Per Line'!$V$2:$V$501,0),"")</f>
        <v/>
      </c>
    </row>
    <row r="35">
      <c r="A35">
        <f>IF($U35="","",INDEX('Per Line'!$A$2:$A$501,$U35)&amp;"")</f>
        <v/>
      </c>
      <c r="B35" s="12" t="n"/>
      <c r="C35">
        <f>IF($U35="","",INDEX('Per Line'!$B$2:$B$501,$U35)&amp;"")</f>
        <v/>
      </c>
      <c r="D35">
        <f>IF($U35="","",INDEX('Per Line'!$C$2:$C$501,$U35)&amp;"")</f>
        <v/>
      </c>
      <c r="E35">
        <f>IF($U35="","",INDEX('Per Line'!$D$2:$D$501,$U35)&amp;"")</f>
        <v/>
      </c>
      <c r="F35">
        <f>IF($U35="","",INDEX('Per Line'!$E$2:$E$501,$U35))</f>
        <v/>
      </c>
      <c r="G35" s="7">
        <f>IF($U35="","",F35*S35/100)</f>
        <v/>
      </c>
      <c r="H35">
        <f>IF($U35="","",INDEX('Per Line'!$O$2:$O$501,$U35)&amp;"")</f>
        <v/>
      </c>
      <c r="I35" s="11">
        <f>IF($U35="","",INDEX('Per Line'!$Q$2:$Q$501,$U35))</f>
        <v/>
      </c>
      <c r="J35">
        <f>IF($U35="","",INDEX('Per Line'!$R$2:$R$501,$U35)&amp;"")</f>
        <v/>
      </c>
      <c r="K35">
        <f>IF($U35="","",Settings!$C$7)</f>
        <v/>
      </c>
      <c r="L35" s="7">
        <f>IF($U35="","",SUMIFS('Per Line'!$N$2:$N$501,'Per Line'!$A$2:$A$501,$A35,'Per Line'!$W$2:$W$501,0))</f>
        <v/>
      </c>
      <c r="M35" s="7">
        <f>IF($U35="","",L35*K35)</f>
        <v/>
      </c>
      <c r="N35">
        <f>IF($U35="","",Settings!$C$6)</f>
        <v/>
      </c>
      <c r="O35" s="7">
        <f>IF($U35="","",SUMIFS('Per Line'!$N$2:$N$501,'Per Line'!$A$2:$A$501,$A35,'Per Line'!$W$2:$W$501,1))</f>
        <v/>
      </c>
      <c r="P35" s="7">
        <f>IF($U35="","",O35*N35)</f>
        <v/>
      </c>
      <c r="Q35" s="7">
        <f>IF($U35="","",P35+M35)</f>
        <v/>
      </c>
      <c r="R35" s="7">
        <f>IF($U35="","",S35-Q35)</f>
        <v/>
      </c>
      <c r="S35" s="7">
        <f>IF($U35="","",L35+O35)</f>
        <v/>
      </c>
      <c r="T35" s="7">
        <f>IF($U35="","",S35-Q35-G35)</f>
        <v/>
      </c>
      <c r="U35" s="13">
        <f>IF(ROWS($U$2:$U35)&lt;=MAX('Per Line'!$V$2:$V$501),MATCH(ROWS($U$2:$U35),'Per Line'!$V$2:$V$501,0),"")</f>
        <v/>
      </c>
    </row>
    <row r="36">
      <c r="A36">
        <f>IF($U36="","",INDEX('Per Line'!$A$2:$A$501,$U36)&amp;"")</f>
        <v/>
      </c>
      <c r="B36" s="12" t="n"/>
      <c r="C36">
        <f>IF($U36="","",INDEX('Per Line'!$B$2:$B$501,$U36)&amp;"")</f>
        <v/>
      </c>
      <c r="D36">
        <f>IF($U36="","",INDEX('Per Line'!$C$2:$C$501,$U36)&amp;"")</f>
        <v/>
      </c>
      <c r="E36">
        <f>IF($U36="","",INDEX('Per Line'!$D$2:$D$501,$U36)&amp;"")</f>
        <v/>
      </c>
      <c r="F36">
        <f>IF($U36="","",INDEX('Per Line'!$E$2:$E$501,$U36))</f>
        <v/>
      </c>
      <c r="G36" s="7">
        <f>IF($U36="","",F36*S36/100)</f>
        <v/>
      </c>
      <c r="H36">
        <f>IF($U36="","",INDEX('Per Line'!$O$2:$O$501,$U36)&amp;"")</f>
        <v/>
      </c>
      <c r="I36" s="11">
        <f>IF($U36="","",INDEX('Per Line'!$Q$2:$Q$501,$U36))</f>
        <v/>
      </c>
      <c r="J36">
        <f>IF($U36="","",INDEX('Per Line'!$R$2:$R$501,$U36)&amp;"")</f>
        <v/>
      </c>
      <c r="K36">
        <f>IF($U36="","",Settings!$C$7)</f>
        <v/>
      </c>
      <c r="L36" s="7">
        <f>IF($U36="","",SUMIFS('Per Line'!$N$2:$N$501,'Per Line'!$A$2:$A$501,$A36,'Per Line'!$W$2:$W$501,0))</f>
        <v/>
      </c>
      <c r="M36" s="7">
        <f>IF($U36="","",L36*K36)</f>
        <v/>
      </c>
      <c r="N36">
        <f>IF($U36="","",Settings!$C$6)</f>
        <v/>
      </c>
      <c r="O36" s="7">
        <f>IF($U36="","",SUMIFS('Per Line'!$N$2:$N$501,'Per Line'!$A$2:$A$501,$A36,'Per Line'!$W$2:$W$501,1))</f>
        <v/>
      </c>
      <c r="P36" s="7">
        <f>IF($U36="","",O36*N36)</f>
        <v/>
      </c>
      <c r="Q36" s="7">
        <f>IF($U36="","",P36+M36)</f>
        <v/>
      </c>
      <c r="R36" s="7">
        <f>IF($U36="","",S36-Q36)</f>
        <v/>
      </c>
      <c r="S36" s="7">
        <f>IF($U36="","",L36+O36)</f>
        <v/>
      </c>
      <c r="T36" s="7">
        <f>IF($U36="","",S36-Q36-G36)</f>
        <v/>
      </c>
      <c r="U36" s="13">
        <f>IF(ROWS($U$2:$U36)&lt;=MAX('Per Line'!$V$2:$V$501),MATCH(ROWS($U$2:$U36),'Per Line'!$V$2:$V$501,0),"")</f>
        <v/>
      </c>
    </row>
    <row r="37">
      <c r="A37">
        <f>IF($U37="","",INDEX('Per Line'!$A$2:$A$501,$U37)&amp;"")</f>
        <v/>
      </c>
      <c r="B37" s="12" t="n"/>
      <c r="C37">
        <f>IF($U37="","",INDEX('Per Line'!$B$2:$B$501,$U37)&amp;"")</f>
        <v/>
      </c>
      <c r="D37">
        <f>IF($U37="","",INDEX('Per Line'!$C$2:$C$501,$U37)&amp;"")</f>
        <v/>
      </c>
      <c r="E37">
        <f>IF($U37="","",INDEX('Per Line'!$D$2:$D$501,$U37)&amp;"")</f>
        <v/>
      </c>
      <c r="F37">
        <f>IF($U37="","",INDEX('Per Line'!$E$2:$E$501,$U37))</f>
        <v/>
      </c>
      <c r="G37" s="7">
        <f>IF($U37="","",F37*S37/100)</f>
        <v/>
      </c>
      <c r="H37">
        <f>IF($U37="","",INDEX('Per Line'!$O$2:$O$501,$U37)&amp;"")</f>
        <v/>
      </c>
      <c r="I37" s="11">
        <f>IF($U37="","",INDEX('Per Line'!$Q$2:$Q$501,$U37))</f>
        <v/>
      </c>
      <c r="J37">
        <f>IF($U37="","",INDEX('Per Line'!$R$2:$R$501,$U37)&amp;"")</f>
        <v/>
      </c>
      <c r="K37">
        <f>IF($U37="","",Settings!$C$7)</f>
        <v/>
      </c>
      <c r="L37" s="7">
        <f>IF($U37="","",SUMIFS('Per Line'!$N$2:$N$501,'Per Line'!$A$2:$A$501,$A37,'Per Line'!$W$2:$W$501,0))</f>
        <v/>
      </c>
      <c r="M37" s="7">
        <f>IF($U37="","",L37*K37)</f>
        <v/>
      </c>
      <c r="N37">
        <f>IF($U37="","",Settings!$C$6)</f>
        <v/>
      </c>
      <c r="O37" s="7">
        <f>IF($U37="","",SUMIFS('Per Line'!$N$2:$N$501,'Per Line'!$A$2:$A$501,$A37,'Per Line'!$W$2:$W$501,1))</f>
        <v/>
      </c>
      <c r="P37" s="7">
        <f>IF($U37="","",O37*N37)</f>
        <v/>
      </c>
      <c r="Q37" s="7">
        <f>IF($U37="","",P37+M37)</f>
        <v/>
      </c>
      <c r="R37" s="7">
        <f>IF($U37="","",S37-Q37)</f>
        <v/>
      </c>
      <c r="S37" s="7">
        <f>IF($U37="","",L37+O37)</f>
        <v/>
      </c>
      <c r="T37" s="7">
        <f>IF($U37="","",S37-Q37-G37)</f>
        <v/>
      </c>
      <c r="U37" s="13">
        <f>IF(ROWS($U$2:$U37)&lt;=MAX('Per Line'!$V$2:$V$501),MATCH(ROWS($U$2:$U37),'Per Line'!$V$2:$V$501,0),"")</f>
        <v/>
      </c>
    </row>
    <row r="38">
      <c r="A38">
        <f>IF($U38="","",INDEX('Per Line'!$A$2:$A$501,$U38)&amp;"")</f>
        <v/>
      </c>
      <c r="B38" s="12" t="n"/>
      <c r="C38">
        <f>IF($U38="","",INDEX('Per Line'!$B$2:$B$501,$U38)&amp;"")</f>
        <v/>
      </c>
      <c r="D38">
        <f>IF($U38="","",INDEX('Per Line'!$C$2:$C$501,$U38)&amp;"")</f>
        <v/>
      </c>
      <c r="E38">
        <f>IF($U38="","",INDEX('Per Line'!$D$2:$D$501,$U38)&amp;"")</f>
        <v/>
      </c>
      <c r="F38">
        <f>IF($U38="","",INDEX('Per Line'!$E$2:$E$501,$U38))</f>
        <v/>
      </c>
      <c r="G38" s="7">
        <f>IF($U38="","",F38*S38/100)</f>
        <v/>
      </c>
      <c r="H38">
        <f>IF($U38="","",INDEX('Per Line'!$O$2:$O$501,$U38)&amp;"")</f>
        <v/>
      </c>
      <c r="I38" s="11">
        <f>IF($U38="","",INDEX('Per Line'!$Q$2:$Q$501,$U38))</f>
        <v/>
      </c>
      <c r="J38">
        <f>IF($U38="","",INDEX('Per Line'!$R$2:$R$501,$U38)&amp;"")</f>
        <v/>
      </c>
      <c r="K38">
        <f>IF($U38="","",Settings!$C$7)</f>
        <v/>
      </c>
      <c r="L38" s="7">
        <f>IF($U38="","",SUMIFS('Per Line'!$N$2:$N$501,'Per Line'!$A$2:$A$501,$A38,'Per Line'!$W$2:$W$501,0))</f>
        <v/>
      </c>
      <c r="M38" s="7">
        <f>IF($U38="","",L38*K38)</f>
        <v/>
      </c>
      <c r="N38">
        <f>IF($U38="","",Settings!$C$6)</f>
        <v/>
      </c>
      <c r="O38" s="7">
        <f>IF($U38="","",SUMIFS('Per Line'!$N$2:$N$501,'Per Line'!$A$2:$A$501,$A38,'Per Line'!$W$2:$W$501,1))</f>
        <v/>
      </c>
      <c r="P38" s="7">
        <f>IF($U38="","",O38*N38)</f>
        <v/>
      </c>
      <c r="Q38" s="7">
        <f>IF($U38="","",P38+M38)</f>
        <v/>
      </c>
      <c r="R38" s="7">
        <f>IF($U38="","",S38-Q38)</f>
        <v/>
      </c>
      <c r="S38" s="7">
        <f>IF($U38="","",L38+O38)</f>
        <v/>
      </c>
      <c r="T38" s="7">
        <f>IF($U38="","",S38-Q38-G38)</f>
        <v/>
      </c>
      <c r="U38" s="13">
        <f>IF(ROWS($U$2:$U38)&lt;=MAX('Per Line'!$V$2:$V$501),MATCH(ROWS($U$2:$U38),'Per Line'!$V$2:$V$501,0),"")</f>
        <v/>
      </c>
    </row>
    <row r="39">
      <c r="A39">
        <f>IF($U39="","",INDEX('Per Line'!$A$2:$A$501,$U39)&amp;"")</f>
        <v/>
      </c>
      <c r="B39" s="12" t="n"/>
      <c r="C39">
        <f>IF($U39="","",INDEX('Per Line'!$B$2:$B$501,$U39)&amp;"")</f>
        <v/>
      </c>
      <c r="D39">
        <f>IF($U39="","",INDEX('Per Line'!$C$2:$C$501,$U39)&amp;"")</f>
        <v/>
      </c>
      <c r="E39">
        <f>IF($U39="","",INDEX('Per Line'!$D$2:$D$501,$U39)&amp;"")</f>
        <v/>
      </c>
      <c r="F39">
        <f>IF($U39="","",INDEX('Per Line'!$E$2:$E$501,$U39))</f>
        <v/>
      </c>
      <c r="G39" s="7">
        <f>IF($U39="","",F39*S39/100)</f>
        <v/>
      </c>
      <c r="H39">
        <f>IF($U39="","",INDEX('Per Line'!$O$2:$O$501,$U39)&amp;"")</f>
        <v/>
      </c>
      <c r="I39" s="11">
        <f>IF($U39="","",INDEX('Per Line'!$Q$2:$Q$501,$U39))</f>
        <v/>
      </c>
      <c r="J39">
        <f>IF($U39="","",INDEX('Per Line'!$R$2:$R$501,$U39)&amp;"")</f>
        <v/>
      </c>
      <c r="K39">
        <f>IF($U39="","",Settings!$C$7)</f>
        <v/>
      </c>
      <c r="L39" s="7">
        <f>IF($U39="","",SUMIFS('Per Line'!$N$2:$N$501,'Per Line'!$A$2:$A$501,$A39,'Per Line'!$W$2:$W$501,0))</f>
        <v/>
      </c>
      <c r="M39" s="7">
        <f>IF($U39="","",L39*K39)</f>
        <v/>
      </c>
      <c r="N39">
        <f>IF($U39="","",Settings!$C$6)</f>
        <v/>
      </c>
      <c r="O39" s="7">
        <f>IF($U39="","",SUMIFS('Per Line'!$N$2:$N$501,'Per Line'!$A$2:$A$501,$A39,'Per Line'!$W$2:$W$501,1))</f>
        <v/>
      </c>
      <c r="P39" s="7">
        <f>IF($U39="","",O39*N39)</f>
        <v/>
      </c>
      <c r="Q39" s="7">
        <f>IF($U39="","",P39+M39)</f>
        <v/>
      </c>
      <c r="R39" s="7">
        <f>IF($U39="","",S39-Q39)</f>
        <v/>
      </c>
      <c r="S39" s="7">
        <f>IF($U39="","",L39+O39)</f>
        <v/>
      </c>
      <c r="T39" s="7">
        <f>IF($U39="","",S39-Q39-G39)</f>
        <v/>
      </c>
      <c r="U39" s="13">
        <f>IF(ROWS($U$2:$U39)&lt;=MAX('Per Line'!$V$2:$V$501),MATCH(ROWS($U$2:$U39),'Per Line'!$V$2:$V$501,0),"")</f>
        <v/>
      </c>
    </row>
    <row r="40">
      <c r="A40">
        <f>IF($U40="","",INDEX('Per Line'!$A$2:$A$501,$U40)&amp;"")</f>
        <v/>
      </c>
      <c r="B40" s="12" t="n"/>
      <c r="C40">
        <f>IF($U40="","",INDEX('Per Line'!$B$2:$B$501,$U40)&amp;"")</f>
        <v/>
      </c>
      <c r="D40">
        <f>IF($U40="","",INDEX('Per Line'!$C$2:$C$501,$U40)&amp;"")</f>
        <v/>
      </c>
      <c r="E40">
        <f>IF($U40="","",INDEX('Per Line'!$D$2:$D$501,$U40)&amp;"")</f>
        <v/>
      </c>
      <c r="F40">
        <f>IF($U40="","",INDEX('Per Line'!$E$2:$E$501,$U40))</f>
        <v/>
      </c>
      <c r="G40" s="7">
        <f>IF($U40="","",F40*S40/100)</f>
        <v/>
      </c>
      <c r="H40">
        <f>IF($U40="","",INDEX('Per Line'!$O$2:$O$501,$U40)&amp;"")</f>
        <v/>
      </c>
      <c r="I40" s="11">
        <f>IF($U40="","",INDEX('Per Line'!$Q$2:$Q$501,$U40))</f>
        <v/>
      </c>
      <c r="J40">
        <f>IF($U40="","",INDEX('Per Line'!$R$2:$R$501,$U40)&amp;"")</f>
        <v/>
      </c>
      <c r="K40">
        <f>IF($U40="","",Settings!$C$7)</f>
        <v/>
      </c>
      <c r="L40" s="7">
        <f>IF($U40="","",SUMIFS('Per Line'!$N$2:$N$501,'Per Line'!$A$2:$A$501,$A40,'Per Line'!$W$2:$W$501,0))</f>
        <v/>
      </c>
      <c r="M40" s="7">
        <f>IF($U40="","",L40*K40)</f>
        <v/>
      </c>
      <c r="N40">
        <f>IF($U40="","",Settings!$C$6)</f>
        <v/>
      </c>
      <c r="O40" s="7">
        <f>IF($U40="","",SUMIFS('Per Line'!$N$2:$N$501,'Per Line'!$A$2:$A$501,$A40,'Per Line'!$W$2:$W$501,1))</f>
        <v/>
      </c>
      <c r="P40" s="7">
        <f>IF($U40="","",O40*N40)</f>
        <v/>
      </c>
      <c r="Q40" s="7">
        <f>IF($U40="","",P40+M40)</f>
        <v/>
      </c>
      <c r="R40" s="7">
        <f>IF($U40="","",S40-Q40)</f>
        <v/>
      </c>
      <c r="S40" s="7">
        <f>IF($U40="","",L40+O40)</f>
        <v/>
      </c>
      <c r="T40" s="7">
        <f>IF($U40="","",S40-Q40-G40)</f>
        <v/>
      </c>
      <c r="U40" s="13">
        <f>IF(ROWS($U$2:$U40)&lt;=MAX('Per Line'!$V$2:$V$501),MATCH(ROWS($U$2:$U40),'Per Line'!$V$2:$V$501,0),"")</f>
        <v/>
      </c>
    </row>
    <row r="41">
      <c r="A41">
        <f>IF($U41="","",INDEX('Per Line'!$A$2:$A$501,$U41)&amp;"")</f>
        <v/>
      </c>
      <c r="B41" s="12" t="n"/>
      <c r="C41">
        <f>IF($U41="","",INDEX('Per Line'!$B$2:$B$501,$U41)&amp;"")</f>
        <v/>
      </c>
      <c r="D41">
        <f>IF($U41="","",INDEX('Per Line'!$C$2:$C$501,$U41)&amp;"")</f>
        <v/>
      </c>
      <c r="E41">
        <f>IF($U41="","",INDEX('Per Line'!$D$2:$D$501,$U41)&amp;"")</f>
        <v/>
      </c>
      <c r="F41">
        <f>IF($U41="","",INDEX('Per Line'!$E$2:$E$501,$U41))</f>
        <v/>
      </c>
      <c r="G41" s="7">
        <f>IF($U41="","",F41*S41/100)</f>
        <v/>
      </c>
      <c r="H41">
        <f>IF($U41="","",INDEX('Per Line'!$O$2:$O$501,$U41)&amp;"")</f>
        <v/>
      </c>
      <c r="I41" s="11">
        <f>IF($U41="","",INDEX('Per Line'!$Q$2:$Q$501,$U41))</f>
        <v/>
      </c>
      <c r="J41">
        <f>IF($U41="","",INDEX('Per Line'!$R$2:$R$501,$U41)&amp;"")</f>
        <v/>
      </c>
      <c r="K41">
        <f>IF($U41="","",Settings!$C$7)</f>
        <v/>
      </c>
      <c r="L41" s="7">
        <f>IF($U41="","",SUMIFS('Per Line'!$N$2:$N$501,'Per Line'!$A$2:$A$501,$A41,'Per Line'!$W$2:$W$501,0))</f>
        <v/>
      </c>
      <c r="M41" s="7">
        <f>IF($U41="","",L41*K41)</f>
        <v/>
      </c>
      <c r="N41">
        <f>IF($U41="","",Settings!$C$6)</f>
        <v/>
      </c>
      <c r="O41" s="7">
        <f>IF($U41="","",SUMIFS('Per Line'!$N$2:$N$501,'Per Line'!$A$2:$A$501,$A41,'Per Line'!$W$2:$W$501,1))</f>
        <v/>
      </c>
      <c r="P41" s="7">
        <f>IF($U41="","",O41*N41)</f>
        <v/>
      </c>
      <c r="Q41" s="7">
        <f>IF($U41="","",P41+M41)</f>
        <v/>
      </c>
      <c r="R41" s="7">
        <f>IF($U41="","",S41-Q41)</f>
        <v/>
      </c>
      <c r="S41" s="7">
        <f>IF($U41="","",L41+O41)</f>
        <v/>
      </c>
      <c r="T41" s="7">
        <f>IF($U41="","",S41-Q41-G41)</f>
        <v/>
      </c>
      <c r="U41" s="13">
        <f>IF(ROWS($U$2:$U41)&lt;=MAX('Per Line'!$V$2:$V$501),MATCH(ROWS($U$2:$U41),'Per Line'!$V$2:$V$501,0),"")</f>
        <v/>
      </c>
    </row>
    <row r="42">
      <c r="A42">
        <f>IF($U42="","",INDEX('Per Line'!$A$2:$A$501,$U42)&amp;"")</f>
        <v/>
      </c>
      <c r="B42" s="12" t="n"/>
      <c r="C42">
        <f>IF($U42="","",INDEX('Per Line'!$B$2:$B$501,$U42)&amp;"")</f>
        <v/>
      </c>
      <c r="D42">
        <f>IF($U42="","",INDEX('Per Line'!$C$2:$C$501,$U42)&amp;"")</f>
        <v/>
      </c>
      <c r="E42">
        <f>IF($U42="","",INDEX('Per Line'!$D$2:$D$501,$U42)&amp;"")</f>
        <v/>
      </c>
      <c r="F42">
        <f>IF($U42="","",INDEX('Per Line'!$E$2:$E$501,$U42))</f>
        <v/>
      </c>
      <c r="G42" s="7">
        <f>IF($U42="","",F42*S42/100)</f>
        <v/>
      </c>
      <c r="H42">
        <f>IF($U42="","",INDEX('Per Line'!$O$2:$O$501,$U42)&amp;"")</f>
        <v/>
      </c>
      <c r="I42" s="11">
        <f>IF($U42="","",INDEX('Per Line'!$Q$2:$Q$501,$U42))</f>
        <v/>
      </c>
      <c r="J42">
        <f>IF($U42="","",INDEX('Per Line'!$R$2:$R$501,$U42)&amp;"")</f>
        <v/>
      </c>
      <c r="K42">
        <f>IF($U42="","",Settings!$C$7)</f>
        <v/>
      </c>
      <c r="L42" s="7">
        <f>IF($U42="","",SUMIFS('Per Line'!$N$2:$N$501,'Per Line'!$A$2:$A$501,$A42,'Per Line'!$W$2:$W$501,0))</f>
        <v/>
      </c>
      <c r="M42" s="7">
        <f>IF($U42="","",L42*K42)</f>
        <v/>
      </c>
      <c r="N42">
        <f>IF($U42="","",Settings!$C$6)</f>
        <v/>
      </c>
      <c r="O42" s="7">
        <f>IF($U42="","",SUMIFS('Per Line'!$N$2:$N$501,'Per Line'!$A$2:$A$501,$A42,'Per Line'!$W$2:$W$501,1))</f>
        <v/>
      </c>
      <c r="P42" s="7">
        <f>IF($U42="","",O42*N42)</f>
        <v/>
      </c>
      <c r="Q42" s="7">
        <f>IF($U42="","",P42+M42)</f>
        <v/>
      </c>
      <c r="R42" s="7">
        <f>IF($U42="","",S42-Q42)</f>
        <v/>
      </c>
      <c r="S42" s="7">
        <f>IF($U42="","",L42+O42)</f>
        <v/>
      </c>
      <c r="T42" s="7">
        <f>IF($U42="","",S42-Q42-G42)</f>
        <v/>
      </c>
      <c r="U42" s="13">
        <f>IF(ROWS($U$2:$U42)&lt;=MAX('Per Line'!$V$2:$V$501),MATCH(ROWS($U$2:$U42),'Per Line'!$V$2:$V$501,0),"")</f>
        <v/>
      </c>
    </row>
    <row r="43">
      <c r="A43">
        <f>IF($U43="","",INDEX('Per Line'!$A$2:$A$501,$U43)&amp;"")</f>
        <v/>
      </c>
      <c r="B43" s="12" t="n"/>
      <c r="C43">
        <f>IF($U43="","",INDEX('Per Line'!$B$2:$B$501,$U43)&amp;"")</f>
        <v/>
      </c>
      <c r="D43">
        <f>IF($U43="","",INDEX('Per Line'!$C$2:$C$501,$U43)&amp;"")</f>
        <v/>
      </c>
      <c r="E43">
        <f>IF($U43="","",INDEX('Per Line'!$D$2:$D$501,$U43)&amp;"")</f>
        <v/>
      </c>
      <c r="F43">
        <f>IF($U43="","",INDEX('Per Line'!$E$2:$E$501,$U43))</f>
        <v/>
      </c>
      <c r="G43" s="7">
        <f>IF($U43="","",F43*S43/100)</f>
        <v/>
      </c>
      <c r="H43">
        <f>IF($U43="","",INDEX('Per Line'!$O$2:$O$501,$U43)&amp;"")</f>
        <v/>
      </c>
      <c r="I43" s="11">
        <f>IF($U43="","",INDEX('Per Line'!$Q$2:$Q$501,$U43))</f>
        <v/>
      </c>
      <c r="J43">
        <f>IF($U43="","",INDEX('Per Line'!$R$2:$R$501,$U43)&amp;"")</f>
        <v/>
      </c>
      <c r="K43">
        <f>IF($U43="","",Settings!$C$7)</f>
        <v/>
      </c>
      <c r="L43" s="7">
        <f>IF($U43="","",SUMIFS('Per Line'!$N$2:$N$501,'Per Line'!$A$2:$A$501,$A43,'Per Line'!$W$2:$W$501,0))</f>
        <v/>
      </c>
      <c r="M43" s="7">
        <f>IF($U43="","",L43*K43)</f>
        <v/>
      </c>
      <c r="N43">
        <f>IF($U43="","",Settings!$C$6)</f>
        <v/>
      </c>
      <c r="O43" s="7">
        <f>IF($U43="","",SUMIFS('Per Line'!$N$2:$N$501,'Per Line'!$A$2:$A$501,$A43,'Per Line'!$W$2:$W$501,1))</f>
        <v/>
      </c>
      <c r="P43" s="7">
        <f>IF($U43="","",O43*N43)</f>
        <v/>
      </c>
      <c r="Q43" s="7">
        <f>IF($U43="","",P43+M43)</f>
        <v/>
      </c>
      <c r="R43" s="7">
        <f>IF($U43="","",S43-Q43)</f>
        <v/>
      </c>
      <c r="S43" s="7">
        <f>IF($U43="","",L43+O43)</f>
        <v/>
      </c>
      <c r="T43" s="7">
        <f>IF($U43="","",S43-Q43-G43)</f>
        <v/>
      </c>
      <c r="U43" s="13">
        <f>IF(ROWS($U$2:$U43)&lt;=MAX('Per Line'!$V$2:$V$501),MATCH(ROWS($U$2:$U43),'Per Line'!$V$2:$V$501,0),"")</f>
        <v/>
      </c>
    </row>
    <row r="44">
      <c r="A44">
        <f>IF($U44="","",INDEX('Per Line'!$A$2:$A$501,$U44)&amp;"")</f>
        <v/>
      </c>
      <c r="B44" s="12" t="n"/>
      <c r="C44">
        <f>IF($U44="","",INDEX('Per Line'!$B$2:$B$501,$U44)&amp;"")</f>
        <v/>
      </c>
      <c r="D44">
        <f>IF($U44="","",INDEX('Per Line'!$C$2:$C$501,$U44)&amp;"")</f>
        <v/>
      </c>
      <c r="E44">
        <f>IF($U44="","",INDEX('Per Line'!$D$2:$D$501,$U44)&amp;"")</f>
        <v/>
      </c>
      <c r="F44">
        <f>IF($U44="","",INDEX('Per Line'!$E$2:$E$501,$U44))</f>
        <v/>
      </c>
      <c r="G44" s="7">
        <f>IF($U44="","",F44*S44/100)</f>
        <v/>
      </c>
      <c r="H44">
        <f>IF($U44="","",INDEX('Per Line'!$O$2:$O$501,$U44)&amp;"")</f>
        <v/>
      </c>
      <c r="I44" s="11">
        <f>IF($U44="","",INDEX('Per Line'!$Q$2:$Q$501,$U44))</f>
        <v/>
      </c>
      <c r="J44">
        <f>IF($U44="","",INDEX('Per Line'!$R$2:$R$501,$U44)&amp;"")</f>
        <v/>
      </c>
      <c r="K44">
        <f>IF($U44="","",Settings!$C$7)</f>
        <v/>
      </c>
      <c r="L44" s="7">
        <f>IF($U44="","",SUMIFS('Per Line'!$N$2:$N$501,'Per Line'!$A$2:$A$501,$A44,'Per Line'!$W$2:$W$501,0))</f>
        <v/>
      </c>
      <c r="M44" s="7">
        <f>IF($U44="","",L44*K44)</f>
        <v/>
      </c>
      <c r="N44">
        <f>IF($U44="","",Settings!$C$6)</f>
        <v/>
      </c>
      <c r="O44" s="7">
        <f>IF($U44="","",SUMIFS('Per Line'!$N$2:$N$501,'Per Line'!$A$2:$A$501,$A44,'Per Line'!$W$2:$W$501,1))</f>
        <v/>
      </c>
      <c r="P44" s="7">
        <f>IF($U44="","",O44*N44)</f>
        <v/>
      </c>
      <c r="Q44" s="7">
        <f>IF($U44="","",P44+M44)</f>
        <v/>
      </c>
      <c r="R44" s="7">
        <f>IF($U44="","",S44-Q44)</f>
        <v/>
      </c>
      <c r="S44" s="7">
        <f>IF($U44="","",L44+O44)</f>
        <v/>
      </c>
      <c r="T44" s="7">
        <f>IF($U44="","",S44-Q44-G44)</f>
        <v/>
      </c>
      <c r="U44" s="13">
        <f>IF(ROWS($U$2:$U44)&lt;=MAX('Per Line'!$V$2:$V$501),MATCH(ROWS($U$2:$U44),'Per Line'!$V$2:$V$501,0),"")</f>
        <v/>
      </c>
    </row>
    <row r="45">
      <c r="A45">
        <f>IF($U45="","",INDEX('Per Line'!$A$2:$A$501,$U45)&amp;"")</f>
        <v/>
      </c>
      <c r="B45" s="12" t="n"/>
      <c r="C45">
        <f>IF($U45="","",INDEX('Per Line'!$B$2:$B$501,$U45)&amp;"")</f>
        <v/>
      </c>
      <c r="D45">
        <f>IF($U45="","",INDEX('Per Line'!$C$2:$C$501,$U45)&amp;"")</f>
        <v/>
      </c>
      <c r="E45">
        <f>IF($U45="","",INDEX('Per Line'!$D$2:$D$501,$U45)&amp;"")</f>
        <v/>
      </c>
      <c r="F45">
        <f>IF($U45="","",INDEX('Per Line'!$E$2:$E$501,$U45))</f>
        <v/>
      </c>
      <c r="G45" s="7">
        <f>IF($U45="","",F45*S45/100)</f>
        <v/>
      </c>
      <c r="H45">
        <f>IF($U45="","",INDEX('Per Line'!$O$2:$O$501,$U45)&amp;"")</f>
        <v/>
      </c>
      <c r="I45" s="11">
        <f>IF($U45="","",INDEX('Per Line'!$Q$2:$Q$501,$U45))</f>
        <v/>
      </c>
      <c r="J45">
        <f>IF($U45="","",INDEX('Per Line'!$R$2:$R$501,$U45)&amp;"")</f>
        <v/>
      </c>
      <c r="K45">
        <f>IF($U45="","",Settings!$C$7)</f>
        <v/>
      </c>
      <c r="L45" s="7">
        <f>IF($U45="","",SUMIFS('Per Line'!$N$2:$N$501,'Per Line'!$A$2:$A$501,$A45,'Per Line'!$W$2:$W$501,0))</f>
        <v/>
      </c>
      <c r="M45" s="7">
        <f>IF($U45="","",L45*K45)</f>
        <v/>
      </c>
      <c r="N45">
        <f>IF($U45="","",Settings!$C$6)</f>
        <v/>
      </c>
      <c r="O45" s="7">
        <f>IF($U45="","",SUMIFS('Per Line'!$N$2:$N$501,'Per Line'!$A$2:$A$501,$A45,'Per Line'!$W$2:$W$501,1))</f>
        <v/>
      </c>
      <c r="P45" s="7">
        <f>IF($U45="","",O45*N45)</f>
        <v/>
      </c>
      <c r="Q45" s="7">
        <f>IF($U45="","",P45+M45)</f>
        <v/>
      </c>
      <c r="R45" s="7">
        <f>IF($U45="","",S45-Q45)</f>
        <v/>
      </c>
      <c r="S45" s="7">
        <f>IF($U45="","",L45+O45)</f>
        <v/>
      </c>
      <c r="T45" s="7">
        <f>IF($U45="","",S45-Q45-G45)</f>
        <v/>
      </c>
      <c r="U45" s="13">
        <f>IF(ROWS($U$2:$U45)&lt;=MAX('Per Line'!$V$2:$V$501),MATCH(ROWS($U$2:$U45),'Per Line'!$V$2:$V$501,0),"")</f>
        <v/>
      </c>
    </row>
    <row r="46">
      <c r="A46">
        <f>IF($U46="","",INDEX('Per Line'!$A$2:$A$501,$U46)&amp;"")</f>
        <v/>
      </c>
      <c r="B46" s="12" t="n"/>
      <c r="C46">
        <f>IF($U46="","",INDEX('Per Line'!$B$2:$B$501,$U46)&amp;"")</f>
        <v/>
      </c>
      <c r="D46">
        <f>IF($U46="","",INDEX('Per Line'!$C$2:$C$501,$U46)&amp;"")</f>
        <v/>
      </c>
      <c r="E46">
        <f>IF($U46="","",INDEX('Per Line'!$D$2:$D$501,$U46)&amp;"")</f>
        <v/>
      </c>
      <c r="F46">
        <f>IF($U46="","",INDEX('Per Line'!$E$2:$E$501,$U46))</f>
        <v/>
      </c>
      <c r="G46" s="7">
        <f>IF($U46="","",F46*S46/100)</f>
        <v/>
      </c>
      <c r="H46">
        <f>IF($U46="","",INDEX('Per Line'!$O$2:$O$501,$U46)&amp;"")</f>
        <v/>
      </c>
      <c r="I46" s="11">
        <f>IF($U46="","",INDEX('Per Line'!$Q$2:$Q$501,$U46))</f>
        <v/>
      </c>
      <c r="J46">
        <f>IF($U46="","",INDEX('Per Line'!$R$2:$R$501,$U46)&amp;"")</f>
        <v/>
      </c>
      <c r="K46">
        <f>IF($U46="","",Settings!$C$7)</f>
        <v/>
      </c>
      <c r="L46" s="7">
        <f>IF($U46="","",SUMIFS('Per Line'!$N$2:$N$501,'Per Line'!$A$2:$A$501,$A46,'Per Line'!$W$2:$W$501,0))</f>
        <v/>
      </c>
      <c r="M46" s="7">
        <f>IF($U46="","",L46*K46)</f>
        <v/>
      </c>
      <c r="N46">
        <f>IF($U46="","",Settings!$C$6)</f>
        <v/>
      </c>
      <c r="O46" s="7">
        <f>IF($U46="","",SUMIFS('Per Line'!$N$2:$N$501,'Per Line'!$A$2:$A$501,$A46,'Per Line'!$W$2:$W$501,1))</f>
        <v/>
      </c>
      <c r="P46" s="7">
        <f>IF($U46="","",O46*N46)</f>
        <v/>
      </c>
      <c r="Q46" s="7">
        <f>IF($U46="","",P46+M46)</f>
        <v/>
      </c>
      <c r="R46" s="7">
        <f>IF($U46="","",S46-Q46)</f>
        <v/>
      </c>
      <c r="S46" s="7">
        <f>IF($U46="","",L46+O46)</f>
        <v/>
      </c>
      <c r="T46" s="7">
        <f>IF($U46="","",S46-Q46-G46)</f>
        <v/>
      </c>
      <c r="U46" s="13">
        <f>IF(ROWS($U$2:$U46)&lt;=MAX('Per Line'!$V$2:$V$501),MATCH(ROWS($U$2:$U46),'Per Line'!$V$2:$V$501,0),"")</f>
        <v/>
      </c>
    </row>
    <row r="47">
      <c r="A47">
        <f>IF($U47="","",INDEX('Per Line'!$A$2:$A$501,$U47)&amp;"")</f>
        <v/>
      </c>
      <c r="B47" s="12" t="n"/>
      <c r="C47">
        <f>IF($U47="","",INDEX('Per Line'!$B$2:$B$501,$U47)&amp;"")</f>
        <v/>
      </c>
      <c r="D47">
        <f>IF($U47="","",INDEX('Per Line'!$C$2:$C$501,$U47)&amp;"")</f>
        <v/>
      </c>
      <c r="E47">
        <f>IF($U47="","",INDEX('Per Line'!$D$2:$D$501,$U47)&amp;"")</f>
        <v/>
      </c>
      <c r="F47">
        <f>IF($U47="","",INDEX('Per Line'!$E$2:$E$501,$U47))</f>
        <v/>
      </c>
      <c r="G47" s="7">
        <f>IF($U47="","",F47*S47/100)</f>
        <v/>
      </c>
      <c r="H47">
        <f>IF($U47="","",INDEX('Per Line'!$O$2:$O$501,$U47)&amp;"")</f>
        <v/>
      </c>
      <c r="I47" s="11">
        <f>IF($U47="","",INDEX('Per Line'!$Q$2:$Q$501,$U47))</f>
        <v/>
      </c>
      <c r="J47">
        <f>IF($U47="","",INDEX('Per Line'!$R$2:$R$501,$U47)&amp;"")</f>
        <v/>
      </c>
      <c r="K47">
        <f>IF($U47="","",Settings!$C$7)</f>
        <v/>
      </c>
      <c r="L47" s="7">
        <f>IF($U47="","",SUMIFS('Per Line'!$N$2:$N$501,'Per Line'!$A$2:$A$501,$A47,'Per Line'!$W$2:$W$501,0))</f>
        <v/>
      </c>
      <c r="M47" s="7">
        <f>IF($U47="","",L47*K47)</f>
        <v/>
      </c>
      <c r="N47">
        <f>IF($U47="","",Settings!$C$6)</f>
        <v/>
      </c>
      <c r="O47" s="7">
        <f>IF($U47="","",SUMIFS('Per Line'!$N$2:$N$501,'Per Line'!$A$2:$A$501,$A47,'Per Line'!$W$2:$W$501,1))</f>
        <v/>
      </c>
      <c r="P47" s="7">
        <f>IF($U47="","",O47*N47)</f>
        <v/>
      </c>
      <c r="Q47" s="7">
        <f>IF($U47="","",P47+M47)</f>
        <v/>
      </c>
      <c r="R47" s="7">
        <f>IF($U47="","",S47-Q47)</f>
        <v/>
      </c>
      <c r="S47" s="7">
        <f>IF($U47="","",L47+O47)</f>
        <v/>
      </c>
      <c r="T47" s="7">
        <f>IF($U47="","",S47-Q47-G47)</f>
        <v/>
      </c>
      <c r="U47" s="13">
        <f>IF(ROWS($U$2:$U47)&lt;=MAX('Per Line'!$V$2:$V$501),MATCH(ROWS($U$2:$U47),'Per Line'!$V$2:$V$501,0),"")</f>
        <v/>
      </c>
    </row>
    <row r="48">
      <c r="A48">
        <f>IF($U48="","",INDEX('Per Line'!$A$2:$A$501,$U48)&amp;"")</f>
        <v/>
      </c>
      <c r="B48" s="12" t="n"/>
      <c r="C48">
        <f>IF($U48="","",INDEX('Per Line'!$B$2:$B$501,$U48)&amp;"")</f>
        <v/>
      </c>
      <c r="D48">
        <f>IF($U48="","",INDEX('Per Line'!$C$2:$C$501,$U48)&amp;"")</f>
        <v/>
      </c>
      <c r="E48">
        <f>IF($U48="","",INDEX('Per Line'!$D$2:$D$501,$U48)&amp;"")</f>
        <v/>
      </c>
      <c r="F48">
        <f>IF($U48="","",INDEX('Per Line'!$E$2:$E$501,$U48))</f>
        <v/>
      </c>
      <c r="G48" s="7">
        <f>IF($U48="","",F48*S48/100)</f>
        <v/>
      </c>
      <c r="H48">
        <f>IF($U48="","",INDEX('Per Line'!$O$2:$O$501,$U48)&amp;"")</f>
        <v/>
      </c>
      <c r="I48" s="11">
        <f>IF($U48="","",INDEX('Per Line'!$Q$2:$Q$501,$U48))</f>
        <v/>
      </c>
      <c r="J48">
        <f>IF($U48="","",INDEX('Per Line'!$R$2:$R$501,$U48)&amp;"")</f>
        <v/>
      </c>
      <c r="K48">
        <f>IF($U48="","",Settings!$C$7)</f>
        <v/>
      </c>
      <c r="L48" s="7">
        <f>IF($U48="","",SUMIFS('Per Line'!$N$2:$N$501,'Per Line'!$A$2:$A$501,$A48,'Per Line'!$W$2:$W$501,0))</f>
        <v/>
      </c>
      <c r="M48" s="7">
        <f>IF($U48="","",L48*K48)</f>
        <v/>
      </c>
      <c r="N48">
        <f>IF($U48="","",Settings!$C$6)</f>
        <v/>
      </c>
      <c r="O48" s="7">
        <f>IF($U48="","",SUMIFS('Per Line'!$N$2:$N$501,'Per Line'!$A$2:$A$501,$A48,'Per Line'!$W$2:$W$501,1))</f>
        <v/>
      </c>
      <c r="P48" s="7">
        <f>IF($U48="","",O48*N48)</f>
        <v/>
      </c>
      <c r="Q48" s="7">
        <f>IF($U48="","",P48+M48)</f>
        <v/>
      </c>
      <c r="R48" s="7">
        <f>IF($U48="","",S48-Q48)</f>
        <v/>
      </c>
      <c r="S48" s="7">
        <f>IF($U48="","",L48+O48)</f>
        <v/>
      </c>
      <c r="T48" s="7">
        <f>IF($U48="","",S48-Q48-G48)</f>
        <v/>
      </c>
      <c r="U48" s="13">
        <f>IF(ROWS($U$2:$U48)&lt;=MAX('Per Line'!$V$2:$V$501),MATCH(ROWS($U$2:$U48),'Per Line'!$V$2:$V$501,0),"")</f>
        <v/>
      </c>
    </row>
    <row r="49">
      <c r="A49">
        <f>IF($U49="","",INDEX('Per Line'!$A$2:$A$501,$U49)&amp;"")</f>
        <v/>
      </c>
      <c r="B49" s="12" t="n"/>
      <c r="C49">
        <f>IF($U49="","",INDEX('Per Line'!$B$2:$B$501,$U49)&amp;"")</f>
        <v/>
      </c>
      <c r="D49">
        <f>IF($U49="","",INDEX('Per Line'!$C$2:$C$501,$U49)&amp;"")</f>
        <v/>
      </c>
      <c r="E49">
        <f>IF($U49="","",INDEX('Per Line'!$D$2:$D$501,$U49)&amp;"")</f>
        <v/>
      </c>
      <c r="F49">
        <f>IF($U49="","",INDEX('Per Line'!$E$2:$E$501,$U49))</f>
        <v/>
      </c>
      <c r="G49" s="7">
        <f>IF($U49="","",F49*S49/100)</f>
        <v/>
      </c>
      <c r="H49">
        <f>IF($U49="","",INDEX('Per Line'!$O$2:$O$501,$U49)&amp;"")</f>
        <v/>
      </c>
      <c r="I49" s="11">
        <f>IF($U49="","",INDEX('Per Line'!$Q$2:$Q$501,$U49))</f>
        <v/>
      </c>
      <c r="J49">
        <f>IF($U49="","",INDEX('Per Line'!$R$2:$R$501,$U49)&amp;"")</f>
        <v/>
      </c>
      <c r="K49">
        <f>IF($U49="","",Settings!$C$7)</f>
        <v/>
      </c>
      <c r="L49" s="7">
        <f>IF($U49="","",SUMIFS('Per Line'!$N$2:$N$501,'Per Line'!$A$2:$A$501,$A49,'Per Line'!$W$2:$W$501,0))</f>
        <v/>
      </c>
      <c r="M49" s="7">
        <f>IF($U49="","",L49*K49)</f>
        <v/>
      </c>
      <c r="N49">
        <f>IF($U49="","",Settings!$C$6)</f>
        <v/>
      </c>
      <c r="O49" s="7">
        <f>IF($U49="","",SUMIFS('Per Line'!$N$2:$N$501,'Per Line'!$A$2:$A$501,$A49,'Per Line'!$W$2:$W$501,1))</f>
        <v/>
      </c>
      <c r="P49" s="7">
        <f>IF($U49="","",O49*N49)</f>
        <v/>
      </c>
      <c r="Q49" s="7">
        <f>IF($U49="","",P49+M49)</f>
        <v/>
      </c>
      <c r="R49" s="7">
        <f>IF($U49="","",S49-Q49)</f>
        <v/>
      </c>
      <c r="S49" s="7">
        <f>IF($U49="","",L49+O49)</f>
        <v/>
      </c>
      <c r="T49" s="7">
        <f>IF($U49="","",S49-Q49-G49)</f>
        <v/>
      </c>
      <c r="U49" s="13">
        <f>IF(ROWS($U$2:$U49)&lt;=MAX('Per Line'!$V$2:$V$501),MATCH(ROWS($U$2:$U49),'Per Line'!$V$2:$V$501,0),"")</f>
        <v/>
      </c>
    </row>
    <row r="50">
      <c r="A50">
        <f>IF($U50="","",INDEX('Per Line'!$A$2:$A$501,$U50)&amp;"")</f>
        <v/>
      </c>
      <c r="B50" s="12" t="n"/>
      <c r="C50">
        <f>IF($U50="","",INDEX('Per Line'!$B$2:$B$501,$U50)&amp;"")</f>
        <v/>
      </c>
      <c r="D50">
        <f>IF($U50="","",INDEX('Per Line'!$C$2:$C$501,$U50)&amp;"")</f>
        <v/>
      </c>
      <c r="E50">
        <f>IF($U50="","",INDEX('Per Line'!$D$2:$D$501,$U50)&amp;"")</f>
        <v/>
      </c>
      <c r="F50">
        <f>IF($U50="","",INDEX('Per Line'!$E$2:$E$501,$U50))</f>
        <v/>
      </c>
      <c r="G50" s="7">
        <f>IF($U50="","",F50*S50/100)</f>
        <v/>
      </c>
      <c r="H50">
        <f>IF($U50="","",INDEX('Per Line'!$O$2:$O$501,$U50)&amp;"")</f>
        <v/>
      </c>
      <c r="I50" s="11">
        <f>IF($U50="","",INDEX('Per Line'!$Q$2:$Q$501,$U50))</f>
        <v/>
      </c>
      <c r="J50">
        <f>IF($U50="","",INDEX('Per Line'!$R$2:$R$501,$U50)&amp;"")</f>
        <v/>
      </c>
      <c r="K50">
        <f>IF($U50="","",Settings!$C$7)</f>
        <v/>
      </c>
      <c r="L50" s="7">
        <f>IF($U50="","",SUMIFS('Per Line'!$N$2:$N$501,'Per Line'!$A$2:$A$501,$A50,'Per Line'!$W$2:$W$501,0))</f>
        <v/>
      </c>
      <c r="M50" s="7">
        <f>IF($U50="","",L50*K50)</f>
        <v/>
      </c>
      <c r="N50">
        <f>IF($U50="","",Settings!$C$6)</f>
        <v/>
      </c>
      <c r="O50" s="7">
        <f>IF($U50="","",SUMIFS('Per Line'!$N$2:$N$501,'Per Line'!$A$2:$A$501,$A50,'Per Line'!$W$2:$W$501,1))</f>
        <v/>
      </c>
      <c r="P50" s="7">
        <f>IF($U50="","",O50*N50)</f>
        <v/>
      </c>
      <c r="Q50" s="7">
        <f>IF($U50="","",P50+M50)</f>
        <v/>
      </c>
      <c r="R50" s="7">
        <f>IF($U50="","",S50-Q50)</f>
        <v/>
      </c>
      <c r="S50" s="7">
        <f>IF($U50="","",L50+O50)</f>
        <v/>
      </c>
      <c r="T50" s="7">
        <f>IF($U50="","",S50-Q50-G50)</f>
        <v/>
      </c>
      <c r="U50" s="13">
        <f>IF(ROWS($U$2:$U50)&lt;=MAX('Per Line'!$V$2:$V$501),MATCH(ROWS($U$2:$U50),'Per Line'!$V$2:$V$501,0),"")</f>
        <v/>
      </c>
    </row>
    <row r="51">
      <c r="A51">
        <f>IF($U51="","",INDEX('Per Line'!$A$2:$A$501,$U51)&amp;"")</f>
        <v/>
      </c>
      <c r="B51" s="12" t="n"/>
      <c r="C51">
        <f>IF($U51="","",INDEX('Per Line'!$B$2:$B$501,$U51)&amp;"")</f>
        <v/>
      </c>
      <c r="D51">
        <f>IF($U51="","",INDEX('Per Line'!$C$2:$C$501,$U51)&amp;"")</f>
        <v/>
      </c>
      <c r="E51">
        <f>IF($U51="","",INDEX('Per Line'!$D$2:$D$501,$U51)&amp;"")</f>
        <v/>
      </c>
      <c r="F51">
        <f>IF($U51="","",INDEX('Per Line'!$E$2:$E$501,$U51))</f>
        <v/>
      </c>
      <c r="G51" s="7">
        <f>IF($U51="","",F51*S51/100)</f>
        <v/>
      </c>
      <c r="H51">
        <f>IF($U51="","",INDEX('Per Line'!$O$2:$O$501,$U51)&amp;"")</f>
        <v/>
      </c>
      <c r="I51" s="11">
        <f>IF($U51="","",INDEX('Per Line'!$Q$2:$Q$501,$U51))</f>
        <v/>
      </c>
      <c r="J51">
        <f>IF($U51="","",INDEX('Per Line'!$R$2:$R$501,$U51)&amp;"")</f>
        <v/>
      </c>
      <c r="K51">
        <f>IF($U51="","",Settings!$C$7)</f>
        <v/>
      </c>
      <c r="L51" s="7">
        <f>IF($U51="","",SUMIFS('Per Line'!$N$2:$N$501,'Per Line'!$A$2:$A$501,$A51,'Per Line'!$W$2:$W$501,0))</f>
        <v/>
      </c>
      <c r="M51" s="7">
        <f>IF($U51="","",L51*K51)</f>
        <v/>
      </c>
      <c r="N51">
        <f>IF($U51="","",Settings!$C$6)</f>
        <v/>
      </c>
      <c r="O51" s="7">
        <f>IF($U51="","",SUMIFS('Per Line'!$N$2:$N$501,'Per Line'!$A$2:$A$501,$A51,'Per Line'!$W$2:$W$501,1))</f>
        <v/>
      </c>
      <c r="P51" s="7">
        <f>IF($U51="","",O51*N51)</f>
        <v/>
      </c>
      <c r="Q51" s="7">
        <f>IF($U51="","",P51+M51)</f>
        <v/>
      </c>
      <c r="R51" s="7">
        <f>IF($U51="","",S51-Q51)</f>
        <v/>
      </c>
      <c r="S51" s="7">
        <f>IF($U51="","",L51+O51)</f>
        <v/>
      </c>
      <c r="T51" s="7">
        <f>IF($U51="","",S51-Q51-G51)</f>
        <v/>
      </c>
      <c r="U51" s="13">
        <f>IF(ROWS($U$2:$U51)&lt;=MAX('Per Line'!$V$2:$V$501),MATCH(ROWS($U$2:$U51),'Per Line'!$V$2:$V$501,0),"")</f>
        <v/>
      </c>
    </row>
    <row r="52">
      <c r="A52">
        <f>IF($U52="","",INDEX('Per Line'!$A$2:$A$501,$U52)&amp;"")</f>
        <v/>
      </c>
      <c r="B52" s="12" t="n"/>
      <c r="C52">
        <f>IF($U52="","",INDEX('Per Line'!$B$2:$B$501,$U52)&amp;"")</f>
        <v/>
      </c>
      <c r="D52">
        <f>IF($U52="","",INDEX('Per Line'!$C$2:$C$501,$U52)&amp;"")</f>
        <v/>
      </c>
      <c r="E52">
        <f>IF($U52="","",INDEX('Per Line'!$D$2:$D$501,$U52)&amp;"")</f>
        <v/>
      </c>
      <c r="F52">
        <f>IF($U52="","",INDEX('Per Line'!$E$2:$E$501,$U52))</f>
        <v/>
      </c>
      <c r="G52" s="7">
        <f>IF($U52="","",F52*S52/100)</f>
        <v/>
      </c>
      <c r="H52">
        <f>IF($U52="","",INDEX('Per Line'!$O$2:$O$501,$U52)&amp;"")</f>
        <v/>
      </c>
      <c r="I52" s="11">
        <f>IF($U52="","",INDEX('Per Line'!$Q$2:$Q$501,$U52))</f>
        <v/>
      </c>
      <c r="J52">
        <f>IF($U52="","",INDEX('Per Line'!$R$2:$R$501,$U52)&amp;"")</f>
        <v/>
      </c>
      <c r="K52">
        <f>IF($U52="","",Settings!$C$7)</f>
        <v/>
      </c>
      <c r="L52" s="7">
        <f>IF($U52="","",SUMIFS('Per Line'!$N$2:$N$501,'Per Line'!$A$2:$A$501,$A52,'Per Line'!$W$2:$W$501,0))</f>
        <v/>
      </c>
      <c r="M52" s="7">
        <f>IF($U52="","",L52*K52)</f>
        <v/>
      </c>
      <c r="N52">
        <f>IF($U52="","",Settings!$C$6)</f>
        <v/>
      </c>
      <c r="O52" s="7">
        <f>IF($U52="","",SUMIFS('Per Line'!$N$2:$N$501,'Per Line'!$A$2:$A$501,$A52,'Per Line'!$W$2:$W$501,1))</f>
        <v/>
      </c>
      <c r="P52" s="7">
        <f>IF($U52="","",O52*N52)</f>
        <v/>
      </c>
      <c r="Q52" s="7">
        <f>IF($U52="","",P52+M52)</f>
        <v/>
      </c>
      <c r="R52" s="7">
        <f>IF($U52="","",S52-Q52)</f>
        <v/>
      </c>
      <c r="S52" s="7">
        <f>IF($U52="","",L52+O52)</f>
        <v/>
      </c>
      <c r="T52" s="7">
        <f>IF($U52="","",S52-Q52-G52)</f>
        <v/>
      </c>
      <c r="U52" s="13">
        <f>IF(ROWS($U$2:$U52)&lt;=MAX('Per Line'!$V$2:$V$501),MATCH(ROWS($U$2:$U52),'Per Line'!$V$2:$V$501,0),"")</f>
        <v/>
      </c>
    </row>
    <row r="53">
      <c r="A53">
        <f>IF($U53="","",INDEX('Per Line'!$A$2:$A$501,$U53)&amp;"")</f>
        <v/>
      </c>
      <c r="B53" s="12" t="n"/>
      <c r="C53">
        <f>IF($U53="","",INDEX('Per Line'!$B$2:$B$501,$U53)&amp;"")</f>
        <v/>
      </c>
      <c r="D53">
        <f>IF($U53="","",INDEX('Per Line'!$C$2:$C$501,$U53)&amp;"")</f>
        <v/>
      </c>
      <c r="E53">
        <f>IF($U53="","",INDEX('Per Line'!$D$2:$D$501,$U53)&amp;"")</f>
        <v/>
      </c>
      <c r="F53">
        <f>IF($U53="","",INDEX('Per Line'!$E$2:$E$501,$U53))</f>
        <v/>
      </c>
      <c r="G53" s="7">
        <f>IF($U53="","",F53*S53/100)</f>
        <v/>
      </c>
      <c r="H53">
        <f>IF($U53="","",INDEX('Per Line'!$O$2:$O$501,$U53)&amp;"")</f>
        <v/>
      </c>
      <c r="I53" s="11">
        <f>IF($U53="","",INDEX('Per Line'!$Q$2:$Q$501,$U53))</f>
        <v/>
      </c>
      <c r="J53">
        <f>IF($U53="","",INDEX('Per Line'!$R$2:$R$501,$U53)&amp;"")</f>
        <v/>
      </c>
      <c r="K53">
        <f>IF($U53="","",Settings!$C$7)</f>
        <v/>
      </c>
      <c r="L53" s="7">
        <f>IF($U53="","",SUMIFS('Per Line'!$N$2:$N$501,'Per Line'!$A$2:$A$501,$A53,'Per Line'!$W$2:$W$501,0))</f>
        <v/>
      </c>
      <c r="M53" s="7">
        <f>IF($U53="","",L53*K53)</f>
        <v/>
      </c>
      <c r="N53">
        <f>IF($U53="","",Settings!$C$6)</f>
        <v/>
      </c>
      <c r="O53" s="7">
        <f>IF($U53="","",SUMIFS('Per Line'!$N$2:$N$501,'Per Line'!$A$2:$A$501,$A53,'Per Line'!$W$2:$W$501,1))</f>
        <v/>
      </c>
      <c r="P53" s="7">
        <f>IF($U53="","",O53*N53)</f>
        <v/>
      </c>
      <c r="Q53" s="7">
        <f>IF($U53="","",P53+M53)</f>
        <v/>
      </c>
      <c r="R53" s="7">
        <f>IF($U53="","",S53-Q53)</f>
        <v/>
      </c>
      <c r="S53" s="7">
        <f>IF($U53="","",L53+O53)</f>
        <v/>
      </c>
      <c r="T53" s="7">
        <f>IF($U53="","",S53-Q53-G53)</f>
        <v/>
      </c>
      <c r="U53" s="13">
        <f>IF(ROWS($U$2:$U53)&lt;=MAX('Per Line'!$V$2:$V$501),MATCH(ROWS($U$2:$U53),'Per Line'!$V$2:$V$501,0),"")</f>
        <v/>
      </c>
    </row>
    <row r="54">
      <c r="A54">
        <f>IF($U54="","",INDEX('Per Line'!$A$2:$A$501,$U54)&amp;"")</f>
        <v/>
      </c>
      <c r="B54" s="12" t="n"/>
      <c r="C54">
        <f>IF($U54="","",INDEX('Per Line'!$B$2:$B$501,$U54)&amp;"")</f>
        <v/>
      </c>
      <c r="D54">
        <f>IF($U54="","",INDEX('Per Line'!$C$2:$C$501,$U54)&amp;"")</f>
        <v/>
      </c>
      <c r="E54">
        <f>IF($U54="","",INDEX('Per Line'!$D$2:$D$501,$U54)&amp;"")</f>
        <v/>
      </c>
      <c r="F54">
        <f>IF($U54="","",INDEX('Per Line'!$E$2:$E$501,$U54))</f>
        <v/>
      </c>
      <c r="G54" s="7">
        <f>IF($U54="","",F54*S54/100)</f>
        <v/>
      </c>
      <c r="H54">
        <f>IF($U54="","",INDEX('Per Line'!$O$2:$O$501,$U54)&amp;"")</f>
        <v/>
      </c>
      <c r="I54" s="11">
        <f>IF($U54="","",INDEX('Per Line'!$Q$2:$Q$501,$U54))</f>
        <v/>
      </c>
      <c r="J54">
        <f>IF($U54="","",INDEX('Per Line'!$R$2:$R$501,$U54)&amp;"")</f>
        <v/>
      </c>
      <c r="K54">
        <f>IF($U54="","",Settings!$C$7)</f>
        <v/>
      </c>
      <c r="L54" s="7">
        <f>IF($U54="","",SUMIFS('Per Line'!$N$2:$N$501,'Per Line'!$A$2:$A$501,$A54,'Per Line'!$W$2:$W$501,0))</f>
        <v/>
      </c>
      <c r="M54" s="7">
        <f>IF($U54="","",L54*K54)</f>
        <v/>
      </c>
      <c r="N54">
        <f>IF($U54="","",Settings!$C$6)</f>
        <v/>
      </c>
      <c r="O54" s="7">
        <f>IF($U54="","",SUMIFS('Per Line'!$N$2:$N$501,'Per Line'!$A$2:$A$501,$A54,'Per Line'!$W$2:$W$501,1))</f>
        <v/>
      </c>
      <c r="P54" s="7">
        <f>IF($U54="","",O54*N54)</f>
        <v/>
      </c>
      <c r="Q54" s="7">
        <f>IF($U54="","",P54+M54)</f>
        <v/>
      </c>
      <c r="R54" s="7">
        <f>IF($U54="","",S54-Q54)</f>
        <v/>
      </c>
      <c r="S54" s="7">
        <f>IF($U54="","",L54+O54)</f>
        <v/>
      </c>
      <c r="T54" s="7">
        <f>IF($U54="","",S54-Q54-G54)</f>
        <v/>
      </c>
      <c r="U54" s="13">
        <f>IF(ROWS($U$2:$U54)&lt;=MAX('Per Line'!$V$2:$V$501),MATCH(ROWS($U$2:$U54),'Per Line'!$V$2:$V$501,0),"")</f>
        <v/>
      </c>
    </row>
    <row r="55">
      <c r="A55">
        <f>IF($U55="","",INDEX('Per Line'!$A$2:$A$501,$U55)&amp;"")</f>
        <v/>
      </c>
      <c r="B55" s="12" t="n"/>
      <c r="C55">
        <f>IF($U55="","",INDEX('Per Line'!$B$2:$B$501,$U55)&amp;"")</f>
        <v/>
      </c>
      <c r="D55">
        <f>IF($U55="","",INDEX('Per Line'!$C$2:$C$501,$U55)&amp;"")</f>
        <v/>
      </c>
      <c r="E55">
        <f>IF($U55="","",INDEX('Per Line'!$D$2:$D$501,$U55)&amp;"")</f>
        <v/>
      </c>
      <c r="F55">
        <f>IF($U55="","",INDEX('Per Line'!$E$2:$E$501,$U55))</f>
        <v/>
      </c>
      <c r="G55" s="7">
        <f>IF($U55="","",F55*S55/100)</f>
        <v/>
      </c>
      <c r="H55">
        <f>IF($U55="","",INDEX('Per Line'!$O$2:$O$501,$U55)&amp;"")</f>
        <v/>
      </c>
      <c r="I55" s="11">
        <f>IF($U55="","",INDEX('Per Line'!$Q$2:$Q$501,$U55))</f>
        <v/>
      </c>
      <c r="J55">
        <f>IF($U55="","",INDEX('Per Line'!$R$2:$R$501,$U55)&amp;"")</f>
        <v/>
      </c>
      <c r="K55">
        <f>IF($U55="","",Settings!$C$7)</f>
        <v/>
      </c>
      <c r="L55" s="7">
        <f>IF($U55="","",SUMIFS('Per Line'!$N$2:$N$501,'Per Line'!$A$2:$A$501,$A55,'Per Line'!$W$2:$W$501,0))</f>
        <v/>
      </c>
      <c r="M55" s="7">
        <f>IF($U55="","",L55*K55)</f>
        <v/>
      </c>
      <c r="N55">
        <f>IF($U55="","",Settings!$C$6)</f>
        <v/>
      </c>
      <c r="O55" s="7">
        <f>IF($U55="","",SUMIFS('Per Line'!$N$2:$N$501,'Per Line'!$A$2:$A$501,$A55,'Per Line'!$W$2:$W$501,1))</f>
        <v/>
      </c>
      <c r="P55" s="7">
        <f>IF($U55="","",O55*N55)</f>
        <v/>
      </c>
      <c r="Q55" s="7">
        <f>IF($U55="","",P55+M55)</f>
        <v/>
      </c>
      <c r="R55" s="7">
        <f>IF($U55="","",S55-Q55)</f>
        <v/>
      </c>
      <c r="S55" s="7">
        <f>IF($U55="","",L55+O55)</f>
        <v/>
      </c>
      <c r="T55" s="7">
        <f>IF($U55="","",S55-Q55-G55)</f>
        <v/>
      </c>
      <c r="U55" s="13">
        <f>IF(ROWS($U$2:$U55)&lt;=MAX('Per Line'!$V$2:$V$501),MATCH(ROWS($U$2:$U55),'Per Line'!$V$2:$V$501,0),"")</f>
        <v/>
      </c>
    </row>
    <row r="56">
      <c r="A56">
        <f>IF($U56="","",INDEX('Per Line'!$A$2:$A$501,$U56)&amp;"")</f>
        <v/>
      </c>
      <c r="B56" s="12" t="n"/>
      <c r="C56">
        <f>IF($U56="","",INDEX('Per Line'!$B$2:$B$501,$U56)&amp;"")</f>
        <v/>
      </c>
      <c r="D56">
        <f>IF($U56="","",INDEX('Per Line'!$C$2:$C$501,$U56)&amp;"")</f>
        <v/>
      </c>
      <c r="E56">
        <f>IF($U56="","",INDEX('Per Line'!$D$2:$D$501,$U56)&amp;"")</f>
        <v/>
      </c>
      <c r="F56">
        <f>IF($U56="","",INDEX('Per Line'!$E$2:$E$501,$U56))</f>
        <v/>
      </c>
      <c r="G56" s="7">
        <f>IF($U56="","",F56*S56/100)</f>
        <v/>
      </c>
      <c r="H56">
        <f>IF($U56="","",INDEX('Per Line'!$O$2:$O$501,$U56)&amp;"")</f>
        <v/>
      </c>
      <c r="I56" s="11">
        <f>IF($U56="","",INDEX('Per Line'!$Q$2:$Q$501,$U56))</f>
        <v/>
      </c>
      <c r="J56">
        <f>IF($U56="","",INDEX('Per Line'!$R$2:$R$501,$U56)&amp;"")</f>
        <v/>
      </c>
      <c r="K56">
        <f>IF($U56="","",Settings!$C$7)</f>
        <v/>
      </c>
      <c r="L56" s="7">
        <f>IF($U56="","",SUMIFS('Per Line'!$N$2:$N$501,'Per Line'!$A$2:$A$501,$A56,'Per Line'!$W$2:$W$501,0))</f>
        <v/>
      </c>
      <c r="M56" s="7">
        <f>IF($U56="","",L56*K56)</f>
        <v/>
      </c>
      <c r="N56">
        <f>IF($U56="","",Settings!$C$6)</f>
        <v/>
      </c>
      <c r="O56" s="7">
        <f>IF($U56="","",SUMIFS('Per Line'!$N$2:$N$501,'Per Line'!$A$2:$A$501,$A56,'Per Line'!$W$2:$W$501,1))</f>
        <v/>
      </c>
      <c r="P56" s="7">
        <f>IF($U56="","",O56*N56)</f>
        <v/>
      </c>
      <c r="Q56" s="7">
        <f>IF($U56="","",P56+M56)</f>
        <v/>
      </c>
      <c r="R56" s="7">
        <f>IF($U56="","",S56-Q56)</f>
        <v/>
      </c>
      <c r="S56" s="7">
        <f>IF($U56="","",L56+O56)</f>
        <v/>
      </c>
      <c r="T56" s="7">
        <f>IF($U56="","",S56-Q56-G56)</f>
        <v/>
      </c>
      <c r="U56" s="13">
        <f>IF(ROWS($U$2:$U56)&lt;=MAX('Per Line'!$V$2:$V$501),MATCH(ROWS($U$2:$U56),'Per Line'!$V$2:$V$501,0),"")</f>
        <v/>
      </c>
    </row>
    <row r="57">
      <c r="A57">
        <f>IF($U57="","",INDEX('Per Line'!$A$2:$A$501,$U57)&amp;"")</f>
        <v/>
      </c>
      <c r="B57" s="12" t="n"/>
      <c r="C57">
        <f>IF($U57="","",INDEX('Per Line'!$B$2:$B$501,$U57)&amp;"")</f>
        <v/>
      </c>
      <c r="D57">
        <f>IF($U57="","",INDEX('Per Line'!$C$2:$C$501,$U57)&amp;"")</f>
        <v/>
      </c>
      <c r="E57">
        <f>IF($U57="","",INDEX('Per Line'!$D$2:$D$501,$U57)&amp;"")</f>
        <v/>
      </c>
      <c r="F57">
        <f>IF($U57="","",INDEX('Per Line'!$E$2:$E$501,$U57))</f>
        <v/>
      </c>
      <c r="G57" s="7">
        <f>IF($U57="","",F57*S57/100)</f>
        <v/>
      </c>
      <c r="H57">
        <f>IF($U57="","",INDEX('Per Line'!$O$2:$O$501,$U57)&amp;"")</f>
        <v/>
      </c>
      <c r="I57" s="11">
        <f>IF($U57="","",INDEX('Per Line'!$Q$2:$Q$501,$U57))</f>
        <v/>
      </c>
      <c r="J57">
        <f>IF($U57="","",INDEX('Per Line'!$R$2:$R$501,$U57)&amp;"")</f>
        <v/>
      </c>
      <c r="K57">
        <f>IF($U57="","",Settings!$C$7)</f>
        <v/>
      </c>
      <c r="L57" s="7">
        <f>IF($U57="","",SUMIFS('Per Line'!$N$2:$N$501,'Per Line'!$A$2:$A$501,$A57,'Per Line'!$W$2:$W$501,0))</f>
        <v/>
      </c>
      <c r="M57" s="7">
        <f>IF($U57="","",L57*K57)</f>
        <v/>
      </c>
      <c r="N57">
        <f>IF($U57="","",Settings!$C$6)</f>
        <v/>
      </c>
      <c r="O57" s="7">
        <f>IF($U57="","",SUMIFS('Per Line'!$N$2:$N$501,'Per Line'!$A$2:$A$501,$A57,'Per Line'!$W$2:$W$501,1))</f>
        <v/>
      </c>
      <c r="P57" s="7">
        <f>IF($U57="","",O57*N57)</f>
        <v/>
      </c>
      <c r="Q57" s="7">
        <f>IF($U57="","",P57+M57)</f>
        <v/>
      </c>
      <c r="R57" s="7">
        <f>IF($U57="","",S57-Q57)</f>
        <v/>
      </c>
      <c r="S57" s="7">
        <f>IF($U57="","",L57+O57)</f>
        <v/>
      </c>
      <c r="T57" s="7">
        <f>IF($U57="","",S57-Q57-G57)</f>
        <v/>
      </c>
      <c r="U57" s="13">
        <f>IF(ROWS($U$2:$U57)&lt;=MAX('Per Line'!$V$2:$V$501),MATCH(ROWS($U$2:$U57),'Per Line'!$V$2:$V$501,0),"")</f>
        <v/>
      </c>
    </row>
    <row r="58">
      <c r="A58">
        <f>IF($U58="","",INDEX('Per Line'!$A$2:$A$501,$U58)&amp;"")</f>
        <v/>
      </c>
      <c r="B58" s="12" t="n"/>
      <c r="C58">
        <f>IF($U58="","",INDEX('Per Line'!$B$2:$B$501,$U58)&amp;"")</f>
        <v/>
      </c>
      <c r="D58">
        <f>IF($U58="","",INDEX('Per Line'!$C$2:$C$501,$U58)&amp;"")</f>
        <v/>
      </c>
      <c r="E58">
        <f>IF($U58="","",INDEX('Per Line'!$D$2:$D$501,$U58)&amp;"")</f>
        <v/>
      </c>
      <c r="F58">
        <f>IF($U58="","",INDEX('Per Line'!$E$2:$E$501,$U58))</f>
        <v/>
      </c>
      <c r="G58" s="7">
        <f>IF($U58="","",F58*S58/100)</f>
        <v/>
      </c>
      <c r="H58">
        <f>IF($U58="","",INDEX('Per Line'!$O$2:$O$501,$U58)&amp;"")</f>
        <v/>
      </c>
      <c r="I58" s="11">
        <f>IF($U58="","",INDEX('Per Line'!$Q$2:$Q$501,$U58))</f>
        <v/>
      </c>
      <c r="J58">
        <f>IF($U58="","",INDEX('Per Line'!$R$2:$R$501,$U58)&amp;"")</f>
        <v/>
      </c>
      <c r="K58">
        <f>IF($U58="","",Settings!$C$7)</f>
        <v/>
      </c>
      <c r="L58" s="7">
        <f>IF($U58="","",SUMIFS('Per Line'!$N$2:$N$501,'Per Line'!$A$2:$A$501,$A58,'Per Line'!$W$2:$W$501,0))</f>
        <v/>
      </c>
      <c r="M58" s="7">
        <f>IF($U58="","",L58*K58)</f>
        <v/>
      </c>
      <c r="N58">
        <f>IF($U58="","",Settings!$C$6)</f>
        <v/>
      </c>
      <c r="O58" s="7">
        <f>IF($U58="","",SUMIFS('Per Line'!$N$2:$N$501,'Per Line'!$A$2:$A$501,$A58,'Per Line'!$W$2:$W$501,1))</f>
        <v/>
      </c>
      <c r="P58" s="7">
        <f>IF($U58="","",O58*N58)</f>
        <v/>
      </c>
      <c r="Q58" s="7">
        <f>IF($U58="","",P58+M58)</f>
        <v/>
      </c>
      <c r="R58" s="7">
        <f>IF($U58="","",S58-Q58)</f>
        <v/>
      </c>
      <c r="S58" s="7">
        <f>IF($U58="","",L58+O58)</f>
        <v/>
      </c>
      <c r="T58" s="7">
        <f>IF($U58="","",S58-Q58-G58)</f>
        <v/>
      </c>
      <c r="U58" s="13">
        <f>IF(ROWS($U$2:$U58)&lt;=MAX('Per Line'!$V$2:$V$501),MATCH(ROWS($U$2:$U58),'Per Line'!$V$2:$V$501,0),"")</f>
        <v/>
      </c>
    </row>
    <row r="59">
      <c r="A59">
        <f>IF($U59="","",INDEX('Per Line'!$A$2:$A$501,$U59)&amp;"")</f>
        <v/>
      </c>
      <c r="B59" s="12" t="n"/>
      <c r="C59">
        <f>IF($U59="","",INDEX('Per Line'!$B$2:$B$501,$U59)&amp;"")</f>
        <v/>
      </c>
      <c r="D59">
        <f>IF($U59="","",INDEX('Per Line'!$C$2:$C$501,$U59)&amp;"")</f>
        <v/>
      </c>
      <c r="E59">
        <f>IF($U59="","",INDEX('Per Line'!$D$2:$D$501,$U59)&amp;"")</f>
        <v/>
      </c>
      <c r="F59">
        <f>IF($U59="","",INDEX('Per Line'!$E$2:$E$501,$U59))</f>
        <v/>
      </c>
      <c r="G59" s="7">
        <f>IF($U59="","",F59*S59/100)</f>
        <v/>
      </c>
      <c r="H59">
        <f>IF($U59="","",INDEX('Per Line'!$O$2:$O$501,$U59)&amp;"")</f>
        <v/>
      </c>
      <c r="I59" s="11">
        <f>IF($U59="","",INDEX('Per Line'!$Q$2:$Q$501,$U59))</f>
        <v/>
      </c>
      <c r="J59">
        <f>IF($U59="","",INDEX('Per Line'!$R$2:$R$501,$U59)&amp;"")</f>
        <v/>
      </c>
      <c r="K59">
        <f>IF($U59="","",Settings!$C$7)</f>
        <v/>
      </c>
      <c r="L59" s="7">
        <f>IF($U59="","",SUMIFS('Per Line'!$N$2:$N$501,'Per Line'!$A$2:$A$501,$A59,'Per Line'!$W$2:$W$501,0))</f>
        <v/>
      </c>
      <c r="M59" s="7">
        <f>IF($U59="","",L59*K59)</f>
        <v/>
      </c>
      <c r="N59">
        <f>IF($U59="","",Settings!$C$6)</f>
        <v/>
      </c>
      <c r="O59" s="7">
        <f>IF($U59="","",SUMIFS('Per Line'!$N$2:$N$501,'Per Line'!$A$2:$A$501,$A59,'Per Line'!$W$2:$W$501,1))</f>
        <v/>
      </c>
      <c r="P59" s="7">
        <f>IF($U59="","",O59*N59)</f>
        <v/>
      </c>
      <c r="Q59" s="7">
        <f>IF($U59="","",P59+M59)</f>
        <v/>
      </c>
      <c r="R59" s="7">
        <f>IF($U59="","",S59-Q59)</f>
        <v/>
      </c>
      <c r="S59" s="7">
        <f>IF($U59="","",L59+O59)</f>
        <v/>
      </c>
      <c r="T59" s="7">
        <f>IF($U59="","",S59-Q59-G59)</f>
        <v/>
      </c>
      <c r="U59" s="13">
        <f>IF(ROWS($U$2:$U59)&lt;=MAX('Per Line'!$V$2:$V$501),MATCH(ROWS($U$2:$U59),'Per Line'!$V$2:$V$501,0),"")</f>
        <v/>
      </c>
    </row>
    <row r="60">
      <c r="A60">
        <f>IF($U60="","",INDEX('Per Line'!$A$2:$A$501,$U60)&amp;"")</f>
        <v/>
      </c>
      <c r="B60" s="12" t="n"/>
      <c r="C60">
        <f>IF($U60="","",INDEX('Per Line'!$B$2:$B$501,$U60)&amp;"")</f>
        <v/>
      </c>
      <c r="D60">
        <f>IF($U60="","",INDEX('Per Line'!$C$2:$C$501,$U60)&amp;"")</f>
        <v/>
      </c>
      <c r="E60">
        <f>IF($U60="","",INDEX('Per Line'!$D$2:$D$501,$U60)&amp;"")</f>
        <v/>
      </c>
      <c r="F60">
        <f>IF($U60="","",INDEX('Per Line'!$E$2:$E$501,$U60))</f>
        <v/>
      </c>
      <c r="G60" s="7">
        <f>IF($U60="","",F60*S60/100)</f>
        <v/>
      </c>
      <c r="H60">
        <f>IF($U60="","",INDEX('Per Line'!$O$2:$O$501,$U60)&amp;"")</f>
        <v/>
      </c>
      <c r="I60" s="11">
        <f>IF($U60="","",INDEX('Per Line'!$Q$2:$Q$501,$U60))</f>
        <v/>
      </c>
      <c r="J60">
        <f>IF($U60="","",INDEX('Per Line'!$R$2:$R$501,$U60)&amp;"")</f>
        <v/>
      </c>
      <c r="K60">
        <f>IF($U60="","",Settings!$C$7)</f>
        <v/>
      </c>
      <c r="L60" s="7">
        <f>IF($U60="","",SUMIFS('Per Line'!$N$2:$N$501,'Per Line'!$A$2:$A$501,$A60,'Per Line'!$W$2:$W$501,0))</f>
        <v/>
      </c>
      <c r="M60" s="7">
        <f>IF($U60="","",L60*K60)</f>
        <v/>
      </c>
      <c r="N60">
        <f>IF($U60="","",Settings!$C$6)</f>
        <v/>
      </c>
      <c r="O60" s="7">
        <f>IF($U60="","",SUMIFS('Per Line'!$N$2:$N$501,'Per Line'!$A$2:$A$501,$A60,'Per Line'!$W$2:$W$501,1))</f>
        <v/>
      </c>
      <c r="P60" s="7">
        <f>IF($U60="","",O60*N60)</f>
        <v/>
      </c>
      <c r="Q60" s="7">
        <f>IF($U60="","",P60+M60)</f>
        <v/>
      </c>
      <c r="R60" s="7">
        <f>IF($U60="","",S60-Q60)</f>
        <v/>
      </c>
      <c r="S60" s="7">
        <f>IF($U60="","",L60+O60)</f>
        <v/>
      </c>
      <c r="T60" s="7">
        <f>IF($U60="","",S60-Q60-G60)</f>
        <v/>
      </c>
      <c r="U60" s="13">
        <f>IF(ROWS($U$2:$U60)&lt;=MAX('Per Line'!$V$2:$V$501),MATCH(ROWS($U$2:$U60),'Per Line'!$V$2:$V$501,0),"")</f>
        <v/>
      </c>
    </row>
    <row r="61">
      <c r="A61">
        <f>IF($U61="","",INDEX('Per Line'!$A$2:$A$501,$U61)&amp;"")</f>
        <v/>
      </c>
      <c r="B61" s="12" t="n"/>
      <c r="C61">
        <f>IF($U61="","",INDEX('Per Line'!$B$2:$B$501,$U61)&amp;"")</f>
        <v/>
      </c>
      <c r="D61">
        <f>IF($U61="","",INDEX('Per Line'!$C$2:$C$501,$U61)&amp;"")</f>
        <v/>
      </c>
      <c r="E61">
        <f>IF($U61="","",INDEX('Per Line'!$D$2:$D$501,$U61)&amp;"")</f>
        <v/>
      </c>
      <c r="F61">
        <f>IF($U61="","",INDEX('Per Line'!$E$2:$E$501,$U61))</f>
        <v/>
      </c>
      <c r="G61" s="7">
        <f>IF($U61="","",F61*S61/100)</f>
        <v/>
      </c>
      <c r="H61">
        <f>IF($U61="","",INDEX('Per Line'!$O$2:$O$501,$U61)&amp;"")</f>
        <v/>
      </c>
      <c r="I61" s="11">
        <f>IF($U61="","",INDEX('Per Line'!$Q$2:$Q$501,$U61))</f>
        <v/>
      </c>
      <c r="J61">
        <f>IF($U61="","",INDEX('Per Line'!$R$2:$R$501,$U61)&amp;"")</f>
        <v/>
      </c>
      <c r="K61">
        <f>IF($U61="","",Settings!$C$7)</f>
        <v/>
      </c>
      <c r="L61" s="7">
        <f>IF($U61="","",SUMIFS('Per Line'!$N$2:$N$501,'Per Line'!$A$2:$A$501,$A61,'Per Line'!$W$2:$W$501,0))</f>
        <v/>
      </c>
      <c r="M61" s="7">
        <f>IF($U61="","",L61*K61)</f>
        <v/>
      </c>
      <c r="N61">
        <f>IF($U61="","",Settings!$C$6)</f>
        <v/>
      </c>
      <c r="O61" s="7">
        <f>IF($U61="","",SUMIFS('Per Line'!$N$2:$N$501,'Per Line'!$A$2:$A$501,$A61,'Per Line'!$W$2:$W$501,1))</f>
        <v/>
      </c>
      <c r="P61" s="7">
        <f>IF($U61="","",O61*N61)</f>
        <v/>
      </c>
      <c r="Q61" s="7">
        <f>IF($U61="","",P61+M61)</f>
        <v/>
      </c>
      <c r="R61" s="7">
        <f>IF($U61="","",S61-Q61)</f>
        <v/>
      </c>
      <c r="S61" s="7">
        <f>IF($U61="","",L61+O61)</f>
        <v/>
      </c>
      <c r="T61" s="7">
        <f>IF($U61="","",S61-Q61-G61)</f>
        <v/>
      </c>
      <c r="U61" s="13">
        <f>IF(ROWS($U$2:$U61)&lt;=MAX('Per Line'!$V$2:$V$501),MATCH(ROWS($U$2:$U61),'Per Line'!$V$2:$V$501,0),"")</f>
        <v/>
      </c>
    </row>
    <row r="62">
      <c r="A62">
        <f>IF($U62="","",INDEX('Per Line'!$A$2:$A$501,$U62)&amp;"")</f>
        <v/>
      </c>
      <c r="B62" s="12" t="n"/>
      <c r="C62">
        <f>IF($U62="","",INDEX('Per Line'!$B$2:$B$501,$U62)&amp;"")</f>
        <v/>
      </c>
      <c r="D62">
        <f>IF($U62="","",INDEX('Per Line'!$C$2:$C$501,$U62)&amp;"")</f>
        <v/>
      </c>
      <c r="E62">
        <f>IF($U62="","",INDEX('Per Line'!$D$2:$D$501,$U62)&amp;"")</f>
        <v/>
      </c>
      <c r="F62">
        <f>IF($U62="","",INDEX('Per Line'!$E$2:$E$501,$U62))</f>
        <v/>
      </c>
      <c r="G62" s="7">
        <f>IF($U62="","",F62*S62/100)</f>
        <v/>
      </c>
      <c r="H62">
        <f>IF($U62="","",INDEX('Per Line'!$O$2:$O$501,$U62)&amp;"")</f>
        <v/>
      </c>
      <c r="I62" s="11">
        <f>IF($U62="","",INDEX('Per Line'!$Q$2:$Q$501,$U62))</f>
        <v/>
      </c>
      <c r="J62">
        <f>IF($U62="","",INDEX('Per Line'!$R$2:$R$501,$U62)&amp;"")</f>
        <v/>
      </c>
      <c r="K62">
        <f>IF($U62="","",Settings!$C$7)</f>
        <v/>
      </c>
      <c r="L62" s="7">
        <f>IF($U62="","",SUMIFS('Per Line'!$N$2:$N$501,'Per Line'!$A$2:$A$501,$A62,'Per Line'!$W$2:$W$501,0))</f>
        <v/>
      </c>
      <c r="M62" s="7">
        <f>IF($U62="","",L62*K62)</f>
        <v/>
      </c>
      <c r="N62">
        <f>IF($U62="","",Settings!$C$6)</f>
        <v/>
      </c>
      <c r="O62" s="7">
        <f>IF($U62="","",SUMIFS('Per Line'!$N$2:$N$501,'Per Line'!$A$2:$A$501,$A62,'Per Line'!$W$2:$W$501,1))</f>
        <v/>
      </c>
      <c r="P62" s="7">
        <f>IF($U62="","",O62*N62)</f>
        <v/>
      </c>
      <c r="Q62" s="7">
        <f>IF($U62="","",P62+M62)</f>
        <v/>
      </c>
      <c r="R62" s="7">
        <f>IF($U62="","",S62-Q62)</f>
        <v/>
      </c>
      <c r="S62" s="7">
        <f>IF($U62="","",L62+O62)</f>
        <v/>
      </c>
      <c r="T62" s="7">
        <f>IF($U62="","",S62-Q62-G62)</f>
        <v/>
      </c>
      <c r="U62" s="13">
        <f>IF(ROWS($U$2:$U62)&lt;=MAX('Per Line'!$V$2:$V$501),MATCH(ROWS($U$2:$U62),'Per Line'!$V$2:$V$501,0),"")</f>
        <v/>
      </c>
    </row>
    <row r="63">
      <c r="A63">
        <f>IF($U63="","",INDEX('Per Line'!$A$2:$A$501,$U63)&amp;"")</f>
        <v/>
      </c>
      <c r="B63" s="12" t="n"/>
      <c r="C63">
        <f>IF($U63="","",INDEX('Per Line'!$B$2:$B$501,$U63)&amp;"")</f>
        <v/>
      </c>
      <c r="D63">
        <f>IF($U63="","",INDEX('Per Line'!$C$2:$C$501,$U63)&amp;"")</f>
        <v/>
      </c>
      <c r="E63">
        <f>IF($U63="","",INDEX('Per Line'!$D$2:$D$501,$U63)&amp;"")</f>
        <v/>
      </c>
      <c r="F63">
        <f>IF($U63="","",INDEX('Per Line'!$E$2:$E$501,$U63))</f>
        <v/>
      </c>
      <c r="G63" s="7">
        <f>IF($U63="","",F63*S63/100)</f>
        <v/>
      </c>
      <c r="H63">
        <f>IF($U63="","",INDEX('Per Line'!$O$2:$O$501,$U63)&amp;"")</f>
        <v/>
      </c>
      <c r="I63" s="11">
        <f>IF($U63="","",INDEX('Per Line'!$Q$2:$Q$501,$U63))</f>
        <v/>
      </c>
      <c r="J63">
        <f>IF($U63="","",INDEX('Per Line'!$R$2:$R$501,$U63)&amp;"")</f>
        <v/>
      </c>
      <c r="K63">
        <f>IF($U63="","",Settings!$C$7)</f>
        <v/>
      </c>
      <c r="L63" s="7">
        <f>IF($U63="","",SUMIFS('Per Line'!$N$2:$N$501,'Per Line'!$A$2:$A$501,$A63,'Per Line'!$W$2:$W$501,0))</f>
        <v/>
      </c>
      <c r="M63" s="7">
        <f>IF($U63="","",L63*K63)</f>
        <v/>
      </c>
      <c r="N63">
        <f>IF($U63="","",Settings!$C$6)</f>
        <v/>
      </c>
      <c r="O63" s="7">
        <f>IF($U63="","",SUMIFS('Per Line'!$N$2:$N$501,'Per Line'!$A$2:$A$501,$A63,'Per Line'!$W$2:$W$501,1))</f>
        <v/>
      </c>
      <c r="P63" s="7">
        <f>IF($U63="","",O63*N63)</f>
        <v/>
      </c>
      <c r="Q63" s="7">
        <f>IF($U63="","",P63+M63)</f>
        <v/>
      </c>
      <c r="R63" s="7">
        <f>IF($U63="","",S63-Q63)</f>
        <v/>
      </c>
      <c r="S63" s="7">
        <f>IF($U63="","",L63+O63)</f>
        <v/>
      </c>
      <c r="T63" s="7">
        <f>IF($U63="","",S63-Q63-G63)</f>
        <v/>
      </c>
      <c r="U63" s="13">
        <f>IF(ROWS($U$2:$U63)&lt;=MAX('Per Line'!$V$2:$V$501),MATCH(ROWS($U$2:$U63),'Per Line'!$V$2:$V$501,0),"")</f>
        <v/>
      </c>
    </row>
    <row r="64">
      <c r="A64">
        <f>IF($U64="","",INDEX('Per Line'!$A$2:$A$501,$U64)&amp;"")</f>
        <v/>
      </c>
      <c r="B64" s="12" t="n"/>
      <c r="C64">
        <f>IF($U64="","",INDEX('Per Line'!$B$2:$B$501,$U64)&amp;"")</f>
        <v/>
      </c>
      <c r="D64">
        <f>IF($U64="","",INDEX('Per Line'!$C$2:$C$501,$U64)&amp;"")</f>
        <v/>
      </c>
      <c r="E64">
        <f>IF($U64="","",INDEX('Per Line'!$D$2:$D$501,$U64)&amp;"")</f>
        <v/>
      </c>
      <c r="F64">
        <f>IF($U64="","",INDEX('Per Line'!$E$2:$E$501,$U64))</f>
        <v/>
      </c>
      <c r="G64" s="7">
        <f>IF($U64="","",F64*S64/100)</f>
        <v/>
      </c>
      <c r="H64">
        <f>IF($U64="","",INDEX('Per Line'!$O$2:$O$501,$U64)&amp;"")</f>
        <v/>
      </c>
      <c r="I64" s="11">
        <f>IF($U64="","",INDEX('Per Line'!$Q$2:$Q$501,$U64))</f>
        <v/>
      </c>
      <c r="J64">
        <f>IF($U64="","",INDEX('Per Line'!$R$2:$R$501,$U64)&amp;"")</f>
        <v/>
      </c>
      <c r="K64">
        <f>IF($U64="","",Settings!$C$7)</f>
        <v/>
      </c>
      <c r="L64" s="7">
        <f>IF($U64="","",SUMIFS('Per Line'!$N$2:$N$501,'Per Line'!$A$2:$A$501,$A64,'Per Line'!$W$2:$W$501,0))</f>
        <v/>
      </c>
      <c r="M64" s="7">
        <f>IF($U64="","",L64*K64)</f>
        <v/>
      </c>
      <c r="N64">
        <f>IF($U64="","",Settings!$C$6)</f>
        <v/>
      </c>
      <c r="O64" s="7">
        <f>IF($U64="","",SUMIFS('Per Line'!$N$2:$N$501,'Per Line'!$A$2:$A$501,$A64,'Per Line'!$W$2:$W$501,1))</f>
        <v/>
      </c>
      <c r="P64" s="7">
        <f>IF($U64="","",O64*N64)</f>
        <v/>
      </c>
      <c r="Q64" s="7">
        <f>IF($U64="","",P64+M64)</f>
        <v/>
      </c>
      <c r="R64" s="7">
        <f>IF($U64="","",S64-Q64)</f>
        <v/>
      </c>
      <c r="S64" s="7">
        <f>IF($U64="","",L64+O64)</f>
        <v/>
      </c>
      <c r="T64" s="7">
        <f>IF($U64="","",S64-Q64-G64)</f>
        <v/>
      </c>
      <c r="U64" s="13">
        <f>IF(ROWS($U$2:$U64)&lt;=MAX('Per Line'!$V$2:$V$501),MATCH(ROWS($U$2:$U64),'Per Line'!$V$2:$V$501,0),"")</f>
        <v/>
      </c>
    </row>
    <row r="65">
      <c r="A65">
        <f>IF($U65="","",INDEX('Per Line'!$A$2:$A$501,$U65)&amp;"")</f>
        <v/>
      </c>
      <c r="B65" s="12" t="n"/>
      <c r="C65">
        <f>IF($U65="","",INDEX('Per Line'!$B$2:$B$501,$U65)&amp;"")</f>
        <v/>
      </c>
      <c r="D65">
        <f>IF($U65="","",INDEX('Per Line'!$C$2:$C$501,$U65)&amp;"")</f>
        <v/>
      </c>
      <c r="E65">
        <f>IF($U65="","",INDEX('Per Line'!$D$2:$D$501,$U65)&amp;"")</f>
        <v/>
      </c>
      <c r="F65">
        <f>IF($U65="","",INDEX('Per Line'!$E$2:$E$501,$U65))</f>
        <v/>
      </c>
      <c r="G65" s="7">
        <f>IF($U65="","",F65*S65/100)</f>
        <v/>
      </c>
      <c r="H65">
        <f>IF($U65="","",INDEX('Per Line'!$O$2:$O$501,$U65)&amp;"")</f>
        <v/>
      </c>
      <c r="I65" s="11">
        <f>IF($U65="","",INDEX('Per Line'!$Q$2:$Q$501,$U65))</f>
        <v/>
      </c>
      <c r="J65">
        <f>IF($U65="","",INDEX('Per Line'!$R$2:$R$501,$U65)&amp;"")</f>
        <v/>
      </c>
      <c r="K65">
        <f>IF($U65="","",Settings!$C$7)</f>
        <v/>
      </c>
      <c r="L65" s="7">
        <f>IF($U65="","",SUMIFS('Per Line'!$N$2:$N$501,'Per Line'!$A$2:$A$501,$A65,'Per Line'!$W$2:$W$501,0))</f>
        <v/>
      </c>
      <c r="M65" s="7">
        <f>IF($U65="","",L65*K65)</f>
        <v/>
      </c>
      <c r="N65">
        <f>IF($U65="","",Settings!$C$6)</f>
        <v/>
      </c>
      <c r="O65" s="7">
        <f>IF($U65="","",SUMIFS('Per Line'!$N$2:$N$501,'Per Line'!$A$2:$A$501,$A65,'Per Line'!$W$2:$W$501,1))</f>
        <v/>
      </c>
      <c r="P65" s="7">
        <f>IF($U65="","",O65*N65)</f>
        <v/>
      </c>
      <c r="Q65" s="7">
        <f>IF($U65="","",P65+M65)</f>
        <v/>
      </c>
      <c r="R65" s="7">
        <f>IF($U65="","",S65-Q65)</f>
        <v/>
      </c>
      <c r="S65" s="7">
        <f>IF($U65="","",L65+O65)</f>
        <v/>
      </c>
      <c r="T65" s="7">
        <f>IF($U65="","",S65-Q65-G65)</f>
        <v/>
      </c>
      <c r="U65" s="13">
        <f>IF(ROWS($U$2:$U65)&lt;=MAX('Per Line'!$V$2:$V$501),MATCH(ROWS($U$2:$U65),'Per Line'!$V$2:$V$501,0),"")</f>
        <v/>
      </c>
    </row>
    <row r="66">
      <c r="A66">
        <f>IF($U66="","",INDEX('Per Line'!$A$2:$A$501,$U66)&amp;"")</f>
        <v/>
      </c>
      <c r="B66" s="12" t="n"/>
      <c r="C66">
        <f>IF($U66="","",INDEX('Per Line'!$B$2:$B$501,$U66)&amp;"")</f>
        <v/>
      </c>
      <c r="D66">
        <f>IF($U66="","",INDEX('Per Line'!$C$2:$C$501,$U66)&amp;"")</f>
        <v/>
      </c>
      <c r="E66">
        <f>IF($U66="","",INDEX('Per Line'!$D$2:$D$501,$U66)&amp;"")</f>
        <v/>
      </c>
      <c r="F66">
        <f>IF($U66="","",INDEX('Per Line'!$E$2:$E$501,$U66))</f>
        <v/>
      </c>
      <c r="G66" s="7">
        <f>IF($U66="","",F66*S66/100)</f>
        <v/>
      </c>
      <c r="H66">
        <f>IF($U66="","",INDEX('Per Line'!$O$2:$O$501,$U66)&amp;"")</f>
        <v/>
      </c>
      <c r="I66" s="11">
        <f>IF($U66="","",INDEX('Per Line'!$Q$2:$Q$501,$U66))</f>
        <v/>
      </c>
      <c r="J66">
        <f>IF($U66="","",INDEX('Per Line'!$R$2:$R$501,$U66)&amp;"")</f>
        <v/>
      </c>
      <c r="K66">
        <f>IF($U66="","",Settings!$C$7)</f>
        <v/>
      </c>
      <c r="L66" s="7">
        <f>IF($U66="","",SUMIFS('Per Line'!$N$2:$N$501,'Per Line'!$A$2:$A$501,$A66,'Per Line'!$W$2:$W$501,0))</f>
        <v/>
      </c>
      <c r="M66" s="7">
        <f>IF($U66="","",L66*K66)</f>
        <v/>
      </c>
      <c r="N66">
        <f>IF($U66="","",Settings!$C$6)</f>
        <v/>
      </c>
      <c r="O66" s="7">
        <f>IF($U66="","",SUMIFS('Per Line'!$N$2:$N$501,'Per Line'!$A$2:$A$501,$A66,'Per Line'!$W$2:$W$501,1))</f>
        <v/>
      </c>
      <c r="P66" s="7">
        <f>IF($U66="","",O66*N66)</f>
        <v/>
      </c>
      <c r="Q66" s="7">
        <f>IF($U66="","",P66+M66)</f>
        <v/>
      </c>
      <c r="R66" s="7">
        <f>IF($U66="","",S66-Q66)</f>
        <v/>
      </c>
      <c r="S66" s="7">
        <f>IF($U66="","",L66+O66)</f>
        <v/>
      </c>
      <c r="T66" s="7">
        <f>IF($U66="","",S66-Q66-G66)</f>
        <v/>
      </c>
      <c r="U66" s="13">
        <f>IF(ROWS($U$2:$U66)&lt;=MAX('Per Line'!$V$2:$V$501),MATCH(ROWS($U$2:$U66),'Per Line'!$V$2:$V$501,0),"")</f>
        <v/>
      </c>
    </row>
    <row r="67">
      <c r="A67">
        <f>IF($U67="","",INDEX('Per Line'!$A$2:$A$501,$U67)&amp;"")</f>
        <v/>
      </c>
      <c r="B67" s="12" t="n"/>
      <c r="C67">
        <f>IF($U67="","",INDEX('Per Line'!$B$2:$B$501,$U67)&amp;"")</f>
        <v/>
      </c>
      <c r="D67">
        <f>IF($U67="","",INDEX('Per Line'!$C$2:$C$501,$U67)&amp;"")</f>
        <v/>
      </c>
      <c r="E67">
        <f>IF($U67="","",INDEX('Per Line'!$D$2:$D$501,$U67)&amp;"")</f>
        <v/>
      </c>
      <c r="F67">
        <f>IF($U67="","",INDEX('Per Line'!$E$2:$E$501,$U67))</f>
        <v/>
      </c>
      <c r="G67" s="7">
        <f>IF($U67="","",F67*S67/100)</f>
        <v/>
      </c>
      <c r="H67">
        <f>IF($U67="","",INDEX('Per Line'!$O$2:$O$501,$U67)&amp;"")</f>
        <v/>
      </c>
      <c r="I67" s="11">
        <f>IF($U67="","",INDEX('Per Line'!$Q$2:$Q$501,$U67))</f>
        <v/>
      </c>
      <c r="J67">
        <f>IF($U67="","",INDEX('Per Line'!$R$2:$R$501,$U67)&amp;"")</f>
        <v/>
      </c>
      <c r="K67">
        <f>IF($U67="","",Settings!$C$7)</f>
        <v/>
      </c>
      <c r="L67" s="7">
        <f>IF($U67="","",SUMIFS('Per Line'!$N$2:$N$501,'Per Line'!$A$2:$A$501,$A67,'Per Line'!$W$2:$W$501,0))</f>
        <v/>
      </c>
      <c r="M67" s="7">
        <f>IF($U67="","",L67*K67)</f>
        <v/>
      </c>
      <c r="N67">
        <f>IF($U67="","",Settings!$C$6)</f>
        <v/>
      </c>
      <c r="O67" s="7">
        <f>IF($U67="","",SUMIFS('Per Line'!$N$2:$N$501,'Per Line'!$A$2:$A$501,$A67,'Per Line'!$W$2:$W$501,1))</f>
        <v/>
      </c>
      <c r="P67" s="7">
        <f>IF($U67="","",O67*N67)</f>
        <v/>
      </c>
      <c r="Q67" s="7">
        <f>IF($U67="","",P67+M67)</f>
        <v/>
      </c>
      <c r="R67" s="7">
        <f>IF($U67="","",S67-Q67)</f>
        <v/>
      </c>
      <c r="S67" s="7">
        <f>IF($U67="","",L67+O67)</f>
        <v/>
      </c>
      <c r="T67" s="7">
        <f>IF($U67="","",S67-Q67-G67)</f>
        <v/>
      </c>
      <c r="U67" s="13">
        <f>IF(ROWS($U$2:$U67)&lt;=MAX('Per Line'!$V$2:$V$501),MATCH(ROWS($U$2:$U67),'Per Line'!$V$2:$V$501,0),"")</f>
        <v/>
      </c>
    </row>
    <row r="68">
      <c r="A68">
        <f>IF($U68="","",INDEX('Per Line'!$A$2:$A$501,$U68)&amp;"")</f>
        <v/>
      </c>
      <c r="B68" s="12" t="n"/>
      <c r="C68">
        <f>IF($U68="","",INDEX('Per Line'!$B$2:$B$501,$U68)&amp;"")</f>
        <v/>
      </c>
      <c r="D68">
        <f>IF($U68="","",INDEX('Per Line'!$C$2:$C$501,$U68)&amp;"")</f>
        <v/>
      </c>
      <c r="E68">
        <f>IF($U68="","",INDEX('Per Line'!$D$2:$D$501,$U68)&amp;"")</f>
        <v/>
      </c>
      <c r="F68">
        <f>IF($U68="","",INDEX('Per Line'!$E$2:$E$501,$U68))</f>
        <v/>
      </c>
      <c r="G68" s="7">
        <f>IF($U68="","",F68*S68/100)</f>
        <v/>
      </c>
      <c r="H68">
        <f>IF($U68="","",INDEX('Per Line'!$O$2:$O$501,$U68)&amp;"")</f>
        <v/>
      </c>
      <c r="I68" s="11">
        <f>IF($U68="","",INDEX('Per Line'!$Q$2:$Q$501,$U68))</f>
        <v/>
      </c>
      <c r="J68">
        <f>IF($U68="","",INDEX('Per Line'!$R$2:$R$501,$U68)&amp;"")</f>
        <v/>
      </c>
      <c r="K68">
        <f>IF($U68="","",Settings!$C$7)</f>
        <v/>
      </c>
      <c r="L68" s="7">
        <f>IF($U68="","",SUMIFS('Per Line'!$N$2:$N$501,'Per Line'!$A$2:$A$501,$A68,'Per Line'!$W$2:$W$501,0))</f>
        <v/>
      </c>
      <c r="M68" s="7">
        <f>IF($U68="","",L68*K68)</f>
        <v/>
      </c>
      <c r="N68">
        <f>IF($U68="","",Settings!$C$6)</f>
        <v/>
      </c>
      <c r="O68" s="7">
        <f>IF($U68="","",SUMIFS('Per Line'!$N$2:$N$501,'Per Line'!$A$2:$A$501,$A68,'Per Line'!$W$2:$W$501,1))</f>
        <v/>
      </c>
      <c r="P68" s="7">
        <f>IF($U68="","",O68*N68)</f>
        <v/>
      </c>
      <c r="Q68" s="7">
        <f>IF($U68="","",P68+M68)</f>
        <v/>
      </c>
      <c r="R68" s="7">
        <f>IF($U68="","",S68-Q68)</f>
        <v/>
      </c>
      <c r="S68" s="7">
        <f>IF($U68="","",L68+O68)</f>
        <v/>
      </c>
      <c r="T68" s="7">
        <f>IF($U68="","",S68-Q68-G68)</f>
        <v/>
      </c>
      <c r="U68" s="13">
        <f>IF(ROWS($U$2:$U68)&lt;=MAX('Per Line'!$V$2:$V$501),MATCH(ROWS($U$2:$U68),'Per Line'!$V$2:$V$501,0),"")</f>
        <v/>
      </c>
    </row>
    <row r="69">
      <c r="A69">
        <f>IF($U69="","",INDEX('Per Line'!$A$2:$A$501,$U69)&amp;"")</f>
        <v/>
      </c>
      <c r="B69" s="12" t="n"/>
      <c r="C69">
        <f>IF($U69="","",INDEX('Per Line'!$B$2:$B$501,$U69)&amp;"")</f>
        <v/>
      </c>
      <c r="D69">
        <f>IF($U69="","",INDEX('Per Line'!$C$2:$C$501,$U69)&amp;"")</f>
        <v/>
      </c>
      <c r="E69">
        <f>IF($U69="","",INDEX('Per Line'!$D$2:$D$501,$U69)&amp;"")</f>
        <v/>
      </c>
      <c r="F69">
        <f>IF($U69="","",INDEX('Per Line'!$E$2:$E$501,$U69))</f>
        <v/>
      </c>
      <c r="G69" s="7">
        <f>IF($U69="","",F69*S69/100)</f>
        <v/>
      </c>
      <c r="H69">
        <f>IF($U69="","",INDEX('Per Line'!$O$2:$O$501,$U69)&amp;"")</f>
        <v/>
      </c>
      <c r="I69" s="11">
        <f>IF($U69="","",INDEX('Per Line'!$Q$2:$Q$501,$U69))</f>
        <v/>
      </c>
      <c r="J69">
        <f>IF($U69="","",INDEX('Per Line'!$R$2:$R$501,$U69)&amp;"")</f>
        <v/>
      </c>
      <c r="K69">
        <f>IF($U69="","",Settings!$C$7)</f>
        <v/>
      </c>
      <c r="L69" s="7">
        <f>IF($U69="","",SUMIFS('Per Line'!$N$2:$N$501,'Per Line'!$A$2:$A$501,$A69,'Per Line'!$W$2:$W$501,0))</f>
        <v/>
      </c>
      <c r="M69" s="7">
        <f>IF($U69="","",L69*K69)</f>
        <v/>
      </c>
      <c r="N69">
        <f>IF($U69="","",Settings!$C$6)</f>
        <v/>
      </c>
      <c r="O69" s="7">
        <f>IF($U69="","",SUMIFS('Per Line'!$N$2:$N$501,'Per Line'!$A$2:$A$501,$A69,'Per Line'!$W$2:$W$501,1))</f>
        <v/>
      </c>
      <c r="P69" s="7">
        <f>IF($U69="","",O69*N69)</f>
        <v/>
      </c>
      <c r="Q69" s="7">
        <f>IF($U69="","",P69+M69)</f>
        <v/>
      </c>
      <c r="R69" s="7">
        <f>IF($U69="","",S69-Q69)</f>
        <v/>
      </c>
      <c r="S69" s="7">
        <f>IF($U69="","",L69+O69)</f>
        <v/>
      </c>
      <c r="T69" s="7">
        <f>IF($U69="","",S69-Q69-G69)</f>
        <v/>
      </c>
      <c r="U69" s="13">
        <f>IF(ROWS($U$2:$U69)&lt;=MAX('Per Line'!$V$2:$V$501),MATCH(ROWS($U$2:$U69),'Per Line'!$V$2:$V$501,0),"")</f>
        <v/>
      </c>
    </row>
    <row r="70">
      <c r="A70">
        <f>IF($U70="","",INDEX('Per Line'!$A$2:$A$501,$U70)&amp;"")</f>
        <v/>
      </c>
      <c r="B70" s="12" t="n"/>
      <c r="C70">
        <f>IF($U70="","",INDEX('Per Line'!$B$2:$B$501,$U70)&amp;"")</f>
        <v/>
      </c>
      <c r="D70">
        <f>IF($U70="","",INDEX('Per Line'!$C$2:$C$501,$U70)&amp;"")</f>
        <v/>
      </c>
      <c r="E70">
        <f>IF($U70="","",INDEX('Per Line'!$D$2:$D$501,$U70)&amp;"")</f>
        <v/>
      </c>
      <c r="F70">
        <f>IF($U70="","",INDEX('Per Line'!$E$2:$E$501,$U70))</f>
        <v/>
      </c>
      <c r="G70" s="7">
        <f>IF($U70="","",F70*S70/100)</f>
        <v/>
      </c>
      <c r="H70">
        <f>IF($U70="","",INDEX('Per Line'!$O$2:$O$501,$U70)&amp;"")</f>
        <v/>
      </c>
      <c r="I70" s="11">
        <f>IF($U70="","",INDEX('Per Line'!$Q$2:$Q$501,$U70))</f>
        <v/>
      </c>
      <c r="J70">
        <f>IF($U70="","",INDEX('Per Line'!$R$2:$R$501,$U70)&amp;"")</f>
        <v/>
      </c>
      <c r="K70">
        <f>IF($U70="","",Settings!$C$7)</f>
        <v/>
      </c>
      <c r="L70" s="7">
        <f>IF($U70="","",SUMIFS('Per Line'!$N$2:$N$501,'Per Line'!$A$2:$A$501,$A70,'Per Line'!$W$2:$W$501,0))</f>
        <v/>
      </c>
      <c r="M70" s="7">
        <f>IF($U70="","",L70*K70)</f>
        <v/>
      </c>
      <c r="N70">
        <f>IF($U70="","",Settings!$C$6)</f>
        <v/>
      </c>
      <c r="O70" s="7">
        <f>IF($U70="","",SUMIFS('Per Line'!$N$2:$N$501,'Per Line'!$A$2:$A$501,$A70,'Per Line'!$W$2:$W$501,1))</f>
        <v/>
      </c>
      <c r="P70" s="7">
        <f>IF($U70="","",O70*N70)</f>
        <v/>
      </c>
      <c r="Q70" s="7">
        <f>IF($U70="","",P70+M70)</f>
        <v/>
      </c>
      <c r="R70" s="7">
        <f>IF($U70="","",S70-Q70)</f>
        <v/>
      </c>
      <c r="S70" s="7">
        <f>IF($U70="","",L70+O70)</f>
        <v/>
      </c>
      <c r="T70" s="7">
        <f>IF($U70="","",S70-Q70-G70)</f>
        <v/>
      </c>
      <c r="U70" s="13">
        <f>IF(ROWS($U$2:$U70)&lt;=MAX('Per Line'!$V$2:$V$501),MATCH(ROWS($U$2:$U70),'Per Line'!$V$2:$V$501,0),"")</f>
        <v/>
      </c>
    </row>
    <row r="71">
      <c r="A71">
        <f>IF($U71="","",INDEX('Per Line'!$A$2:$A$501,$U71)&amp;"")</f>
        <v/>
      </c>
      <c r="B71" s="12" t="n"/>
      <c r="C71">
        <f>IF($U71="","",INDEX('Per Line'!$B$2:$B$501,$U71)&amp;"")</f>
        <v/>
      </c>
      <c r="D71">
        <f>IF($U71="","",INDEX('Per Line'!$C$2:$C$501,$U71)&amp;"")</f>
        <v/>
      </c>
      <c r="E71">
        <f>IF($U71="","",INDEX('Per Line'!$D$2:$D$501,$U71)&amp;"")</f>
        <v/>
      </c>
      <c r="F71">
        <f>IF($U71="","",INDEX('Per Line'!$E$2:$E$501,$U71))</f>
        <v/>
      </c>
      <c r="G71" s="7">
        <f>IF($U71="","",F71*S71/100)</f>
        <v/>
      </c>
      <c r="H71">
        <f>IF($U71="","",INDEX('Per Line'!$O$2:$O$501,$U71)&amp;"")</f>
        <v/>
      </c>
      <c r="I71" s="11">
        <f>IF($U71="","",INDEX('Per Line'!$Q$2:$Q$501,$U71))</f>
        <v/>
      </c>
      <c r="J71">
        <f>IF($U71="","",INDEX('Per Line'!$R$2:$R$501,$U71)&amp;"")</f>
        <v/>
      </c>
      <c r="K71">
        <f>IF($U71="","",Settings!$C$7)</f>
        <v/>
      </c>
      <c r="L71" s="7">
        <f>IF($U71="","",SUMIFS('Per Line'!$N$2:$N$501,'Per Line'!$A$2:$A$501,$A71,'Per Line'!$W$2:$W$501,0))</f>
        <v/>
      </c>
      <c r="M71" s="7">
        <f>IF($U71="","",L71*K71)</f>
        <v/>
      </c>
      <c r="N71">
        <f>IF($U71="","",Settings!$C$6)</f>
        <v/>
      </c>
      <c r="O71" s="7">
        <f>IF($U71="","",SUMIFS('Per Line'!$N$2:$N$501,'Per Line'!$A$2:$A$501,$A71,'Per Line'!$W$2:$W$501,1))</f>
        <v/>
      </c>
      <c r="P71" s="7">
        <f>IF($U71="","",O71*N71)</f>
        <v/>
      </c>
      <c r="Q71" s="7">
        <f>IF($U71="","",P71+M71)</f>
        <v/>
      </c>
      <c r="R71" s="7">
        <f>IF($U71="","",S71-Q71)</f>
        <v/>
      </c>
      <c r="S71" s="7">
        <f>IF($U71="","",L71+O71)</f>
        <v/>
      </c>
      <c r="T71" s="7">
        <f>IF($U71="","",S71-Q71-G71)</f>
        <v/>
      </c>
      <c r="U71" s="13">
        <f>IF(ROWS($U$2:$U71)&lt;=MAX('Per Line'!$V$2:$V$501),MATCH(ROWS($U$2:$U71),'Per Line'!$V$2:$V$501,0),"")</f>
        <v/>
      </c>
    </row>
    <row r="72">
      <c r="A72">
        <f>IF($U72="","",INDEX('Per Line'!$A$2:$A$501,$U72)&amp;"")</f>
        <v/>
      </c>
      <c r="B72" s="12" t="n"/>
      <c r="C72">
        <f>IF($U72="","",INDEX('Per Line'!$B$2:$B$501,$U72)&amp;"")</f>
        <v/>
      </c>
      <c r="D72">
        <f>IF($U72="","",INDEX('Per Line'!$C$2:$C$501,$U72)&amp;"")</f>
        <v/>
      </c>
      <c r="E72">
        <f>IF($U72="","",INDEX('Per Line'!$D$2:$D$501,$U72)&amp;"")</f>
        <v/>
      </c>
      <c r="F72">
        <f>IF($U72="","",INDEX('Per Line'!$E$2:$E$501,$U72))</f>
        <v/>
      </c>
      <c r="G72" s="7">
        <f>IF($U72="","",F72*S72/100)</f>
        <v/>
      </c>
      <c r="H72">
        <f>IF($U72="","",INDEX('Per Line'!$O$2:$O$501,$U72)&amp;"")</f>
        <v/>
      </c>
      <c r="I72" s="11">
        <f>IF($U72="","",INDEX('Per Line'!$Q$2:$Q$501,$U72))</f>
        <v/>
      </c>
      <c r="J72">
        <f>IF($U72="","",INDEX('Per Line'!$R$2:$R$501,$U72)&amp;"")</f>
        <v/>
      </c>
      <c r="K72">
        <f>IF($U72="","",Settings!$C$7)</f>
        <v/>
      </c>
      <c r="L72" s="7">
        <f>IF($U72="","",SUMIFS('Per Line'!$N$2:$N$501,'Per Line'!$A$2:$A$501,$A72,'Per Line'!$W$2:$W$501,0))</f>
        <v/>
      </c>
      <c r="M72" s="7">
        <f>IF($U72="","",L72*K72)</f>
        <v/>
      </c>
      <c r="N72">
        <f>IF($U72="","",Settings!$C$6)</f>
        <v/>
      </c>
      <c r="O72" s="7">
        <f>IF($U72="","",SUMIFS('Per Line'!$N$2:$N$501,'Per Line'!$A$2:$A$501,$A72,'Per Line'!$W$2:$W$501,1))</f>
        <v/>
      </c>
      <c r="P72" s="7">
        <f>IF($U72="","",O72*N72)</f>
        <v/>
      </c>
      <c r="Q72" s="7">
        <f>IF($U72="","",P72+M72)</f>
        <v/>
      </c>
      <c r="R72" s="7">
        <f>IF($U72="","",S72-Q72)</f>
        <v/>
      </c>
      <c r="S72" s="7">
        <f>IF($U72="","",L72+O72)</f>
        <v/>
      </c>
      <c r="T72" s="7">
        <f>IF($U72="","",S72-Q72-G72)</f>
        <v/>
      </c>
      <c r="U72" s="13">
        <f>IF(ROWS($U$2:$U72)&lt;=MAX('Per Line'!$V$2:$V$501),MATCH(ROWS($U$2:$U72),'Per Line'!$V$2:$V$501,0),"")</f>
        <v/>
      </c>
    </row>
    <row r="73">
      <c r="A73">
        <f>IF($U73="","",INDEX('Per Line'!$A$2:$A$501,$U73)&amp;"")</f>
        <v/>
      </c>
      <c r="B73" s="12" t="n"/>
      <c r="C73">
        <f>IF($U73="","",INDEX('Per Line'!$B$2:$B$501,$U73)&amp;"")</f>
        <v/>
      </c>
      <c r="D73">
        <f>IF($U73="","",INDEX('Per Line'!$C$2:$C$501,$U73)&amp;"")</f>
        <v/>
      </c>
      <c r="E73">
        <f>IF($U73="","",INDEX('Per Line'!$D$2:$D$501,$U73)&amp;"")</f>
        <v/>
      </c>
      <c r="F73">
        <f>IF($U73="","",INDEX('Per Line'!$E$2:$E$501,$U73))</f>
        <v/>
      </c>
      <c r="G73" s="7">
        <f>IF($U73="","",F73*S73/100)</f>
        <v/>
      </c>
      <c r="H73">
        <f>IF($U73="","",INDEX('Per Line'!$O$2:$O$501,$U73)&amp;"")</f>
        <v/>
      </c>
      <c r="I73" s="11">
        <f>IF($U73="","",INDEX('Per Line'!$Q$2:$Q$501,$U73))</f>
        <v/>
      </c>
      <c r="J73">
        <f>IF($U73="","",INDEX('Per Line'!$R$2:$R$501,$U73)&amp;"")</f>
        <v/>
      </c>
      <c r="K73">
        <f>IF($U73="","",Settings!$C$7)</f>
        <v/>
      </c>
      <c r="L73" s="7">
        <f>IF($U73="","",SUMIFS('Per Line'!$N$2:$N$501,'Per Line'!$A$2:$A$501,$A73,'Per Line'!$W$2:$W$501,0))</f>
        <v/>
      </c>
      <c r="M73" s="7">
        <f>IF($U73="","",L73*K73)</f>
        <v/>
      </c>
      <c r="N73">
        <f>IF($U73="","",Settings!$C$6)</f>
        <v/>
      </c>
      <c r="O73" s="7">
        <f>IF($U73="","",SUMIFS('Per Line'!$N$2:$N$501,'Per Line'!$A$2:$A$501,$A73,'Per Line'!$W$2:$W$501,1))</f>
        <v/>
      </c>
      <c r="P73" s="7">
        <f>IF($U73="","",O73*N73)</f>
        <v/>
      </c>
      <c r="Q73" s="7">
        <f>IF($U73="","",P73+M73)</f>
        <v/>
      </c>
      <c r="R73" s="7">
        <f>IF($U73="","",S73-Q73)</f>
        <v/>
      </c>
      <c r="S73" s="7">
        <f>IF($U73="","",L73+O73)</f>
        <v/>
      </c>
      <c r="T73" s="7">
        <f>IF($U73="","",S73-Q73-G73)</f>
        <v/>
      </c>
      <c r="U73" s="13">
        <f>IF(ROWS($U$2:$U73)&lt;=MAX('Per Line'!$V$2:$V$501),MATCH(ROWS($U$2:$U73),'Per Line'!$V$2:$V$501,0),"")</f>
        <v/>
      </c>
    </row>
    <row r="74">
      <c r="A74">
        <f>IF($U74="","",INDEX('Per Line'!$A$2:$A$501,$U74)&amp;"")</f>
        <v/>
      </c>
      <c r="B74" s="12" t="n"/>
      <c r="C74">
        <f>IF($U74="","",INDEX('Per Line'!$B$2:$B$501,$U74)&amp;"")</f>
        <v/>
      </c>
      <c r="D74">
        <f>IF($U74="","",INDEX('Per Line'!$C$2:$C$501,$U74)&amp;"")</f>
        <v/>
      </c>
      <c r="E74">
        <f>IF($U74="","",INDEX('Per Line'!$D$2:$D$501,$U74)&amp;"")</f>
        <v/>
      </c>
      <c r="F74">
        <f>IF($U74="","",INDEX('Per Line'!$E$2:$E$501,$U74))</f>
        <v/>
      </c>
      <c r="G74" s="7">
        <f>IF($U74="","",F74*S74/100)</f>
        <v/>
      </c>
      <c r="H74">
        <f>IF($U74="","",INDEX('Per Line'!$O$2:$O$501,$U74)&amp;"")</f>
        <v/>
      </c>
      <c r="I74" s="11">
        <f>IF($U74="","",INDEX('Per Line'!$Q$2:$Q$501,$U74))</f>
        <v/>
      </c>
      <c r="J74">
        <f>IF($U74="","",INDEX('Per Line'!$R$2:$R$501,$U74)&amp;"")</f>
        <v/>
      </c>
      <c r="K74">
        <f>IF($U74="","",Settings!$C$7)</f>
        <v/>
      </c>
      <c r="L74" s="7">
        <f>IF($U74="","",SUMIFS('Per Line'!$N$2:$N$501,'Per Line'!$A$2:$A$501,$A74,'Per Line'!$W$2:$W$501,0))</f>
        <v/>
      </c>
      <c r="M74" s="7">
        <f>IF($U74="","",L74*K74)</f>
        <v/>
      </c>
      <c r="N74">
        <f>IF($U74="","",Settings!$C$6)</f>
        <v/>
      </c>
      <c r="O74" s="7">
        <f>IF($U74="","",SUMIFS('Per Line'!$N$2:$N$501,'Per Line'!$A$2:$A$501,$A74,'Per Line'!$W$2:$W$501,1))</f>
        <v/>
      </c>
      <c r="P74" s="7">
        <f>IF($U74="","",O74*N74)</f>
        <v/>
      </c>
      <c r="Q74" s="7">
        <f>IF($U74="","",P74+M74)</f>
        <v/>
      </c>
      <c r="R74" s="7">
        <f>IF($U74="","",S74-Q74)</f>
        <v/>
      </c>
      <c r="S74" s="7">
        <f>IF($U74="","",L74+O74)</f>
        <v/>
      </c>
      <c r="T74" s="7">
        <f>IF($U74="","",S74-Q74-G74)</f>
        <v/>
      </c>
      <c r="U74" s="13">
        <f>IF(ROWS($U$2:$U74)&lt;=MAX('Per Line'!$V$2:$V$501),MATCH(ROWS($U$2:$U74),'Per Line'!$V$2:$V$501,0),"")</f>
        <v/>
      </c>
    </row>
    <row r="75">
      <c r="A75">
        <f>IF($U75="","",INDEX('Per Line'!$A$2:$A$501,$U75)&amp;"")</f>
        <v/>
      </c>
      <c r="B75" s="12" t="n"/>
      <c r="C75">
        <f>IF($U75="","",INDEX('Per Line'!$B$2:$B$501,$U75)&amp;"")</f>
        <v/>
      </c>
      <c r="D75">
        <f>IF($U75="","",INDEX('Per Line'!$C$2:$C$501,$U75)&amp;"")</f>
        <v/>
      </c>
      <c r="E75">
        <f>IF($U75="","",INDEX('Per Line'!$D$2:$D$501,$U75)&amp;"")</f>
        <v/>
      </c>
      <c r="F75">
        <f>IF($U75="","",INDEX('Per Line'!$E$2:$E$501,$U75))</f>
        <v/>
      </c>
      <c r="G75" s="7">
        <f>IF($U75="","",F75*S75/100)</f>
        <v/>
      </c>
      <c r="H75">
        <f>IF($U75="","",INDEX('Per Line'!$O$2:$O$501,$U75)&amp;"")</f>
        <v/>
      </c>
      <c r="I75" s="11">
        <f>IF($U75="","",INDEX('Per Line'!$Q$2:$Q$501,$U75))</f>
        <v/>
      </c>
      <c r="J75">
        <f>IF($U75="","",INDEX('Per Line'!$R$2:$R$501,$U75)&amp;"")</f>
        <v/>
      </c>
      <c r="K75">
        <f>IF($U75="","",Settings!$C$7)</f>
        <v/>
      </c>
      <c r="L75" s="7">
        <f>IF($U75="","",SUMIFS('Per Line'!$N$2:$N$501,'Per Line'!$A$2:$A$501,$A75,'Per Line'!$W$2:$W$501,0))</f>
        <v/>
      </c>
      <c r="M75" s="7">
        <f>IF($U75="","",L75*K75)</f>
        <v/>
      </c>
      <c r="N75">
        <f>IF($U75="","",Settings!$C$6)</f>
        <v/>
      </c>
      <c r="O75" s="7">
        <f>IF($U75="","",SUMIFS('Per Line'!$N$2:$N$501,'Per Line'!$A$2:$A$501,$A75,'Per Line'!$W$2:$W$501,1))</f>
        <v/>
      </c>
      <c r="P75" s="7">
        <f>IF($U75="","",O75*N75)</f>
        <v/>
      </c>
      <c r="Q75" s="7">
        <f>IF($U75="","",P75+M75)</f>
        <v/>
      </c>
      <c r="R75" s="7">
        <f>IF($U75="","",S75-Q75)</f>
        <v/>
      </c>
      <c r="S75" s="7">
        <f>IF($U75="","",L75+O75)</f>
        <v/>
      </c>
      <c r="T75" s="7">
        <f>IF($U75="","",S75-Q75-G75)</f>
        <v/>
      </c>
      <c r="U75" s="13">
        <f>IF(ROWS($U$2:$U75)&lt;=MAX('Per Line'!$V$2:$V$501),MATCH(ROWS($U$2:$U75),'Per Line'!$V$2:$V$501,0),"")</f>
        <v/>
      </c>
    </row>
    <row r="76">
      <c r="A76">
        <f>IF($U76="","",INDEX('Per Line'!$A$2:$A$501,$U76)&amp;"")</f>
        <v/>
      </c>
      <c r="B76" s="12" t="n"/>
      <c r="C76">
        <f>IF($U76="","",INDEX('Per Line'!$B$2:$B$501,$U76)&amp;"")</f>
        <v/>
      </c>
      <c r="D76">
        <f>IF($U76="","",INDEX('Per Line'!$C$2:$C$501,$U76)&amp;"")</f>
        <v/>
      </c>
      <c r="E76">
        <f>IF($U76="","",INDEX('Per Line'!$D$2:$D$501,$U76)&amp;"")</f>
        <v/>
      </c>
      <c r="F76">
        <f>IF($U76="","",INDEX('Per Line'!$E$2:$E$501,$U76))</f>
        <v/>
      </c>
      <c r="G76" s="7">
        <f>IF($U76="","",F76*S76/100)</f>
        <v/>
      </c>
      <c r="H76">
        <f>IF($U76="","",INDEX('Per Line'!$O$2:$O$501,$U76)&amp;"")</f>
        <v/>
      </c>
      <c r="I76" s="11">
        <f>IF($U76="","",INDEX('Per Line'!$Q$2:$Q$501,$U76))</f>
        <v/>
      </c>
      <c r="J76">
        <f>IF($U76="","",INDEX('Per Line'!$R$2:$R$501,$U76)&amp;"")</f>
        <v/>
      </c>
      <c r="K76">
        <f>IF($U76="","",Settings!$C$7)</f>
        <v/>
      </c>
      <c r="L76" s="7">
        <f>IF($U76="","",SUMIFS('Per Line'!$N$2:$N$501,'Per Line'!$A$2:$A$501,$A76,'Per Line'!$W$2:$W$501,0))</f>
        <v/>
      </c>
      <c r="M76" s="7">
        <f>IF($U76="","",L76*K76)</f>
        <v/>
      </c>
      <c r="N76">
        <f>IF($U76="","",Settings!$C$6)</f>
        <v/>
      </c>
      <c r="O76" s="7">
        <f>IF($U76="","",SUMIFS('Per Line'!$N$2:$N$501,'Per Line'!$A$2:$A$501,$A76,'Per Line'!$W$2:$W$501,1))</f>
        <v/>
      </c>
      <c r="P76" s="7">
        <f>IF($U76="","",O76*N76)</f>
        <v/>
      </c>
      <c r="Q76" s="7">
        <f>IF($U76="","",P76+M76)</f>
        <v/>
      </c>
      <c r="R76" s="7">
        <f>IF($U76="","",S76-Q76)</f>
        <v/>
      </c>
      <c r="S76" s="7">
        <f>IF($U76="","",L76+O76)</f>
        <v/>
      </c>
      <c r="T76" s="7">
        <f>IF($U76="","",S76-Q76-G76)</f>
        <v/>
      </c>
      <c r="U76" s="13">
        <f>IF(ROWS($U$2:$U76)&lt;=MAX('Per Line'!$V$2:$V$501),MATCH(ROWS($U$2:$U76),'Per Line'!$V$2:$V$501,0),"")</f>
        <v/>
      </c>
    </row>
    <row r="77">
      <c r="A77">
        <f>IF($U77="","",INDEX('Per Line'!$A$2:$A$501,$U77)&amp;"")</f>
        <v/>
      </c>
      <c r="B77" s="12" t="n"/>
      <c r="C77">
        <f>IF($U77="","",INDEX('Per Line'!$B$2:$B$501,$U77)&amp;"")</f>
        <v/>
      </c>
      <c r="D77">
        <f>IF($U77="","",INDEX('Per Line'!$C$2:$C$501,$U77)&amp;"")</f>
        <v/>
      </c>
      <c r="E77">
        <f>IF($U77="","",INDEX('Per Line'!$D$2:$D$501,$U77)&amp;"")</f>
        <v/>
      </c>
      <c r="F77">
        <f>IF($U77="","",INDEX('Per Line'!$E$2:$E$501,$U77))</f>
        <v/>
      </c>
      <c r="G77" s="7">
        <f>IF($U77="","",F77*S77/100)</f>
        <v/>
      </c>
      <c r="H77">
        <f>IF($U77="","",INDEX('Per Line'!$O$2:$O$501,$U77)&amp;"")</f>
        <v/>
      </c>
      <c r="I77" s="11">
        <f>IF($U77="","",INDEX('Per Line'!$Q$2:$Q$501,$U77))</f>
        <v/>
      </c>
      <c r="J77">
        <f>IF($U77="","",INDEX('Per Line'!$R$2:$R$501,$U77)&amp;"")</f>
        <v/>
      </c>
      <c r="K77">
        <f>IF($U77="","",Settings!$C$7)</f>
        <v/>
      </c>
      <c r="L77" s="7">
        <f>IF($U77="","",SUMIFS('Per Line'!$N$2:$N$501,'Per Line'!$A$2:$A$501,$A77,'Per Line'!$W$2:$W$501,0))</f>
        <v/>
      </c>
      <c r="M77" s="7">
        <f>IF($U77="","",L77*K77)</f>
        <v/>
      </c>
      <c r="N77">
        <f>IF($U77="","",Settings!$C$6)</f>
        <v/>
      </c>
      <c r="O77" s="7">
        <f>IF($U77="","",SUMIFS('Per Line'!$N$2:$N$501,'Per Line'!$A$2:$A$501,$A77,'Per Line'!$W$2:$W$501,1))</f>
        <v/>
      </c>
      <c r="P77" s="7">
        <f>IF($U77="","",O77*N77)</f>
        <v/>
      </c>
      <c r="Q77" s="7">
        <f>IF($U77="","",P77+M77)</f>
        <v/>
      </c>
      <c r="R77" s="7">
        <f>IF($U77="","",S77-Q77)</f>
        <v/>
      </c>
      <c r="S77" s="7">
        <f>IF($U77="","",L77+O77)</f>
        <v/>
      </c>
      <c r="T77" s="7">
        <f>IF($U77="","",S77-Q77-G77)</f>
        <v/>
      </c>
      <c r="U77" s="13">
        <f>IF(ROWS($U$2:$U77)&lt;=MAX('Per Line'!$V$2:$V$501),MATCH(ROWS($U$2:$U77),'Per Line'!$V$2:$V$501,0),"")</f>
        <v/>
      </c>
    </row>
    <row r="78">
      <c r="A78">
        <f>IF($U78="","",INDEX('Per Line'!$A$2:$A$501,$U78)&amp;"")</f>
        <v/>
      </c>
      <c r="B78" s="12" t="n"/>
      <c r="C78">
        <f>IF($U78="","",INDEX('Per Line'!$B$2:$B$501,$U78)&amp;"")</f>
        <v/>
      </c>
      <c r="D78">
        <f>IF($U78="","",INDEX('Per Line'!$C$2:$C$501,$U78)&amp;"")</f>
        <v/>
      </c>
      <c r="E78">
        <f>IF($U78="","",INDEX('Per Line'!$D$2:$D$501,$U78)&amp;"")</f>
        <v/>
      </c>
      <c r="F78">
        <f>IF($U78="","",INDEX('Per Line'!$E$2:$E$501,$U78))</f>
        <v/>
      </c>
      <c r="G78" s="7">
        <f>IF($U78="","",F78*S78/100)</f>
        <v/>
      </c>
      <c r="H78">
        <f>IF($U78="","",INDEX('Per Line'!$O$2:$O$501,$U78)&amp;"")</f>
        <v/>
      </c>
      <c r="I78" s="11">
        <f>IF($U78="","",INDEX('Per Line'!$Q$2:$Q$501,$U78))</f>
        <v/>
      </c>
      <c r="J78">
        <f>IF($U78="","",INDEX('Per Line'!$R$2:$R$501,$U78)&amp;"")</f>
        <v/>
      </c>
      <c r="K78">
        <f>IF($U78="","",Settings!$C$7)</f>
        <v/>
      </c>
      <c r="L78" s="7">
        <f>IF($U78="","",SUMIFS('Per Line'!$N$2:$N$501,'Per Line'!$A$2:$A$501,$A78,'Per Line'!$W$2:$W$501,0))</f>
        <v/>
      </c>
      <c r="M78" s="7">
        <f>IF($U78="","",L78*K78)</f>
        <v/>
      </c>
      <c r="N78">
        <f>IF($U78="","",Settings!$C$6)</f>
        <v/>
      </c>
      <c r="O78" s="7">
        <f>IF($U78="","",SUMIFS('Per Line'!$N$2:$N$501,'Per Line'!$A$2:$A$501,$A78,'Per Line'!$W$2:$W$501,1))</f>
        <v/>
      </c>
      <c r="P78" s="7">
        <f>IF($U78="","",O78*N78)</f>
        <v/>
      </c>
      <c r="Q78" s="7">
        <f>IF($U78="","",P78+M78)</f>
        <v/>
      </c>
      <c r="R78" s="7">
        <f>IF($U78="","",S78-Q78)</f>
        <v/>
      </c>
      <c r="S78" s="7">
        <f>IF($U78="","",L78+O78)</f>
        <v/>
      </c>
      <c r="T78" s="7">
        <f>IF($U78="","",S78-Q78-G78)</f>
        <v/>
      </c>
      <c r="U78" s="13">
        <f>IF(ROWS($U$2:$U78)&lt;=MAX('Per Line'!$V$2:$V$501),MATCH(ROWS($U$2:$U78),'Per Line'!$V$2:$V$501,0),"")</f>
        <v/>
      </c>
    </row>
    <row r="79">
      <c r="A79">
        <f>IF($U79="","",INDEX('Per Line'!$A$2:$A$501,$U79)&amp;"")</f>
        <v/>
      </c>
      <c r="B79" s="12" t="n"/>
      <c r="C79">
        <f>IF($U79="","",INDEX('Per Line'!$B$2:$B$501,$U79)&amp;"")</f>
        <v/>
      </c>
      <c r="D79">
        <f>IF($U79="","",INDEX('Per Line'!$C$2:$C$501,$U79)&amp;"")</f>
        <v/>
      </c>
      <c r="E79">
        <f>IF($U79="","",INDEX('Per Line'!$D$2:$D$501,$U79)&amp;"")</f>
        <v/>
      </c>
      <c r="F79">
        <f>IF($U79="","",INDEX('Per Line'!$E$2:$E$501,$U79))</f>
        <v/>
      </c>
      <c r="G79" s="7">
        <f>IF($U79="","",F79*S79/100)</f>
        <v/>
      </c>
      <c r="H79">
        <f>IF($U79="","",INDEX('Per Line'!$O$2:$O$501,$U79)&amp;"")</f>
        <v/>
      </c>
      <c r="I79" s="11">
        <f>IF($U79="","",INDEX('Per Line'!$Q$2:$Q$501,$U79))</f>
        <v/>
      </c>
      <c r="J79">
        <f>IF($U79="","",INDEX('Per Line'!$R$2:$R$501,$U79)&amp;"")</f>
        <v/>
      </c>
      <c r="K79">
        <f>IF($U79="","",Settings!$C$7)</f>
        <v/>
      </c>
      <c r="L79" s="7">
        <f>IF($U79="","",SUMIFS('Per Line'!$N$2:$N$501,'Per Line'!$A$2:$A$501,$A79,'Per Line'!$W$2:$W$501,0))</f>
        <v/>
      </c>
      <c r="M79" s="7">
        <f>IF($U79="","",L79*K79)</f>
        <v/>
      </c>
      <c r="N79">
        <f>IF($U79="","",Settings!$C$6)</f>
        <v/>
      </c>
      <c r="O79" s="7">
        <f>IF($U79="","",SUMIFS('Per Line'!$N$2:$N$501,'Per Line'!$A$2:$A$501,$A79,'Per Line'!$W$2:$W$501,1))</f>
        <v/>
      </c>
      <c r="P79" s="7">
        <f>IF($U79="","",O79*N79)</f>
        <v/>
      </c>
      <c r="Q79" s="7">
        <f>IF($U79="","",P79+M79)</f>
        <v/>
      </c>
      <c r="R79" s="7">
        <f>IF($U79="","",S79-Q79)</f>
        <v/>
      </c>
      <c r="S79" s="7">
        <f>IF($U79="","",L79+O79)</f>
        <v/>
      </c>
      <c r="T79" s="7">
        <f>IF($U79="","",S79-Q79-G79)</f>
        <v/>
      </c>
      <c r="U79" s="13">
        <f>IF(ROWS($U$2:$U79)&lt;=MAX('Per Line'!$V$2:$V$501),MATCH(ROWS($U$2:$U79),'Per Line'!$V$2:$V$501,0),"")</f>
        <v/>
      </c>
    </row>
    <row r="80">
      <c r="A80">
        <f>IF($U80="","",INDEX('Per Line'!$A$2:$A$501,$U80)&amp;"")</f>
        <v/>
      </c>
      <c r="B80" s="12" t="n"/>
      <c r="C80">
        <f>IF($U80="","",INDEX('Per Line'!$B$2:$B$501,$U80)&amp;"")</f>
        <v/>
      </c>
      <c r="D80">
        <f>IF($U80="","",INDEX('Per Line'!$C$2:$C$501,$U80)&amp;"")</f>
        <v/>
      </c>
      <c r="E80">
        <f>IF($U80="","",INDEX('Per Line'!$D$2:$D$501,$U80)&amp;"")</f>
        <v/>
      </c>
      <c r="F80">
        <f>IF($U80="","",INDEX('Per Line'!$E$2:$E$501,$U80))</f>
        <v/>
      </c>
      <c r="G80" s="7">
        <f>IF($U80="","",F80*S80/100)</f>
        <v/>
      </c>
      <c r="H80">
        <f>IF($U80="","",INDEX('Per Line'!$O$2:$O$501,$U80)&amp;"")</f>
        <v/>
      </c>
      <c r="I80" s="11">
        <f>IF($U80="","",INDEX('Per Line'!$Q$2:$Q$501,$U80))</f>
        <v/>
      </c>
      <c r="J80">
        <f>IF($U80="","",INDEX('Per Line'!$R$2:$R$501,$U80)&amp;"")</f>
        <v/>
      </c>
      <c r="K80">
        <f>IF($U80="","",Settings!$C$7)</f>
        <v/>
      </c>
      <c r="L80" s="7">
        <f>IF($U80="","",SUMIFS('Per Line'!$N$2:$N$501,'Per Line'!$A$2:$A$501,$A80,'Per Line'!$W$2:$W$501,0))</f>
        <v/>
      </c>
      <c r="M80" s="7">
        <f>IF($U80="","",L80*K80)</f>
        <v/>
      </c>
      <c r="N80">
        <f>IF($U80="","",Settings!$C$6)</f>
        <v/>
      </c>
      <c r="O80" s="7">
        <f>IF($U80="","",SUMIFS('Per Line'!$N$2:$N$501,'Per Line'!$A$2:$A$501,$A80,'Per Line'!$W$2:$W$501,1))</f>
        <v/>
      </c>
      <c r="P80" s="7">
        <f>IF($U80="","",O80*N80)</f>
        <v/>
      </c>
      <c r="Q80" s="7">
        <f>IF($U80="","",P80+M80)</f>
        <v/>
      </c>
      <c r="R80" s="7">
        <f>IF($U80="","",S80-Q80)</f>
        <v/>
      </c>
      <c r="S80" s="7">
        <f>IF($U80="","",L80+O80)</f>
        <v/>
      </c>
      <c r="T80" s="7">
        <f>IF($U80="","",S80-Q80-G80)</f>
        <v/>
      </c>
      <c r="U80" s="13">
        <f>IF(ROWS($U$2:$U80)&lt;=MAX('Per Line'!$V$2:$V$501),MATCH(ROWS($U$2:$U80),'Per Line'!$V$2:$V$501,0),"")</f>
        <v/>
      </c>
    </row>
    <row r="81">
      <c r="A81">
        <f>IF($U81="","",INDEX('Per Line'!$A$2:$A$501,$U81)&amp;"")</f>
        <v/>
      </c>
      <c r="B81" s="12" t="n"/>
      <c r="C81">
        <f>IF($U81="","",INDEX('Per Line'!$B$2:$B$501,$U81)&amp;"")</f>
        <v/>
      </c>
      <c r="D81">
        <f>IF($U81="","",INDEX('Per Line'!$C$2:$C$501,$U81)&amp;"")</f>
        <v/>
      </c>
      <c r="E81">
        <f>IF($U81="","",INDEX('Per Line'!$D$2:$D$501,$U81)&amp;"")</f>
        <v/>
      </c>
      <c r="F81">
        <f>IF($U81="","",INDEX('Per Line'!$E$2:$E$501,$U81))</f>
        <v/>
      </c>
      <c r="G81" s="7">
        <f>IF($U81="","",F81*S81/100)</f>
        <v/>
      </c>
      <c r="H81">
        <f>IF($U81="","",INDEX('Per Line'!$O$2:$O$501,$U81)&amp;"")</f>
        <v/>
      </c>
      <c r="I81" s="11">
        <f>IF($U81="","",INDEX('Per Line'!$Q$2:$Q$501,$U81))</f>
        <v/>
      </c>
      <c r="J81">
        <f>IF($U81="","",INDEX('Per Line'!$R$2:$R$501,$U81)&amp;"")</f>
        <v/>
      </c>
      <c r="K81">
        <f>IF($U81="","",Settings!$C$7)</f>
        <v/>
      </c>
      <c r="L81" s="7">
        <f>IF($U81="","",SUMIFS('Per Line'!$N$2:$N$501,'Per Line'!$A$2:$A$501,$A81,'Per Line'!$W$2:$W$501,0))</f>
        <v/>
      </c>
      <c r="M81" s="7">
        <f>IF($U81="","",L81*K81)</f>
        <v/>
      </c>
      <c r="N81">
        <f>IF($U81="","",Settings!$C$6)</f>
        <v/>
      </c>
      <c r="O81" s="7">
        <f>IF($U81="","",SUMIFS('Per Line'!$N$2:$N$501,'Per Line'!$A$2:$A$501,$A81,'Per Line'!$W$2:$W$501,1))</f>
        <v/>
      </c>
      <c r="P81" s="7">
        <f>IF($U81="","",O81*N81)</f>
        <v/>
      </c>
      <c r="Q81" s="7">
        <f>IF($U81="","",P81+M81)</f>
        <v/>
      </c>
      <c r="R81" s="7">
        <f>IF($U81="","",S81-Q81)</f>
        <v/>
      </c>
      <c r="S81" s="7">
        <f>IF($U81="","",L81+O81)</f>
        <v/>
      </c>
      <c r="T81" s="7">
        <f>IF($U81="","",S81-Q81-G81)</f>
        <v/>
      </c>
      <c r="U81" s="13">
        <f>IF(ROWS($U$2:$U81)&lt;=MAX('Per Line'!$V$2:$V$501),MATCH(ROWS($U$2:$U81),'Per Line'!$V$2:$V$501,0),"")</f>
        <v/>
      </c>
    </row>
    <row r="82">
      <c r="A82">
        <f>IF($U82="","",INDEX('Per Line'!$A$2:$A$501,$U82)&amp;"")</f>
        <v/>
      </c>
      <c r="B82" s="12" t="n"/>
      <c r="C82">
        <f>IF($U82="","",INDEX('Per Line'!$B$2:$B$501,$U82)&amp;"")</f>
        <v/>
      </c>
      <c r="D82">
        <f>IF($U82="","",INDEX('Per Line'!$C$2:$C$501,$U82)&amp;"")</f>
        <v/>
      </c>
      <c r="E82">
        <f>IF($U82="","",INDEX('Per Line'!$D$2:$D$501,$U82)&amp;"")</f>
        <v/>
      </c>
      <c r="F82">
        <f>IF($U82="","",INDEX('Per Line'!$E$2:$E$501,$U82))</f>
        <v/>
      </c>
      <c r="G82" s="7">
        <f>IF($U82="","",F82*S82/100)</f>
        <v/>
      </c>
      <c r="H82">
        <f>IF($U82="","",INDEX('Per Line'!$O$2:$O$501,$U82)&amp;"")</f>
        <v/>
      </c>
      <c r="I82" s="11">
        <f>IF($U82="","",INDEX('Per Line'!$Q$2:$Q$501,$U82))</f>
        <v/>
      </c>
      <c r="J82">
        <f>IF($U82="","",INDEX('Per Line'!$R$2:$R$501,$U82)&amp;"")</f>
        <v/>
      </c>
      <c r="K82">
        <f>IF($U82="","",Settings!$C$7)</f>
        <v/>
      </c>
      <c r="L82" s="7">
        <f>IF($U82="","",SUMIFS('Per Line'!$N$2:$N$501,'Per Line'!$A$2:$A$501,$A82,'Per Line'!$W$2:$W$501,0))</f>
        <v/>
      </c>
      <c r="M82" s="7">
        <f>IF($U82="","",L82*K82)</f>
        <v/>
      </c>
      <c r="N82">
        <f>IF($U82="","",Settings!$C$6)</f>
        <v/>
      </c>
      <c r="O82" s="7">
        <f>IF($U82="","",SUMIFS('Per Line'!$N$2:$N$501,'Per Line'!$A$2:$A$501,$A82,'Per Line'!$W$2:$W$501,1))</f>
        <v/>
      </c>
      <c r="P82" s="7">
        <f>IF($U82="","",O82*N82)</f>
        <v/>
      </c>
      <c r="Q82" s="7">
        <f>IF($U82="","",P82+M82)</f>
        <v/>
      </c>
      <c r="R82" s="7">
        <f>IF($U82="","",S82-Q82)</f>
        <v/>
      </c>
      <c r="S82" s="7">
        <f>IF($U82="","",L82+O82)</f>
        <v/>
      </c>
      <c r="T82" s="7">
        <f>IF($U82="","",S82-Q82-G82)</f>
        <v/>
      </c>
      <c r="U82" s="13">
        <f>IF(ROWS($U$2:$U82)&lt;=MAX('Per Line'!$V$2:$V$501),MATCH(ROWS($U$2:$U82),'Per Line'!$V$2:$V$501,0),"")</f>
        <v/>
      </c>
    </row>
    <row r="83">
      <c r="A83">
        <f>IF($U83="","",INDEX('Per Line'!$A$2:$A$501,$U83)&amp;"")</f>
        <v/>
      </c>
      <c r="B83" s="12" t="n"/>
      <c r="C83">
        <f>IF($U83="","",INDEX('Per Line'!$B$2:$B$501,$U83)&amp;"")</f>
        <v/>
      </c>
      <c r="D83">
        <f>IF($U83="","",INDEX('Per Line'!$C$2:$C$501,$U83)&amp;"")</f>
        <v/>
      </c>
      <c r="E83">
        <f>IF($U83="","",INDEX('Per Line'!$D$2:$D$501,$U83)&amp;"")</f>
        <v/>
      </c>
      <c r="F83">
        <f>IF($U83="","",INDEX('Per Line'!$E$2:$E$501,$U83))</f>
        <v/>
      </c>
      <c r="G83" s="7">
        <f>IF($U83="","",F83*S83/100)</f>
        <v/>
      </c>
      <c r="H83">
        <f>IF($U83="","",INDEX('Per Line'!$O$2:$O$501,$U83)&amp;"")</f>
        <v/>
      </c>
      <c r="I83" s="11">
        <f>IF($U83="","",INDEX('Per Line'!$Q$2:$Q$501,$U83))</f>
        <v/>
      </c>
      <c r="J83">
        <f>IF($U83="","",INDEX('Per Line'!$R$2:$R$501,$U83)&amp;"")</f>
        <v/>
      </c>
      <c r="K83">
        <f>IF($U83="","",Settings!$C$7)</f>
        <v/>
      </c>
      <c r="L83" s="7">
        <f>IF($U83="","",SUMIFS('Per Line'!$N$2:$N$501,'Per Line'!$A$2:$A$501,$A83,'Per Line'!$W$2:$W$501,0))</f>
        <v/>
      </c>
      <c r="M83" s="7">
        <f>IF($U83="","",L83*K83)</f>
        <v/>
      </c>
      <c r="N83">
        <f>IF($U83="","",Settings!$C$6)</f>
        <v/>
      </c>
      <c r="O83" s="7">
        <f>IF($U83="","",SUMIFS('Per Line'!$N$2:$N$501,'Per Line'!$A$2:$A$501,$A83,'Per Line'!$W$2:$W$501,1))</f>
        <v/>
      </c>
      <c r="P83" s="7">
        <f>IF($U83="","",O83*N83)</f>
        <v/>
      </c>
      <c r="Q83" s="7">
        <f>IF($U83="","",P83+M83)</f>
        <v/>
      </c>
      <c r="R83" s="7">
        <f>IF($U83="","",S83-Q83)</f>
        <v/>
      </c>
      <c r="S83" s="7">
        <f>IF($U83="","",L83+O83)</f>
        <v/>
      </c>
      <c r="T83" s="7">
        <f>IF($U83="","",S83-Q83-G83)</f>
        <v/>
      </c>
      <c r="U83" s="13">
        <f>IF(ROWS($U$2:$U83)&lt;=MAX('Per Line'!$V$2:$V$501),MATCH(ROWS($U$2:$U83),'Per Line'!$V$2:$V$501,0),"")</f>
        <v/>
      </c>
    </row>
    <row r="84">
      <c r="A84">
        <f>IF($U84="","",INDEX('Per Line'!$A$2:$A$501,$U84)&amp;"")</f>
        <v/>
      </c>
      <c r="B84" s="12" t="n"/>
      <c r="C84">
        <f>IF($U84="","",INDEX('Per Line'!$B$2:$B$501,$U84)&amp;"")</f>
        <v/>
      </c>
      <c r="D84">
        <f>IF($U84="","",INDEX('Per Line'!$C$2:$C$501,$U84)&amp;"")</f>
        <v/>
      </c>
      <c r="E84">
        <f>IF($U84="","",INDEX('Per Line'!$D$2:$D$501,$U84)&amp;"")</f>
        <v/>
      </c>
      <c r="F84">
        <f>IF($U84="","",INDEX('Per Line'!$E$2:$E$501,$U84))</f>
        <v/>
      </c>
      <c r="G84" s="7">
        <f>IF($U84="","",F84*S84/100)</f>
        <v/>
      </c>
      <c r="H84">
        <f>IF($U84="","",INDEX('Per Line'!$O$2:$O$501,$U84)&amp;"")</f>
        <v/>
      </c>
      <c r="I84" s="11">
        <f>IF($U84="","",INDEX('Per Line'!$Q$2:$Q$501,$U84))</f>
        <v/>
      </c>
      <c r="J84">
        <f>IF($U84="","",INDEX('Per Line'!$R$2:$R$501,$U84)&amp;"")</f>
        <v/>
      </c>
      <c r="K84">
        <f>IF($U84="","",Settings!$C$7)</f>
        <v/>
      </c>
      <c r="L84" s="7">
        <f>IF($U84="","",SUMIFS('Per Line'!$N$2:$N$501,'Per Line'!$A$2:$A$501,$A84,'Per Line'!$W$2:$W$501,0))</f>
        <v/>
      </c>
      <c r="M84" s="7">
        <f>IF($U84="","",L84*K84)</f>
        <v/>
      </c>
      <c r="N84">
        <f>IF($U84="","",Settings!$C$6)</f>
        <v/>
      </c>
      <c r="O84" s="7">
        <f>IF($U84="","",SUMIFS('Per Line'!$N$2:$N$501,'Per Line'!$A$2:$A$501,$A84,'Per Line'!$W$2:$W$501,1))</f>
        <v/>
      </c>
      <c r="P84" s="7">
        <f>IF($U84="","",O84*N84)</f>
        <v/>
      </c>
      <c r="Q84" s="7">
        <f>IF($U84="","",P84+M84)</f>
        <v/>
      </c>
      <c r="R84" s="7">
        <f>IF($U84="","",S84-Q84)</f>
        <v/>
      </c>
      <c r="S84" s="7">
        <f>IF($U84="","",L84+O84)</f>
        <v/>
      </c>
      <c r="T84" s="7">
        <f>IF($U84="","",S84-Q84-G84)</f>
        <v/>
      </c>
      <c r="U84" s="13">
        <f>IF(ROWS($U$2:$U84)&lt;=MAX('Per Line'!$V$2:$V$501),MATCH(ROWS($U$2:$U84),'Per Line'!$V$2:$V$501,0),"")</f>
        <v/>
      </c>
    </row>
    <row r="85">
      <c r="A85">
        <f>IF($U85="","",INDEX('Per Line'!$A$2:$A$501,$U85)&amp;"")</f>
        <v/>
      </c>
      <c r="B85" s="12" t="n"/>
      <c r="C85">
        <f>IF($U85="","",INDEX('Per Line'!$B$2:$B$501,$U85)&amp;"")</f>
        <v/>
      </c>
      <c r="D85">
        <f>IF($U85="","",INDEX('Per Line'!$C$2:$C$501,$U85)&amp;"")</f>
        <v/>
      </c>
      <c r="E85">
        <f>IF($U85="","",INDEX('Per Line'!$D$2:$D$501,$U85)&amp;"")</f>
        <v/>
      </c>
      <c r="F85">
        <f>IF($U85="","",INDEX('Per Line'!$E$2:$E$501,$U85))</f>
        <v/>
      </c>
      <c r="G85" s="7">
        <f>IF($U85="","",F85*S85/100)</f>
        <v/>
      </c>
      <c r="H85">
        <f>IF($U85="","",INDEX('Per Line'!$O$2:$O$501,$U85)&amp;"")</f>
        <v/>
      </c>
      <c r="I85" s="11">
        <f>IF($U85="","",INDEX('Per Line'!$Q$2:$Q$501,$U85))</f>
        <v/>
      </c>
      <c r="J85">
        <f>IF($U85="","",INDEX('Per Line'!$R$2:$R$501,$U85)&amp;"")</f>
        <v/>
      </c>
      <c r="K85">
        <f>IF($U85="","",Settings!$C$7)</f>
        <v/>
      </c>
      <c r="L85" s="7">
        <f>IF($U85="","",SUMIFS('Per Line'!$N$2:$N$501,'Per Line'!$A$2:$A$501,$A85,'Per Line'!$W$2:$W$501,0))</f>
        <v/>
      </c>
      <c r="M85" s="7">
        <f>IF($U85="","",L85*K85)</f>
        <v/>
      </c>
      <c r="N85">
        <f>IF($U85="","",Settings!$C$6)</f>
        <v/>
      </c>
      <c r="O85" s="7">
        <f>IF($U85="","",SUMIFS('Per Line'!$N$2:$N$501,'Per Line'!$A$2:$A$501,$A85,'Per Line'!$W$2:$W$501,1))</f>
        <v/>
      </c>
      <c r="P85" s="7">
        <f>IF($U85="","",O85*N85)</f>
        <v/>
      </c>
      <c r="Q85" s="7">
        <f>IF($U85="","",P85+M85)</f>
        <v/>
      </c>
      <c r="R85" s="7">
        <f>IF($U85="","",S85-Q85)</f>
        <v/>
      </c>
      <c r="S85" s="7">
        <f>IF($U85="","",L85+O85)</f>
        <v/>
      </c>
      <c r="T85" s="7">
        <f>IF($U85="","",S85-Q85-G85)</f>
        <v/>
      </c>
      <c r="U85" s="13">
        <f>IF(ROWS($U$2:$U85)&lt;=MAX('Per Line'!$V$2:$V$501),MATCH(ROWS($U$2:$U85),'Per Line'!$V$2:$V$501,0),"")</f>
        <v/>
      </c>
    </row>
    <row r="86">
      <c r="A86">
        <f>IF($U86="","",INDEX('Per Line'!$A$2:$A$501,$U86)&amp;"")</f>
        <v/>
      </c>
      <c r="B86" s="12" t="n"/>
      <c r="C86">
        <f>IF($U86="","",INDEX('Per Line'!$B$2:$B$501,$U86)&amp;"")</f>
        <v/>
      </c>
      <c r="D86">
        <f>IF($U86="","",INDEX('Per Line'!$C$2:$C$501,$U86)&amp;"")</f>
        <v/>
      </c>
      <c r="E86">
        <f>IF($U86="","",INDEX('Per Line'!$D$2:$D$501,$U86)&amp;"")</f>
        <v/>
      </c>
      <c r="F86">
        <f>IF($U86="","",INDEX('Per Line'!$E$2:$E$501,$U86))</f>
        <v/>
      </c>
      <c r="G86" s="7">
        <f>IF($U86="","",F86*S86/100)</f>
        <v/>
      </c>
      <c r="H86">
        <f>IF($U86="","",INDEX('Per Line'!$O$2:$O$501,$U86)&amp;"")</f>
        <v/>
      </c>
      <c r="I86" s="11">
        <f>IF($U86="","",INDEX('Per Line'!$Q$2:$Q$501,$U86))</f>
        <v/>
      </c>
      <c r="J86">
        <f>IF($U86="","",INDEX('Per Line'!$R$2:$R$501,$U86)&amp;"")</f>
        <v/>
      </c>
      <c r="K86">
        <f>IF($U86="","",Settings!$C$7)</f>
        <v/>
      </c>
      <c r="L86" s="7">
        <f>IF($U86="","",SUMIFS('Per Line'!$N$2:$N$501,'Per Line'!$A$2:$A$501,$A86,'Per Line'!$W$2:$W$501,0))</f>
        <v/>
      </c>
      <c r="M86" s="7">
        <f>IF($U86="","",L86*K86)</f>
        <v/>
      </c>
      <c r="N86">
        <f>IF($U86="","",Settings!$C$6)</f>
        <v/>
      </c>
      <c r="O86" s="7">
        <f>IF($U86="","",SUMIFS('Per Line'!$N$2:$N$501,'Per Line'!$A$2:$A$501,$A86,'Per Line'!$W$2:$W$501,1))</f>
        <v/>
      </c>
      <c r="P86" s="7">
        <f>IF($U86="","",O86*N86)</f>
        <v/>
      </c>
      <c r="Q86" s="7">
        <f>IF($U86="","",P86+M86)</f>
        <v/>
      </c>
      <c r="R86" s="7">
        <f>IF($U86="","",S86-Q86)</f>
        <v/>
      </c>
      <c r="S86" s="7">
        <f>IF($U86="","",L86+O86)</f>
        <v/>
      </c>
      <c r="T86" s="7">
        <f>IF($U86="","",S86-Q86-G86)</f>
        <v/>
      </c>
      <c r="U86" s="13">
        <f>IF(ROWS($U$2:$U86)&lt;=MAX('Per Line'!$V$2:$V$501),MATCH(ROWS($U$2:$U86),'Per Line'!$V$2:$V$501,0),"")</f>
        <v/>
      </c>
    </row>
    <row r="87">
      <c r="A87">
        <f>IF($U87="","",INDEX('Per Line'!$A$2:$A$501,$U87)&amp;"")</f>
        <v/>
      </c>
      <c r="B87" s="12" t="n"/>
      <c r="C87">
        <f>IF($U87="","",INDEX('Per Line'!$B$2:$B$501,$U87)&amp;"")</f>
        <v/>
      </c>
      <c r="D87">
        <f>IF($U87="","",INDEX('Per Line'!$C$2:$C$501,$U87)&amp;"")</f>
        <v/>
      </c>
      <c r="E87">
        <f>IF($U87="","",INDEX('Per Line'!$D$2:$D$501,$U87)&amp;"")</f>
        <v/>
      </c>
      <c r="F87">
        <f>IF($U87="","",INDEX('Per Line'!$E$2:$E$501,$U87))</f>
        <v/>
      </c>
      <c r="G87" s="7">
        <f>IF($U87="","",F87*S87/100)</f>
        <v/>
      </c>
      <c r="H87">
        <f>IF($U87="","",INDEX('Per Line'!$O$2:$O$501,$U87)&amp;"")</f>
        <v/>
      </c>
      <c r="I87" s="11">
        <f>IF($U87="","",INDEX('Per Line'!$Q$2:$Q$501,$U87))</f>
        <v/>
      </c>
      <c r="J87">
        <f>IF($U87="","",INDEX('Per Line'!$R$2:$R$501,$U87)&amp;"")</f>
        <v/>
      </c>
      <c r="K87">
        <f>IF($U87="","",Settings!$C$7)</f>
        <v/>
      </c>
      <c r="L87" s="7">
        <f>IF($U87="","",SUMIFS('Per Line'!$N$2:$N$501,'Per Line'!$A$2:$A$501,$A87,'Per Line'!$W$2:$W$501,0))</f>
        <v/>
      </c>
      <c r="M87" s="7">
        <f>IF($U87="","",L87*K87)</f>
        <v/>
      </c>
      <c r="N87">
        <f>IF($U87="","",Settings!$C$6)</f>
        <v/>
      </c>
      <c r="O87" s="7">
        <f>IF($U87="","",SUMIFS('Per Line'!$N$2:$N$501,'Per Line'!$A$2:$A$501,$A87,'Per Line'!$W$2:$W$501,1))</f>
        <v/>
      </c>
      <c r="P87" s="7">
        <f>IF($U87="","",O87*N87)</f>
        <v/>
      </c>
      <c r="Q87" s="7">
        <f>IF($U87="","",P87+M87)</f>
        <v/>
      </c>
      <c r="R87" s="7">
        <f>IF($U87="","",S87-Q87)</f>
        <v/>
      </c>
      <c r="S87" s="7">
        <f>IF($U87="","",L87+O87)</f>
        <v/>
      </c>
      <c r="T87" s="7">
        <f>IF($U87="","",S87-Q87-G87)</f>
        <v/>
      </c>
      <c r="U87" s="13">
        <f>IF(ROWS($U$2:$U87)&lt;=MAX('Per Line'!$V$2:$V$501),MATCH(ROWS($U$2:$U87),'Per Line'!$V$2:$V$501,0),"")</f>
        <v/>
      </c>
    </row>
    <row r="88">
      <c r="A88">
        <f>IF($U88="","",INDEX('Per Line'!$A$2:$A$501,$U88)&amp;"")</f>
        <v/>
      </c>
      <c r="B88" s="12" t="n"/>
      <c r="C88">
        <f>IF($U88="","",INDEX('Per Line'!$B$2:$B$501,$U88)&amp;"")</f>
        <v/>
      </c>
      <c r="D88">
        <f>IF($U88="","",INDEX('Per Line'!$C$2:$C$501,$U88)&amp;"")</f>
        <v/>
      </c>
      <c r="E88">
        <f>IF($U88="","",INDEX('Per Line'!$D$2:$D$501,$U88)&amp;"")</f>
        <v/>
      </c>
      <c r="F88">
        <f>IF($U88="","",INDEX('Per Line'!$E$2:$E$501,$U88))</f>
        <v/>
      </c>
      <c r="G88" s="7">
        <f>IF($U88="","",F88*S88/100)</f>
        <v/>
      </c>
      <c r="H88">
        <f>IF($U88="","",INDEX('Per Line'!$O$2:$O$501,$U88)&amp;"")</f>
        <v/>
      </c>
      <c r="I88" s="11">
        <f>IF($U88="","",INDEX('Per Line'!$Q$2:$Q$501,$U88))</f>
        <v/>
      </c>
      <c r="J88">
        <f>IF($U88="","",INDEX('Per Line'!$R$2:$R$501,$U88)&amp;"")</f>
        <v/>
      </c>
      <c r="K88">
        <f>IF($U88="","",Settings!$C$7)</f>
        <v/>
      </c>
      <c r="L88" s="7">
        <f>IF($U88="","",SUMIFS('Per Line'!$N$2:$N$501,'Per Line'!$A$2:$A$501,$A88,'Per Line'!$W$2:$W$501,0))</f>
        <v/>
      </c>
      <c r="M88" s="7">
        <f>IF($U88="","",L88*K88)</f>
        <v/>
      </c>
      <c r="N88">
        <f>IF($U88="","",Settings!$C$6)</f>
        <v/>
      </c>
      <c r="O88" s="7">
        <f>IF($U88="","",SUMIFS('Per Line'!$N$2:$N$501,'Per Line'!$A$2:$A$501,$A88,'Per Line'!$W$2:$W$501,1))</f>
        <v/>
      </c>
      <c r="P88" s="7">
        <f>IF($U88="","",O88*N88)</f>
        <v/>
      </c>
      <c r="Q88" s="7">
        <f>IF($U88="","",P88+M88)</f>
        <v/>
      </c>
      <c r="R88" s="7">
        <f>IF($U88="","",S88-Q88)</f>
        <v/>
      </c>
      <c r="S88" s="7">
        <f>IF($U88="","",L88+O88)</f>
        <v/>
      </c>
      <c r="T88" s="7">
        <f>IF($U88="","",S88-Q88-G88)</f>
        <v/>
      </c>
      <c r="U88" s="13">
        <f>IF(ROWS($U$2:$U88)&lt;=MAX('Per Line'!$V$2:$V$501),MATCH(ROWS($U$2:$U88),'Per Line'!$V$2:$V$501,0),"")</f>
        <v/>
      </c>
    </row>
    <row r="89">
      <c r="A89">
        <f>IF($U89="","",INDEX('Per Line'!$A$2:$A$501,$U89)&amp;"")</f>
        <v/>
      </c>
      <c r="B89" s="12" t="n"/>
      <c r="C89">
        <f>IF($U89="","",INDEX('Per Line'!$B$2:$B$501,$U89)&amp;"")</f>
        <v/>
      </c>
      <c r="D89">
        <f>IF($U89="","",INDEX('Per Line'!$C$2:$C$501,$U89)&amp;"")</f>
        <v/>
      </c>
      <c r="E89">
        <f>IF($U89="","",INDEX('Per Line'!$D$2:$D$501,$U89)&amp;"")</f>
        <v/>
      </c>
      <c r="F89">
        <f>IF($U89="","",INDEX('Per Line'!$E$2:$E$501,$U89))</f>
        <v/>
      </c>
      <c r="G89" s="7">
        <f>IF($U89="","",F89*S89/100)</f>
        <v/>
      </c>
      <c r="H89">
        <f>IF($U89="","",INDEX('Per Line'!$O$2:$O$501,$U89)&amp;"")</f>
        <v/>
      </c>
      <c r="I89" s="11">
        <f>IF($U89="","",INDEX('Per Line'!$Q$2:$Q$501,$U89))</f>
        <v/>
      </c>
      <c r="J89">
        <f>IF($U89="","",INDEX('Per Line'!$R$2:$R$501,$U89)&amp;"")</f>
        <v/>
      </c>
      <c r="K89">
        <f>IF($U89="","",Settings!$C$7)</f>
        <v/>
      </c>
      <c r="L89" s="7">
        <f>IF($U89="","",SUMIFS('Per Line'!$N$2:$N$501,'Per Line'!$A$2:$A$501,$A89,'Per Line'!$W$2:$W$501,0))</f>
        <v/>
      </c>
      <c r="M89" s="7">
        <f>IF($U89="","",L89*K89)</f>
        <v/>
      </c>
      <c r="N89">
        <f>IF($U89="","",Settings!$C$6)</f>
        <v/>
      </c>
      <c r="O89" s="7">
        <f>IF($U89="","",SUMIFS('Per Line'!$N$2:$N$501,'Per Line'!$A$2:$A$501,$A89,'Per Line'!$W$2:$W$501,1))</f>
        <v/>
      </c>
      <c r="P89" s="7">
        <f>IF($U89="","",O89*N89)</f>
        <v/>
      </c>
      <c r="Q89" s="7">
        <f>IF($U89="","",P89+M89)</f>
        <v/>
      </c>
      <c r="R89" s="7">
        <f>IF($U89="","",S89-Q89)</f>
        <v/>
      </c>
      <c r="S89" s="7">
        <f>IF($U89="","",L89+O89)</f>
        <v/>
      </c>
      <c r="T89" s="7">
        <f>IF($U89="","",S89-Q89-G89)</f>
        <v/>
      </c>
      <c r="U89" s="13">
        <f>IF(ROWS($U$2:$U89)&lt;=MAX('Per Line'!$V$2:$V$501),MATCH(ROWS($U$2:$U89),'Per Line'!$V$2:$V$501,0),"")</f>
        <v/>
      </c>
    </row>
    <row r="90">
      <c r="A90">
        <f>IF($U90="","",INDEX('Per Line'!$A$2:$A$501,$U90)&amp;"")</f>
        <v/>
      </c>
      <c r="B90" s="12" t="n"/>
      <c r="C90">
        <f>IF($U90="","",INDEX('Per Line'!$B$2:$B$501,$U90)&amp;"")</f>
        <v/>
      </c>
      <c r="D90">
        <f>IF($U90="","",INDEX('Per Line'!$C$2:$C$501,$U90)&amp;"")</f>
        <v/>
      </c>
      <c r="E90">
        <f>IF($U90="","",INDEX('Per Line'!$D$2:$D$501,$U90)&amp;"")</f>
        <v/>
      </c>
      <c r="F90">
        <f>IF($U90="","",INDEX('Per Line'!$E$2:$E$501,$U90))</f>
        <v/>
      </c>
      <c r="G90" s="7">
        <f>IF($U90="","",F90*S90/100)</f>
        <v/>
      </c>
      <c r="H90">
        <f>IF($U90="","",INDEX('Per Line'!$O$2:$O$501,$U90)&amp;"")</f>
        <v/>
      </c>
      <c r="I90" s="11">
        <f>IF($U90="","",INDEX('Per Line'!$Q$2:$Q$501,$U90))</f>
        <v/>
      </c>
      <c r="J90">
        <f>IF($U90="","",INDEX('Per Line'!$R$2:$R$501,$U90)&amp;"")</f>
        <v/>
      </c>
      <c r="K90">
        <f>IF($U90="","",Settings!$C$7)</f>
        <v/>
      </c>
      <c r="L90" s="7">
        <f>IF($U90="","",SUMIFS('Per Line'!$N$2:$N$501,'Per Line'!$A$2:$A$501,$A90,'Per Line'!$W$2:$W$501,0))</f>
        <v/>
      </c>
      <c r="M90" s="7">
        <f>IF($U90="","",L90*K90)</f>
        <v/>
      </c>
      <c r="N90">
        <f>IF($U90="","",Settings!$C$6)</f>
        <v/>
      </c>
      <c r="O90" s="7">
        <f>IF($U90="","",SUMIFS('Per Line'!$N$2:$N$501,'Per Line'!$A$2:$A$501,$A90,'Per Line'!$W$2:$W$501,1))</f>
        <v/>
      </c>
      <c r="P90" s="7">
        <f>IF($U90="","",O90*N90)</f>
        <v/>
      </c>
      <c r="Q90" s="7">
        <f>IF($U90="","",P90+M90)</f>
        <v/>
      </c>
      <c r="R90" s="7">
        <f>IF($U90="","",S90-Q90)</f>
        <v/>
      </c>
      <c r="S90" s="7">
        <f>IF($U90="","",L90+O90)</f>
        <v/>
      </c>
      <c r="T90" s="7">
        <f>IF($U90="","",S90-Q90-G90)</f>
        <v/>
      </c>
      <c r="U90" s="13">
        <f>IF(ROWS($U$2:$U90)&lt;=MAX('Per Line'!$V$2:$V$501),MATCH(ROWS($U$2:$U90),'Per Line'!$V$2:$V$501,0),"")</f>
        <v/>
      </c>
    </row>
    <row r="91">
      <c r="A91">
        <f>IF($U91="","",INDEX('Per Line'!$A$2:$A$501,$U91)&amp;"")</f>
        <v/>
      </c>
      <c r="B91" s="12" t="n"/>
      <c r="C91">
        <f>IF($U91="","",INDEX('Per Line'!$B$2:$B$501,$U91)&amp;"")</f>
        <v/>
      </c>
      <c r="D91">
        <f>IF($U91="","",INDEX('Per Line'!$C$2:$C$501,$U91)&amp;"")</f>
        <v/>
      </c>
      <c r="E91">
        <f>IF($U91="","",INDEX('Per Line'!$D$2:$D$501,$U91)&amp;"")</f>
        <v/>
      </c>
      <c r="F91">
        <f>IF($U91="","",INDEX('Per Line'!$E$2:$E$501,$U91))</f>
        <v/>
      </c>
      <c r="G91" s="7">
        <f>IF($U91="","",F91*S91/100)</f>
        <v/>
      </c>
      <c r="H91">
        <f>IF($U91="","",INDEX('Per Line'!$O$2:$O$501,$U91)&amp;"")</f>
        <v/>
      </c>
      <c r="I91" s="11">
        <f>IF($U91="","",INDEX('Per Line'!$Q$2:$Q$501,$U91))</f>
        <v/>
      </c>
      <c r="J91">
        <f>IF($U91="","",INDEX('Per Line'!$R$2:$R$501,$U91)&amp;"")</f>
        <v/>
      </c>
      <c r="K91">
        <f>IF($U91="","",Settings!$C$7)</f>
        <v/>
      </c>
      <c r="L91" s="7">
        <f>IF($U91="","",SUMIFS('Per Line'!$N$2:$N$501,'Per Line'!$A$2:$A$501,$A91,'Per Line'!$W$2:$W$501,0))</f>
        <v/>
      </c>
      <c r="M91" s="7">
        <f>IF($U91="","",L91*K91)</f>
        <v/>
      </c>
      <c r="N91">
        <f>IF($U91="","",Settings!$C$6)</f>
        <v/>
      </c>
      <c r="O91" s="7">
        <f>IF($U91="","",SUMIFS('Per Line'!$N$2:$N$501,'Per Line'!$A$2:$A$501,$A91,'Per Line'!$W$2:$W$501,1))</f>
        <v/>
      </c>
      <c r="P91" s="7">
        <f>IF($U91="","",O91*N91)</f>
        <v/>
      </c>
      <c r="Q91" s="7">
        <f>IF($U91="","",P91+M91)</f>
        <v/>
      </c>
      <c r="R91" s="7">
        <f>IF($U91="","",S91-Q91)</f>
        <v/>
      </c>
      <c r="S91" s="7">
        <f>IF($U91="","",L91+O91)</f>
        <v/>
      </c>
      <c r="T91" s="7">
        <f>IF($U91="","",S91-Q91-G91)</f>
        <v/>
      </c>
      <c r="U91" s="13">
        <f>IF(ROWS($U$2:$U91)&lt;=MAX('Per Line'!$V$2:$V$501),MATCH(ROWS($U$2:$U91),'Per Line'!$V$2:$V$501,0),"")</f>
        <v/>
      </c>
    </row>
    <row r="92">
      <c r="A92">
        <f>IF($U92="","",INDEX('Per Line'!$A$2:$A$501,$U92)&amp;"")</f>
        <v/>
      </c>
      <c r="B92" s="12" t="n"/>
      <c r="C92">
        <f>IF($U92="","",INDEX('Per Line'!$B$2:$B$501,$U92)&amp;"")</f>
        <v/>
      </c>
      <c r="D92">
        <f>IF($U92="","",INDEX('Per Line'!$C$2:$C$501,$U92)&amp;"")</f>
        <v/>
      </c>
      <c r="E92">
        <f>IF($U92="","",INDEX('Per Line'!$D$2:$D$501,$U92)&amp;"")</f>
        <v/>
      </c>
      <c r="F92">
        <f>IF($U92="","",INDEX('Per Line'!$E$2:$E$501,$U92))</f>
        <v/>
      </c>
      <c r="G92" s="7">
        <f>IF($U92="","",F92*S92/100)</f>
        <v/>
      </c>
      <c r="H92">
        <f>IF($U92="","",INDEX('Per Line'!$O$2:$O$501,$U92)&amp;"")</f>
        <v/>
      </c>
      <c r="I92" s="11">
        <f>IF($U92="","",INDEX('Per Line'!$Q$2:$Q$501,$U92))</f>
        <v/>
      </c>
      <c r="J92">
        <f>IF($U92="","",INDEX('Per Line'!$R$2:$R$501,$U92)&amp;"")</f>
        <v/>
      </c>
      <c r="K92">
        <f>IF($U92="","",Settings!$C$7)</f>
        <v/>
      </c>
      <c r="L92" s="7">
        <f>IF($U92="","",SUMIFS('Per Line'!$N$2:$N$501,'Per Line'!$A$2:$A$501,$A92,'Per Line'!$W$2:$W$501,0))</f>
        <v/>
      </c>
      <c r="M92" s="7">
        <f>IF($U92="","",L92*K92)</f>
        <v/>
      </c>
      <c r="N92">
        <f>IF($U92="","",Settings!$C$6)</f>
        <v/>
      </c>
      <c r="O92" s="7">
        <f>IF($U92="","",SUMIFS('Per Line'!$N$2:$N$501,'Per Line'!$A$2:$A$501,$A92,'Per Line'!$W$2:$W$501,1))</f>
        <v/>
      </c>
      <c r="P92" s="7">
        <f>IF($U92="","",O92*N92)</f>
        <v/>
      </c>
      <c r="Q92" s="7">
        <f>IF($U92="","",P92+M92)</f>
        <v/>
      </c>
      <c r="R92" s="7">
        <f>IF($U92="","",S92-Q92)</f>
        <v/>
      </c>
      <c r="S92" s="7">
        <f>IF($U92="","",L92+O92)</f>
        <v/>
      </c>
      <c r="T92" s="7">
        <f>IF($U92="","",S92-Q92-G92)</f>
        <v/>
      </c>
      <c r="U92" s="13">
        <f>IF(ROWS($U$2:$U92)&lt;=MAX('Per Line'!$V$2:$V$501),MATCH(ROWS($U$2:$U92),'Per Line'!$V$2:$V$501,0),"")</f>
        <v/>
      </c>
    </row>
    <row r="93">
      <c r="A93">
        <f>IF($U93="","",INDEX('Per Line'!$A$2:$A$501,$U93)&amp;"")</f>
        <v/>
      </c>
      <c r="B93" s="12" t="n"/>
      <c r="C93">
        <f>IF($U93="","",INDEX('Per Line'!$B$2:$B$501,$U93)&amp;"")</f>
        <v/>
      </c>
      <c r="D93">
        <f>IF($U93="","",INDEX('Per Line'!$C$2:$C$501,$U93)&amp;"")</f>
        <v/>
      </c>
      <c r="E93">
        <f>IF($U93="","",INDEX('Per Line'!$D$2:$D$501,$U93)&amp;"")</f>
        <v/>
      </c>
      <c r="F93">
        <f>IF($U93="","",INDEX('Per Line'!$E$2:$E$501,$U93))</f>
        <v/>
      </c>
      <c r="G93" s="7">
        <f>IF($U93="","",F93*S93/100)</f>
        <v/>
      </c>
      <c r="H93">
        <f>IF($U93="","",INDEX('Per Line'!$O$2:$O$501,$U93)&amp;"")</f>
        <v/>
      </c>
      <c r="I93" s="11">
        <f>IF($U93="","",INDEX('Per Line'!$Q$2:$Q$501,$U93))</f>
        <v/>
      </c>
      <c r="J93">
        <f>IF($U93="","",INDEX('Per Line'!$R$2:$R$501,$U93)&amp;"")</f>
        <v/>
      </c>
      <c r="K93">
        <f>IF($U93="","",Settings!$C$7)</f>
        <v/>
      </c>
      <c r="L93" s="7">
        <f>IF($U93="","",SUMIFS('Per Line'!$N$2:$N$501,'Per Line'!$A$2:$A$501,$A93,'Per Line'!$W$2:$W$501,0))</f>
        <v/>
      </c>
      <c r="M93" s="7">
        <f>IF($U93="","",L93*K93)</f>
        <v/>
      </c>
      <c r="N93">
        <f>IF($U93="","",Settings!$C$6)</f>
        <v/>
      </c>
      <c r="O93" s="7">
        <f>IF($U93="","",SUMIFS('Per Line'!$N$2:$N$501,'Per Line'!$A$2:$A$501,$A93,'Per Line'!$W$2:$W$501,1))</f>
        <v/>
      </c>
      <c r="P93" s="7">
        <f>IF($U93="","",O93*N93)</f>
        <v/>
      </c>
      <c r="Q93" s="7">
        <f>IF($U93="","",P93+M93)</f>
        <v/>
      </c>
      <c r="R93" s="7">
        <f>IF($U93="","",S93-Q93)</f>
        <v/>
      </c>
      <c r="S93" s="7">
        <f>IF($U93="","",L93+O93)</f>
        <v/>
      </c>
      <c r="T93" s="7">
        <f>IF($U93="","",S93-Q93-G93)</f>
        <v/>
      </c>
      <c r="U93" s="13">
        <f>IF(ROWS($U$2:$U93)&lt;=MAX('Per Line'!$V$2:$V$501),MATCH(ROWS($U$2:$U93),'Per Line'!$V$2:$V$501,0),"")</f>
        <v/>
      </c>
    </row>
    <row r="94">
      <c r="A94">
        <f>IF($U94="","",INDEX('Per Line'!$A$2:$A$501,$U94)&amp;"")</f>
        <v/>
      </c>
      <c r="B94" s="12" t="n"/>
      <c r="C94">
        <f>IF($U94="","",INDEX('Per Line'!$B$2:$B$501,$U94)&amp;"")</f>
        <v/>
      </c>
      <c r="D94">
        <f>IF($U94="","",INDEX('Per Line'!$C$2:$C$501,$U94)&amp;"")</f>
        <v/>
      </c>
      <c r="E94">
        <f>IF($U94="","",INDEX('Per Line'!$D$2:$D$501,$U94)&amp;"")</f>
        <v/>
      </c>
      <c r="F94">
        <f>IF($U94="","",INDEX('Per Line'!$E$2:$E$501,$U94))</f>
        <v/>
      </c>
      <c r="G94" s="7">
        <f>IF($U94="","",F94*S94/100)</f>
        <v/>
      </c>
      <c r="H94">
        <f>IF($U94="","",INDEX('Per Line'!$O$2:$O$501,$U94)&amp;"")</f>
        <v/>
      </c>
      <c r="I94" s="11">
        <f>IF($U94="","",INDEX('Per Line'!$Q$2:$Q$501,$U94))</f>
        <v/>
      </c>
      <c r="J94">
        <f>IF($U94="","",INDEX('Per Line'!$R$2:$R$501,$U94)&amp;"")</f>
        <v/>
      </c>
      <c r="K94">
        <f>IF($U94="","",Settings!$C$7)</f>
        <v/>
      </c>
      <c r="L94" s="7">
        <f>IF($U94="","",SUMIFS('Per Line'!$N$2:$N$501,'Per Line'!$A$2:$A$501,$A94,'Per Line'!$W$2:$W$501,0))</f>
        <v/>
      </c>
      <c r="M94" s="7">
        <f>IF($U94="","",L94*K94)</f>
        <v/>
      </c>
      <c r="N94">
        <f>IF($U94="","",Settings!$C$6)</f>
        <v/>
      </c>
      <c r="O94" s="7">
        <f>IF($U94="","",SUMIFS('Per Line'!$N$2:$N$501,'Per Line'!$A$2:$A$501,$A94,'Per Line'!$W$2:$W$501,1))</f>
        <v/>
      </c>
      <c r="P94" s="7">
        <f>IF($U94="","",O94*N94)</f>
        <v/>
      </c>
      <c r="Q94" s="7">
        <f>IF($U94="","",P94+M94)</f>
        <v/>
      </c>
      <c r="R94" s="7">
        <f>IF($U94="","",S94-Q94)</f>
        <v/>
      </c>
      <c r="S94" s="7">
        <f>IF($U94="","",L94+O94)</f>
        <v/>
      </c>
      <c r="T94" s="7">
        <f>IF($U94="","",S94-Q94-G94)</f>
        <v/>
      </c>
      <c r="U94" s="13">
        <f>IF(ROWS($U$2:$U94)&lt;=MAX('Per Line'!$V$2:$V$501),MATCH(ROWS($U$2:$U94),'Per Line'!$V$2:$V$501,0),"")</f>
        <v/>
      </c>
    </row>
    <row r="95">
      <c r="A95">
        <f>IF($U95="","",INDEX('Per Line'!$A$2:$A$501,$U95)&amp;"")</f>
        <v/>
      </c>
      <c r="B95" s="12" t="n"/>
      <c r="C95">
        <f>IF($U95="","",INDEX('Per Line'!$B$2:$B$501,$U95)&amp;"")</f>
        <v/>
      </c>
      <c r="D95">
        <f>IF($U95="","",INDEX('Per Line'!$C$2:$C$501,$U95)&amp;"")</f>
        <v/>
      </c>
      <c r="E95">
        <f>IF($U95="","",INDEX('Per Line'!$D$2:$D$501,$U95)&amp;"")</f>
        <v/>
      </c>
      <c r="F95">
        <f>IF($U95="","",INDEX('Per Line'!$E$2:$E$501,$U95))</f>
        <v/>
      </c>
      <c r="G95" s="7">
        <f>IF($U95="","",F95*S95/100)</f>
        <v/>
      </c>
      <c r="H95">
        <f>IF($U95="","",INDEX('Per Line'!$O$2:$O$501,$U95)&amp;"")</f>
        <v/>
      </c>
      <c r="I95" s="11">
        <f>IF($U95="","",INDEX('Per Line'!$Q$2:$Q$501,$U95))</f>
        <v/>
      </c>
      <c r="J95">
        <f>IF($U95="","",INDEX('Per Line'!$R$2:$R$501,$U95)&amp;"")</f>
        <v/>
      </c>
      <c r="K95">
        <f>IF($U95="","",Settings!$C$7)</f>
        <v/>
      </c>
      <c r="L95" s="7">
        <f>IF($U95="","",SUMIFS('Per Line'!$N$2:$N$501,'Per Line'!$A$2:$A$501,$A95,'Per Line'!$W$2:$W$501,0))</f>
        <v/>
      </c>
      <c r="M95" s="7">
        <f>IF($U95="","",L95*K95)</f>
        <v/>
      </c>
      <c r="N95">
        <f>IF($U95="","",Settings!$C$6)</f>
        <v/>
      </c>
      <c r="O95" s="7">
        <f>IF($U95="","",SUMIFS('Per Line'!$N$2:$N$501,'Per Line'!$A$2:$A$501,$A95,'Per Line'!$W$2:$W$501,1))</f>
        <v/>
      </c>
      <c r="P95" s="7">
        <f>IF($U95="","",O95*N95)</f>
        <v/>
      </c>
      <c r="Q95" s="7">
        <f>IF($U95="","",P95+M95)</f>
        <v/>
      </c>
      <c r="R95" s="7">
        <f>IF($U95="","",S95-Q95)</f>
        <v/>
      </c>
      <c r="S95" s="7">
        <f>IF($U95="","",L95+O95)</f>
        <v/>
      </c>
      <c r="T95" s="7">
        <f>IF($U95="","",S95-Q95-G95)</f>
        <v/>
      </c>
      <c r="U95" s="13">
        <f>IF(ROWS($U$2:$U95)&lt;=MAX('Per Line'!$V$2:$V$501),MATCH(ROWS($U$2:$U95),'Per Line'!$V$2:$V$501,0),"")</f>
        <v/>
      </c>
    </row>
    <row r="96">
      <c r="A96">
        <f>IF($U96="","",INDEX('Per Line'!$A$2:$A$501,$U96)&amp;"")</f>
        <v/>
      </c>
      <c r="B96" s="12" t="n"/>
      <c r="C96">
        <f>IF($U96="","",INDEX('Per Line'!$B$2:$B$501,$U96)&amp;"")</f>
        <v/>
      </c>
      <c r="D96">
        <f>IF($U96="","",INDEX('Per Line'!$C$2:$C$501,$U96)&amp;"")</f>
        <v/>
      </c>
      <c r="E96">
        <f>IF($U96="","",INDEX('Per Line'!$D$2:$D$501,$U96)&amp;"")</f>
        <v/>
      </c>
      <c r="F96">
        <f>IF($U96="","",INDEX('Per Line'!$E$2:$E$501,$U96))</f>
        <v/>
      </c>
      <c r="G96" s="7">
        <f>IF($U96="","",F96*S96/100)</f>
        <v/>
      </c>
      <c r="H96">
        <f>IF($U96="","",INDEX('Per Line'!$O$2:$O$501,$U96)&amp;"")</f>
        <v/>
      </c>
      <c r="I96" s="11">
        <f>IF($U96="","",INDEX('Per Line'!$Q$2:$Q$501,$U96))</f>
        <v/>
      </c>
      <c r="J96">
        <f>IF($U96="","",INDEX('Per Line'!$R$2:$R$501,$U96)&amp;"")</f>
        <v/>
      </c>
      <c r="K96">
        <f>IF($U96="","",Settings!$C$7)</f>
        <v/>
      </c>
      <c r="L96" s="7">
        <f>IF($U96="","",SUMIFS('Per Line'!$N$2:$N$501,'Per Line'!$A$2:$A$501,$A96,'Per Line'!$W$2:$W$501,0))</f>
        <v/>
      </c>
      <c r="M96" s="7">
        <f>IF($U96="","",L96*K96)</f>
        <v/>
      </c>
      <c r="N96">
        <f>IF($U96="","",Settings!$C$6)</f>
        <v/>
      </c>
      <c r="O96" s="7">
        <f>IF($U96="","",SUMIFS('Per Line'!$N$2:$N$501,'Per Line'!$A$2:$A$501,$A96,'Per Line'!$W$2:$W$501,1))</f>
        <v/>
      </c>
      <c r="P96" s="7">
        <f>IF($U96="","",O96*N96)</f>
        <v/>
      </c>
      <c r="Q96" s="7">
        <f>IF($U96="","",P96+M96)</f>
        <v/>
      </c>
      <c r="R96" s="7">
        <f>IF($U96="","",S96-Q96)</f>
        <v/>
      </c>
      <c r="S96" s="7">
        <f>IF($U96="","",L96+O96)</f>
        <v/>
      </c>
      <c r="T96" s="7">
        <f>IF($U96="","",S96-Q96-G96)</f>
        <v/>
      </c>
      <c r="U96" s="13">
        <f>IF(ROWS($U$2:$U96)&lt;=MAX('Per Line'!$V$2:$V$501),MATCH(ROWS($U$2:$U96),'Per Line'!$V$2:$V$501,0),"")</f>
        <v/>
      </c>
    </row>
    <row r="97">
      <c r="A97">
        <f>IF($U97="","",INDEX('Per Line'!$A$2:$A$501,$U97)&amp;"")</f>
        <v/>
      </c>
      <c r="B97" s="12" t="n"/>
      <c r="C97">
        <f>IF($U97="","",INDEX('Per Line'!$B$2:$B$501,$U97)&amp;"")</f>
        <v/>
      </c>
      <c r="D97">
        <f>IF($U97="","",INDEX('Per Line'!$C$2:$C$501,$U97)&amp;"")</f>
        <v/>
      </c>
      <c r="E97">
        <f>IF($U97="","",INDEX('Per Line'!$D$2:$D$501,$U97)&amp;"")</f>
        <v/>
      </c>
      <c r="F97">
        <f>IF($U97="","",INDEX('Per Line'!$E$2:$E$501,$U97))</f>
        <v/>
      </c>
      <c r="G97" s="7">
        <f>IF($U97="","",F97*S97/100)</f>
        <v/>
      </c>
      <c r="H97">
        <f>IF($U97="","",INDEX('Per Line'!$O$2:$O$501,$U97)&amp;"")</f>
        <v/>
      </c>
      <c r="I97" s="11">
        <f>IF($U97="","",INDEX('Per Line'!$Q$2:$Q$501,$U97))</f>
        <v/>
      </c>
      <c r="J97">
        <f>IF($U97="","",INDEX('Per Line'!$R$2:$R$501,$U97)&amp;"")</f>
        <v/>
      </c>
      <c r="K97">
        <f>IF($U97="","",Settings!$C$7)</f>
        <v/>
      </c>
      <c r="L97" s="7">
        <f>IF($U97="","",SUMIFS('Per Line'!$N$2:$N$501,'Per Line'!$A$2:$A$501,$A97,'Per Line'!$W$2:$W$501,0))</f>
        <v/>
      </c>
      <c r="M97" s="7">
        <f>IF($U97="","",L97*K97)</f>
        <v/>
      </c>
      <c r="N97">
        <f>IF($U97="","",Settings!$C$6)</f>
        <v/>
      </c>
      <c r="O97" s="7">
        <f>IF($U97="","",SUMIFS('Per Line'!$N$2:$N$501,'Per Line'!$A$2:$A$501,$A97,'Per Line'!$W$2:$W$501,1))</f>
        <v/>
      </c>
      <c r="P97" s="7">
        <f>IF($U97="","",O97*N97)</f>
        <v/>
      </c>
      <c r="Q97" s="7">
        <f>IF($U97="","",P97+M97)</f>
        <v/>
      </c>
      <c r="R97" s="7">
        <f>IF($U97="","",S97-Q97)</f>
        <v/>
      </c>
      <c r="S97" s="7">
        <f>IF($U97="","",L97+O97)</f>
        <v/>
      </c>
      <c r="T97" s="7">
        <f>IF($U97="","",S97-Q97-G97)</f>
        <v/>
      </c>
      <c r="U97" s="13">
        <f>IF(ROWS($U$2:$U97)&lt;=MAX('Per Line'!$V$2:$V$501),MATCH(ROWS($U$2:$U97),'Per Line'!$V$2:$V$501,0),"")</f>
        <v/>
      </c>
    </row>
    <row r="98">
      <c r="A98">
        <f>IF($U98="","",INDEX('Per Line'!$A$2:$A$501,$U98)&amp;"")</f>
        <v/>
      </c>
      <c r="B98" s="12" t="n"/>
      <c r="C98">
        <f>IF($U98="","",INDEX('Per Line'!$B$2:$B$501,$U98)&amp;"")</f>
        <v/>
      </c>
      <c r="D98">
        <f>IF($U98="","",INDEX('Per Line'!$C$2:$C$501,$U98)&amp;"")</f>
        <v/>
      </c>
      <c r="E98">
        <f>IF($U98="","",INDEX('Per Line'!$D$2:$D$501,$U98)&amp;"")</f>
        <v/>
      </c>
      <c r="F98">
        <f>IF($U98="","",INDEX('Per Line'!$E$2:$E$501,$U98))</f>
        <v/>
      </c>
      <c r="G98" s="7">
        <f>IF($U98="","",F98*S98/100)</f>
        <v/>
      </c>
      <c r="H98">
        <f>IF($U98="","",INDEX('Per Line'!$O$2:$O$501,$U98)&amp;"")</f>
        <v/>
      </c>
      <c r="I98" s="11">
        <f>IF($U98="","",INDEX('Per Line'!$Q$2:$Q$501,$U98))</f>
        <v/>
      </c>
      <c r="J98">
        <f>IF($U98="","",INDEX('Per Line'!$R$2:$R$501,$U98)&amp;"")</f>
        <v/>
      </c>
      <c r="K98">
        <f>IF($U98="","",Settings!$C$7)</f>
        <v/>
      </c>
      <c r="L98" s="7">
        <f>IF($U98="","",SUMIFS('Per Line'!$N$2:$N$501,'Per Line'!$A$2:$A$501,$A98,'Per Line'!$W$2:$W$501,0))</f>
        <v/>
      </c>
      <c r="M98" s="7">
        <f>IF($U98="","",L98*K98)</f>
        <v/>
      </c>
      <c r="N98">
        <f>IF($U98="","",Settings!$C$6)</f>
        <v/>
      </c>
      <c r="O98" s="7">
        <f>IF($U98="","",SUMIFS('Per Line'!$N$2:$N$501,'Per Line'!$A$2:$A$501,$A98,'Per Line'!$W$2:$W$501,1))</f>
        <v/>
      </c>
      <c r="P98" s="7">
        <f>IF($U98="","",O98*N98)</f>
        <v/>
      </c>
      <c r="Q98" s="7">
        <f>IF($U98="","",P98+M98)</f>
        <v/>
      </c>
      <c r="R98" s="7">
        <f>IF($U98="","",S98-Q98)</f>
        <v/>
      </c>
      <c r="S98" s="7">
        <f>IF($U98="","",L98+O98)</f>
        <v/>
      </c>
      <c r="T98" s="7">
        <f>IF($U98="","",S98-Q98-G98)</f>
        <v/>
      </c>
      <c r="U98" s="13">
        <f>IF(ROWS($U$2:$U98)&lt;=MAX('Per Line'!$V$2:$V$501),MATCH(ROWS($U$2:$U98),'Per Line'!$V$2:$V$501,0),"")</f>
        <v/>
      </c>
    </row>
    <row r="99">
      <c r="A99">
        <f>IF($U99="","",INDEX('Per Line'!$A$2:$A$501,$U99)&amp;"")</f>
        <v/>
      </c>
      <c r="B99" s="12" t="n"/>
      <c r="C99">
        <f>IF($U99="","",INDEX('Per Line'!$B$2:$B$501,$U99)&amp;"")</f>
        <v/>
      </c>
      <c r="D99">
        <f>IF($U99="","",INDEX('Per Line'!$C$2:$C$501,$U99)&amp;"")</f>
        <v/>
      </c>
      <c r="E99">
        <f>IF($U99="","",INDEX('Per Line'!$D$2:$D$501,$U99)&amp;"")</f>
        <v/>
      </c>
      <c r="F99">
        <f>IF($U99="","",INDEX('Per Line'!$E$2:$E$501,$U99))</f>
        <v/>
      </c>
      <c r="G99" s="7">
        <f>IF($U99="","",F99*S99/100)</f>
        <v/>
      </c>
      <c r="H99">
        <f>IF($U99="","",INDEX('Per Line'!$O$2:$O$501,$U99)&amp;"")</f>
        <v/>
      </c>
      <c r="I99" s="11">
        <f>IF($U99="","",INDEX('Per Line'!$Q$2:$Q$501,$U99))</f>
        <v/>
      </c>
      <c r="J99">
        <f>IF($U99="","",INDEX('Per Line'!$R$2:$R$501,$U99)&amp;"")</f>
        <v/>
      </c>
      <c r="K99">
        <f>IF($U99="","",Settings!$C$7)</f>
        <v/>
      </c>
      <c r="L99" s="7">
        <f>IF($U99="","",SUMIFS('Per Line'!$N$2:$N$501,'Per Line'!$A$2:$A$501,$A99,'Per Line'!$W$2:$W$501,0))</f>
        <v/>
      </c>
      <c r="M99" s="7">
        <f>IF($U99="","",L99*K99)</f>
        <v/>
      </c>
      <c r="N99">
        <f>IF($U99="","",Settings!$C$6)</f>
        <v/>
      </c>
      <c r="O99" s="7">
        <f>IF($U99="","",SUMIFS('Per Line'!$N$2:$N$501,'Per Line'!$A$2:$A$501,$A99,'Per Line'!$W$2:$W$501,1))</f>
        <v/>
      </c>
      <c r="P99" s="7">
        <f>IF($U99="","",O99*N99)</f>
        <v/>
      </c>
      <c r="Q99" s="7">
        <f>IF($U99="","",P99+M99)</f>
        <v/>
      </c>
      <c r="R99" s="7">
        <f>IF($U99="","",S99-Q99)</f>
        <v/>
      </c>
      <c r="S99" s="7">
        <f>IF($U99="","",L99+O99)</f>
        <v/>
      </c>
      <c r="T99" s="7">
        <f>IF($U99="","",S99-Q99-G99)</f>
        <v/>
      </c>
      <c r="U99" s="13">
        <f>IF(ROWS($U$2:$U99)&lt;=MAX('Per Line'!$V$2:$V$501),MATCH(ROWS($U$2:$U99),'Per Line'!$V$2:$V$501,0),"")</f>
        <v/>
      </c>
    </row>
    <row r="100">
      <c r="A100">
        <f>IF($U100="","",INDEX('Per Line'!$A$2:$A$501,$U100)&amp;"")</f>
        <v/>
      </c>
      <c r="B100" s="12" t="n"/>
      <c r="C100">
        <f>IF($U100="","",INDEX('Per Line'!$B$2:$B$501,$U100)&amp;"")</f>
        <v/>
      </c>
      <c r="D100">
        <f>IF($U100="","",INDEX('Per Line'!$C$2:$C$501,$U100)&amp;"")</f>
        <v/>
      </c>
      <c r="E100">
        <f>IF($U100="","",INDEX('Per Line'!$D$2:$D$501,$U100)&amp;"")</f>
        <v/>
      </c>
      <c r="F100">
        <f>IF($U100="","",INDEX('Per Line'!$E$2:$E$501,$U100))</f>
        <v/>
      </c>
      <c r="G100" s="7">
        <f>IF($U100="","",F100*S100/100)</f>
        <v/>
      </c>
      <c r="H100">
        <f>IF($U100="","",INDEX('Per Line'!$O$2:$O$501,$U100)&amp;"")</f>
        <v/>
      </c>
      <c r="I100" s="11">
        <f>IF($U100="","",INDEX('Per Line'!$Q$2:$Q$501,$U100))</f>
        <v/>
      </c>
      <c r="J100">
        <f>IF($U100="","",INDEX('Per Line'!$R$2:$R$501,$U100)&amp;"")</f>
        <v/>
      </c>
      <c r="K100">
        <f>IF($U100="","",Settings!$C$7)</f>
        <v/>
      </c>
      <c r="L100" s="7">
        <f>IF($U100="","",SUMIFS('Per Line'!$N$2:$N$501,'Per Line'!$A$2:$A$501,$A100,'Per Line'!$W$2:$W$501,0))</f>
        <v/>
      </c>
      <c r="M100" s="7">
        <f>IF($U100="","",L100*K100)</f>
        <v/>
      </c>
      <c r="N100">
        <f>IF($U100="","",Settings!$C$6)</f>
        <v/>
      </c>
      <c r="O100" s="7">
        <f>IF($U100="","",SUMIFS('Per Line'!$N$2:$N$501,'Per Line'!$A$2:$A$501,$A100,'Per Line'!$W$2:$W$501,1))</f>
        <v/>
      </c>
      <c r="P100" s="7">
        <f>IF($U100="","",O100*N100)</f>
        <v/>
      </c>
      <c r="Q100" s="7">
        <f>IF($U100="","",P100+M100)</f>
        <v/>
      </c>
      <c r="R100" s="7">
        <f>IF($U100="","",S100-Q100)</f>
        <v/>
      </c>
      <c r="S100" s="7">
        <f>IF($U100="","",L100+O100)</f>
        <v/>
      </c>
      <c r="T100" s="7">
        <f>IF($U100="","",S100-Q100-G100)</f>
        <v/>
      </c>
      <c r="U100" s="13">
        <f>IF(ROWS($U$2:$U100)&lt;=MAX('Per Line'!$V$2:$V$501),MATCH(ROWS($U$2:$U100),'Per Line'!$V$2:$V$501,0),"")</f>
        <v/>
      </c>
    </row>
    <row r="101">
      <c r="A101">
        <f>IF($U101="","",INDEX('Per Line'!$A$2:$A$501,$U101)&amp;"")</f>
        <v/>
      </c>
      <c r="B101" s="12" t="n"/>
      <c r="C101">
        <f>IF($U101="","",INDEX('Per Line'!$B$2:$B$501,$U101)&amp;"")</f>
        <v/>
      </c>
      <c r="D101">
        <f>IF($U101="","",INDEX('Per Line'!$C$2:$C$501,$U101)&amp;"")</f>
        <v/>
      </c>
      <c r="E101">
        <f>IF($U101="","",INDEX('Per Line'!$D$2:$D$501,$U101)&amp;"")</f>
        <v/>
      </c>
      <c r="F101">
        <f>IF($U101="","",INDEX('Per Line'!$E$2:$E$501,$U101))</f>
        <v/>
      </c>
      <c r="G101" s="7">
        <f>IF($U101="","",F101*S101/100)</f>
        <v/>
      </c>
      <c r="H101">
        <f>IF($U101="","",INDEX('Per Line'!$O$2:$O$501,$U101)&amp;"")</f>
        <v/>
      </c>
      <c r="I101" s="11">
        <f>IF($U101="","",INDEX('Per Line'!$Q$2:$Q$501,$U101))</f>
        <v/>
      </c>
      <c r="J101">
        <f>IF($U101="","",INDEX('Per Line'!$R$2:$R$501,$U101)&amp;"")</f>
        <v/>
      </c>
      <c r="K101">
        <f>IF($U101="","",Settings!$C$7)</f>
        <v/>
      </c>
      <c r="L101" s="7">
        <f>IF($U101="","",SUMIFS('Per Line'!$N$2:$N$501,'Per Line'!$A$2:$A$501,$A101,'Per Line'!$W$2:$W$501,0))</f>
        <v/>
      </c>
      <c r="M101" s="7">
        <f>IF($U101="","",L101*K101)</f>
        <v/>
      </c>
      <c r="N101">
        <f>IF($U101="","",Settings!$C$6)</f>
        <v/>
      </c>
      <c r="O101" s="7">
        <f>IF($U101="","",SUMIFS('Per Line'!$N$2:$N$501,'Per Line'!$A$2:$A$501,$A101,'Per Line'!$W$2:$W$501,1))</f>
        <v/>
      </c>
      <c r="P101" s="7">
        <f>IF($U101="","",O101*N101)</f>
        <v/>
      </c>
      <c r="Q101" s="7">
        <f>IF($U101="","",P101+M101)</f>
        <v/>
      </c>
      <c r="R101" s="7">
        <f>IF($U101="","",S101-Q101)</f>
        <v/>
      </c>
      <c r="S101" s="7">
        <f>IF($U101="","",L101+O101)</f>
        <v/>
      </c>
      <c r="T101" s="7">
        <f>IF($U101="","",S101-Q101-G101)</f>
        <v/>
      </c>
      <c r="U101" s="13">
        <f>IF(ROWS($U$2:$U101)&lt;=MAX('Per Line'!$V$2:$V$501),MATCH(ROWS($U$2:$U101),'Per Line'!$V$2:$V$501,0),"")</f>
        <v/>
      </c>
    </row>
    <row r="102">
      <c r="A102">
        <f>IF($U102="","",INDEX('Per Line'!$A$2:$A$501,$U102)&amp;"")</f>
        <v/>
      </c>
      <c r="B102" s="12" t="n"/>
      <c r="C102">
        <f>IF($U102="","",INDEX('Per Line'!$B$2:$B$501,$U102)&amp;"")</f>
        <v/>
      </c>
      <c r="D102">
        <f>IF($U102="","",INDEX('Per Line'!$C$2:$C$501,$U102)&amp;"")</f>
        <v/>
      </c>
      <c r="E102">
        <f>IF($U102="","",INDEX('Per Line'!$D$2:$D$501,$U102)&amp;"")</f>
        <v/>
      </c>
      <c r="F102">
        <f>IF($U102="","",INDEX('Per Line'!$E$2:$E$501,$U102))</f>
        <v/>
      </c>
      <c r="G102" s="7">
        <f>IF($U102="","",F102*S102/100)</f>
        <v/>
      </c>
      <c r="H102">
        <f>IF($U102="","",INDEX('Per Line'!$O$2:$O$501,$U102)&amp;"")</f>
        <v/>
      </c>
      <c r="I102" s="11">
        <f>IF($U102="","",INDEX('Per Line'!$Q$2:$Q$501,$U102))</f>
        <v/>
      </c>
      <c r="J102">
        <f>IF($U102="","",INDEX('Per Line'!$R$2:$R$501,$U102)&amp;"")</f>
        <v/>
      </c>
      <c r="K102">
        <f>IF($U102="","",Settings!$C$7)</f>
        <v/>
      </c>
      <c r="L102" s="7">
        <f>IF($U102="","",SUMIFS('Per Line'!$N$2:$N$501,'Per Line'!$A$2:$A$501,$A102,'Per Line'!$W$2:$W$501,0))</f>
        <v/>
      </c>
      <c r="M102" s="7">
        <f>IF($U102="","",L102*K102)</f>
        <v/>
      </c>
      <c r="N102">
        <f>IF($U102="","",Settings!$C$6)</f>
        <v/>
      </c>
      <c r="O102" s="7">
        <f>IF($U102="","",SUMIFS('Per Line'!$N$2:$N$501,'Per Line'!$A$2:$A$501,$A102,'Per Line'!$W$2:$W$501,1))</f>
        <v/>
      </c>
      <c r="P102" s="7">
        <f>IF($U102="","",O102*N102)</f>
        <v/>
      </c>
      <c r="Q102" s="7">
        <f>IF($U102="","",P102+M102)</f>
        <v/>
      </c>
      <c r="R102" s="7">
        <f>IF($U102="","",S102-Q102)</f>
        <v/>
      </c>
      <c r="S102" s="7">
        <f>IF($U102="","",L102+O102)</f>
        <v/>
      </c>
      <c r="T102" s="7">
        <f>IF($U102="","",S102-Q102-G102)</f>
        <v/>
      </c>
      <c r="U102" s="13">
        <f>IF(ROWS($U$2:$U102)&lt;=MAX('Per Line'!$V$2:$V$501),MATCH(ROWS($U$2:$U102),'Per Line'!$V$2:$V$501,0),"")</f>
        <v/>
      </c>
    </row>
    <row r="103">
      <c r="A103">
        <f>IF($U103="","",INDEX('Per Line'!$A$2:$A$501,$U103)&amp;"")</f>
        <v/>
      </c>
      <c r="B103" s="12" t="n"/>
      <c r="C103">
        <f>IF($U103="","",INDEX('Per Line'!$B$2:$B$501,$U103)&amp;"")</f>
        <v/>
      </c>
      <c r="D103">
        <f>IF($U103="","",INDEX('Per Line'!$C$2:$C$501,$U103)&amp;"")</f>
        <v/>
      </c>
      <c r="E103">
        <f>IF($U103="","",INDEX('Per Line'!$D$2:$D$501,$U103)&amp;"")</f>
        <v/>
      </c>
      <c r="F103">
        <f>IF($U103="","",INDEX('Per Line'!$E$2:$E$501,$U103))</f>
        <v/>
      </c>
      <c r="G103" s="7">
        <f>IF($U103="","",F103*S103/100)</f>
        <v/>
      </c>
      <c r="H103">
        <f>IF($U103="","",INDEX('Per Line'!$O$2:$O$501,$U103)&amp;"")</f>
        <v/>
      </c>
      <c r="I103" s="11">
        <f>IF($U103="","",INDEX('Per Line'!$Q$2:$Q$501,$U103))</f>
        <v/>
      </c>
      <c r="J103">
        <f>IF($U103="","",INDEX('Per Line'!$R$2:$R$501,$U103)&amp;"")</f>
        <v/>
      </c>
      <c r="K103">
        <f>IF($U103="","",Settings!$C$7)</f>
        <v/>
      </c>
      <c r="L103" s="7">
        <f>IF($U103="","",SUMIFS('Per Line'!$N$2:$N$501,'Per Line'!$A$2:$A$501,$A103,'Per Line'!$W$2:$W$501,0))</f>
        <v/>
      </c>
      <c r="M103" s="7">
        <f>IF($U103="","",L103*K103)</f>
        <v/>
      </c>
      <c r="N103">
        <f>IF($U103="","",Settings!$C$6)</f>
        <v/>
      </c>
      <c r="O103" s="7">
        <f>IF($U103="","",SUMIFS('Per Line'!$N$2:$N$501,'Per Line'!$A$2:$A$501,$A103,'Per Line'!$W$2:$W$501,1))</f>
        <v/>
      </c>
      <c r="P103" s="7">
        <f>IF($U103="","",O103*N103)</f>
        <v/>
      </c>
      <c r="Q103" s="7">
        <f>IF($U103="","",P103+M103)</f>
        <v/>
      </c>
      <c r="R103" s="7">
        <f>IF($U103="","",S103-Q103)</f>
        <v/>
      </c>
      <c r="S103" s="7">
        <f>IF($U103="","",L103+O103)</f>
        <v/>
      </c>
      <c r="T103" s="7">
        <f>IF($U103="","",S103-Q103-G103)</f>
        <v/>
      </c>
      <c r="U103" s="13">
        <f>IF(ROWS($U$2:$U103)&lt;=MAX('Per Line'!$V$2:$V$501),MATCH(ROWS($U$2:$U103),'Per Line'!$V$2:$V$501,0),"")</f>
        <v/>
      </c>
    </row>
    <row r="104">
      <c r="A104">
        <f>IF($U104="","",INDEX('Per Line'!$A$2:$A$501,$U104)&amp;"")</f>
        <v/>
      </c>
      <c r="B104" s="12" t="n"/>
      <c r="C104">
        <f>IF($U104="","",INDEX('Per Line'!$B$2:$B$501,$U104)&amp;"")</f>
        <v/>
      </c>
      <c r="D104">
        <f>IF($U104="","",INDEX('Per Line'!$C$2:$C$501,$U104)&amp;"")</f>
        <v/>
      </c>
      <c r="E104">
        <f>IF($U104="","",INDEX('Per Line'!$D$2:$D$501,$U104)&amp;"")</f>
        <v/>
      </c>
      <c r="F104">
        <f>IF($U104="","",INDEX('Per Line'!$E$2:$E$501,$U104))</f>
        <v/>
      </c>
      <c r="G104" s="7">
        <f>IF($U104="","",F104*S104/100)</f>
        <v/>
      </c>
      <c r="H104">
        <f>IF($U104="","",INDEX('Per Line'!$O$2:$O$501,$U104)&amp;"")</f>
        <v/>
      </c>
      <c r="I104" s="11">
        <f>IF($U104="","",INDEX('Per Line'!$Q$2:$Q$501,$U104))</f>
        <v/>
      </c>
      <c r="J104">
        <f>IF($U104="","",INDEX('Per Line'!$R$2:$R$501,$U104)&amp;"")</f>
        <v/>
      </c>
      <c r="K104">
        <f>IF($U104="","",Settings!$C$7)</f>
        <v/>
      </c>
      <c r="L104" s="7">
        <f>IF($U104="","",SUMIFS('Per Line'!$N$2:$N$501,'Per Line'!$A$2:$A$501,$A104,'Per Line'!$W$2:$W$501,0))</f>
        <v/>
      </c>
      <c r="M104" s="7">
        <f>IF($U104="","",L104*K104)</f>
        <v/>
      </c>
      <c r="N104">
        <f>IF($U104="","",Settings!$C$6)</f>
        <v/>
      </c>
      <c r="O104" s="7">
        <f>IF($U104="","",SUMIFS('Per Line'!$N$2:$N$501,'Per Line'!$A$2:$A$501,$A104,'Per Line'!$W$2:$W$501,1))</f>
        <v/>
      </c>
      <c r="P104" s="7">
        <f>IF($U104="","",O104*N104)</f>
        <v/>
      </c>
      <c r="Q104" s="7">
        <f>IF($U104="","",P104+M104)</f>
        <v/>
      </c>
      <c r="R104" s="7">
        <f>IF($U104="","",S104-Q104)</f>
        <v/>
      </c>
      <c r="S104" s="7">
        <f>IF($U104="","",L104+O104)</f>
        <v/>
      </c>
      <c r="T104" s="7">
        <f>IF($U104="","",S104-Q104-G104)</f>
        <v/>
      </c>
      <c r="U104" s="13">
        <f>IF(ROWS($U$2:$U104)&lt;=MAX('Per Line'!$V$2:$V$501),MATCH(ROWS($U$2:$U104),'Per Line'!$V$2:$V$501,0),"")</f>
        <v/>
      </c>
    </row>
    <row r="105">
      <c r="A105">
        <f>IF($U105="","",INDEX('Per Line'!$A$2:$A$501,$U105)&amp;"")</f>
        <v/>
      </c>
      <c r="B105" s="12" t="n"/>
      <c r="C105">
        <f>IF($U105="","",INDEX('Per Line'!$B$2:$B$501,$U105)&amp;"")</f>
        <v/>
      </c>
      <c r="D105">
        <f>IF($U105="","",INDEX('Per Line'!$C$2:$C$501,$U105)&amp;"")</f>
        <v/>
      </c>
      <c r="E105">
        <f>IF($U105="","",INDEX('Per Line'!$D$2:$D$501,$U105)&amp;"")</f>
        <v/>
      </c>
      <c r="F105">
        <f>IF($U105="","",INDEX('Per Line'!$E$2:$E$501,$U105))</f>
        <v/>
      </c>
      <c r="G105" s="7">
        <f>IF($U105="","",F105*S105/100)</f>
        <v/>
      </c>
      <c r="H105">
        <f>IF($U105="","",INDEX('Per Line'!$O$2:$O$501,$U105)&amp;"")</f>
        <v/>
      </c>
      <c r="I105" s="11">
        <f>IF($U105="","",INDEX('Per Line'!$Q$2:$Q$501,$U105))</f>
        <v/>
      </c>
      <c r="J105">
        <f>IF($U105="","",INDEX('Per Line'!$R$2:$R$501,$U105)&amp;"")</f>
        <v/>
      </c>
      <c r="K105">
        <f>IF($U105="","",Settings!$C$7)</f>
        <v/>
      </c>
      <c r="L105" s="7">
        <f>IF($U105="","",SUMIFS('Per Line'!$N$2:$N$501,'Per Line'!$A$2:$A$501,$A105,'Per Line'!$W$2:$W$501,0))</f>
        <v/>
      </c>
      <c r="M105" s="7">
        <f>IF($U105="","",L105*K105)</f>
        <v/>
      </c>
      <c r="N105">
        <f>IF($U105="","",Settings!$C$6)</f>
        <v/>
      </c>
      <c r="O105" s="7">
        <f>IF($U105="","",SUMIFS('Per Line'!$N$2:$N$501,'Per Line'!$A$2:$A$501,$A105,'Per Line'!$W$2:$W$501,1))</f>
        <v/>
      </c>
      <c r="P105" s="7">
        <f>IF($U105="","",O105*N105)</f>
        <v/>
      </c>
      <c r="Q105" s="7">
        <f>IF($U105="","",P105+M105)</f>
        <v/>
      </c>
      <c r="R105" s="7">
        <f>IF($U105="","",S105-Q105)</f>
        <v/>
      </c>
      <c r="S105" s="7">
        <f>IF($U105="","",L105+O105)</f>
        <v/>
      </c>
      <c r="T105" s="7">
        <f>IF($U105="","",S105-Q105-G105)</f>
        <v/>
      </c>
      <c r="U105" s="13">
        <f>IF(ROWS($U$2:$U105)&lt;=MAX('Per Line'!$V$2:$V$501),MATCH(ROWS($U$2:$U105),'Per Line'!$V$2:$V$501,0),"")</f>
        <v/>
      </c>
    </row>
    <row r="106">
      <c r="A106">
        <f>IF($U106="","",INDEX('Per Line'!$A$2:$A$501,$U106)&amp;"")</f>
        <v/>
      </c>
      <c r="B106" s="12" t="n"/>
      <c r="C106">
        <f>IF($U106="","",INDEX('Per Line'!$B$2:$B$501,$U106)&amp;"")</f>
        <v/>
      </c>
      <c r="D106">
        <f>IF($U106="","",INDEX('Per Line'!$C$2:$C$501,$U106)&amp;"")</f>
        <v/>
      </c>
      <c r="E106">
        <f>IF($U106="","",INDEX('Per Line'!$D$2:$D$501,$U106)&amp;"")</f>
        <v/>
      </c>
      <c r="F106">
        <f>IF($U106="","",INDEX('Per Line'!$E$2:$E$501,$U106))</f>
        <v/>
      </c>
      <c r="G106" s="7">
        <f>IF($U106="","",F106*S106/100)</f>
        <v/>
      </c>
      <c r="H106">
        <f>IF($U106="","",INDEX('Per Line'!$O$2:$O$501,$U106)&amp;"")</f>
        <v/>
      </c>
      <c r="I106" s="11">
        <f>IF($U106="","",INDEX('Per Line'!$Q$2:$Q$501,$U106))</f>
        <v/>
      </c>
      <c r="J106">
        <f>IF($U106="","",INDEX('Per Line'!$R$2:$R$501,$U106)&amp;"")</f>
        <v/>
      </c>
      <c r="K106">
        <f>IF($U106="","",Settings!$C$7)</f>
        <v/>
      </c>
      <c r="L106" s="7">
        <f>IF($U106="","",SUMIFS('Per Line'!$N$2:$N$501,'Per Line'!$A$2:$A$501,$A106,'Per Line'!$W$2:$W$501,0))</f>
        <v/>
      </c>
      <c r="M106" s="7">
        <f>IF($U106="","",L106*K106)</f>
        <v/>
      </c>
      <c r="N106">
        <f>IF($U106="","",Settings!$C$6)</f>
        <v/>
      </c>
      <c r="O106" s="7">
        <f>IF($U106="","",SUMIFS('Per Line'!$N$2:$N$501,'Per Line'!$A$2:$A$501,$A106,'Per Line'!$W$2:$W$501,1))</f>
        <v/>
      </c>
      <c r="P106" s="7">
        <f>IF($U106="","",O106*N106)</f>
        <v/>
      </c>
      <c r="Q106" s="7">
        <f>IF($U106="","",P106+M106)</f>
        <v/>
      </c>
      <c r="R106" s="7">
        <f>IF($U106="","",S106-Q106)</f>
        <v/>
      </c>
      <c r="S106" s="7">
        <f>IF($U106="","",L106+O106)</f>
        <v/>
      </c>
      <c r="T106" s="7">
        <f>IF($U106="","",S106-Q106-G106)</f>
        <v/>
      </c>
      <c r="U106" s="13">
        <f>IF(ROWS($U$2:$U106)&lt;=MAX('Per Line'!$V$2:$V$501),MATCH(ROWS($U$2:$U106),'Per Line'!$V$2:$V$501,0),"")</f>
        <v/>
      </c>
    </row>
    <row r="107">
      <c r="A107">
        <f>IF($U107="","",INDEX('Per Line'!$A$2:$A$501,$U107)&amp;"")</f>
        <v/>
      </c>
      <c r="B107" s="12" t="n"/>
      <c r="C107">
        <f>IF($U107="","",INDEX('Per Line'!$B$2:$B$501,$U107)&amp;"")</f>
        <v/>
      </c>
      <c r="D107">
        <f>IF($U107="","",INDEX('Per Line'!$C$2:$C$501,$U107)&amp;"")</f>
        <v/>
      </c>
      <c r="E107">
        <f>IF($U107="","",INDEX('Per Line'!$D$2:$D$501,$U107)&amp;"")</f>
        <v/>
      </c>
      <c r="F107">
        <f>IF($U107="","",INDEX('Per Line'!$E$2:$E$501,$U107))</f>
        <v/>
      </c>
      <c r="G107" s="7">
        <f>IF($U107="","",F107*S107/100)</f>
        <v/>
      </c>
      <c r="H107">
        <f>IF($U107="","",INDEX('Per Line'!$O$2:$O$501,$U107)&amp;"")</f>
        <v/>
      </c>
      <c r="I107" s="11">
        <f>IF($U107="","",INDEX('Per Line'!$Q$2:$Q$501,$U107))</f>
        <v/>
      </c>
      <c r="J107">
        <f>IF($U107="","",INDEX('Per Line'!$R$2:$R$501,$U107)&amp;"")</f>
        <v/>
      </c>
      <c r="K107">
        <f>IF($U107="","",Settings!$C$7)</f>
        <v/>
      </c>
      <c r="L107" s="7">
        <f>IF($U107="","",SUMIFS('Per Line'!$N$2:$N$501,'Per Line'!$A$2:$A$501,$A107,'Per Line'!$W$2:$W$501,0))</f>
        <v/>
      </c>
      <c r="M107" s="7">
        <f>IF($U107="","",L107*K107)</f>
        <v/>
      </c>
      <c r="N107">
        <f>IF($U107="","",Settings!$C$6)</f>
        <v/>
      </c>
      <c r="O107" s="7">
        <f>IF($U107="","",SUMIFS('Per Line'!$N$2:$N$501,'Per Line'!$A$2:$A$501,$A107,'Per Line'!$W$2:$W$501,1))</f>
        <v/>
      </c>
      <c r="P107" s="7">
        <f>IF($U107="","",O107*N107)</f>
        <v/>
      </c>
      <c r="Q107" s="7">
        <f>IF($U107="","",P107+M107)</f>
        <v/>
      </c>
      <c r="R107" s="7">
        <f>IF($U107="","",S107-Q107)</f>
        <v/>
      </c>
      <c r="S107" s="7">
        <f>IF($U107="","",L107+O107)</f>
        <v/>
      </c>
      <c r="T107" s="7">
        <f>IF($U107="","",S107-Q107-G107)</f>
        <v/>
      </c>
      <c r="U107" s="13">
        <f>IF(ROWS($U$2:$U107)&lt;=MAX('Per Line'!$V$2:$V$501),MATCH(ROWS($U$2:$U107),'Per Line'!$V$2:$V$501,0),"")</f>
        <v/>
      </c>
    </row>
    <row r="108">
      <c r="A108">
        <f>IF($U108="","",INDEX('Per Line'!$A$2:$A$501,$U108)&amp;"")</f>
        <v/>
      </c>
      <c r="B108" s="12" t="n"/>
      <c r="C108">
        <f>IF($U108="","",INDEX('Per Line'!$B$2:$B$501,$U108)&amp;"")</f>
        <v/>
      </c>
      <c r="D108">
        <f>IF($U108="","",INDEX('Per Line'!$C$2:$C$501,$U108)&amp;"")</f>
        <v/>
      </c>
      <c r="E108">
        <f>IF($U108="","",INDEX('Per Line'!$D$2:$D$501,$U108)&amp;"")</f>
        <v/>
      </c>
      <c r="F108">
        <f>IF($U108="","",INDEX('Per Line'!$E$2:$E$501,$U108))</f>
        <v/>
      </c>
      <c r="G108" s="7">
        <f>IF($U108="","",F108*S108/100)</f>
        <v/>
      </c>
      <c r="H108">
        <f>IF($U108="","",INDEX('Per Line'!$O$2:$O$501,$U108)&amp;"")</f>
        <v/>
      </c>
      <c r="I108" s="11">
        <f>IF($U108="","",INDEX('Per Line'!$Q$2:$Q$501,$U108))</f>
        <v/>
      </c>
      <c r="J108">
        <f>IF($U108="","",INDEX('Per Line'!$R$2:$R$501,$U108)&amp;"")</f>
        <v/>
      </c>
      <c r="K108">
        <f>IF($U108="","",Settings!$C$7)</f>
        <v/>
      </c>
      <c r="L108" s="7">
        <f>IF($U108="","",SUMIFS('Per Line'!$N$2:$N$501,'Per Line'!$A$2:$A$501,$A108,'Per Line'!$W$2:$W$501,0))</f>
        <v/>
      </c>
      <c r="M108" s="7">
        <f>IF($U108="","",L108*K108)</f>
        <v/>
      </c>
      <c r="N108">
        <f>IF($U108="","",Settings!$C$6)</f>
        <v/>
      </c>
      <c r="O108" s="7">
        <f>IF($U108="","",SUMIFS('Per Line'!$N$2:$N$501,'Per Line'!$A$2:$A$501,$A108,'Per Line'!$W$2:$W$501,1))</f>
        <v/>
      </c>
      <c r="P108" s="7">
        <f>IF($U108="","",O108*N108)</f>
        <v/>
      </c>
      <c r="Q108" s="7">
        <f>IF($U108="","",P108+M108)</f>
        <v/>
      </c>
      <c r="R108" s="7">
        <f>IF($U108="","",S108-Q108)</f>
        <v/>
      </c>
      <c r="S108" s="7">
        <f>IF($U108="","",L108+O108)</f>
        <v/>
      </c>
      <c r="T108" s="7">
        <f>IF($U108="","",S108-Q108-G108)</f>
        <v/>
      </c>
      <c r="U108" s="13">
        <f>IF(ROWS($U$2:$U108)&lt;=MAX('Per Line'!$V$2:$V$501),MATCH(ROWS($U$2:$U108),'Per Line'!$V$2:$V$501,0),"")</f>
        <v/>
      </c>
    </row>
    <row r="109">
      <c r="A109">
        <f>IF($U109="","",INDEX('Per Line'!$A$2:$A$501,$U109)&amp;"")</f>
        <v/>
      </c>
      <c r="B109" s="12" t="n"/>
      <c r="C109">
        <f>IF($U109="","",INDEX('Per Line'!$B$2:$B$501,$U109)&amp;"")</f>
        <v/>
      </c>
      <c r="D109">
        <f>IF($U109="","",INDEX('Per Line'!$C$2:$C$501,$U109)&amp;"")</f>
        <v/>
      </c>
      <c r="E109">
        <f>IF($U109="","",INDEX('Per Line'!$D$2:$D$501,$U109)&amp;"")</f>
        <v/>
      </c>
      <c r="F109">
        <f>IF($U109="","",INDEX('Per Line'!$E$2:$E$501,$U109))</f>
        <v/>
      </c>
      <c r="G109" s="7">
        <f>IF($U109="","",F109*S109/100)</f>
        <v/>
      </c>
      <c r="H109">
        <f>IF($U109="","",INDEX('Per Line'!$O$2:$O$501,$U109)&amp;"")</f>
        <v/>
      </c>
      <c r="I109" s="11">
        <f>IF($U109="","",INDEX('Per Line'!$Q$2:$Q$501,$U109))</f>
        <v/>
      </c>
      <c r="J109">
        <f>IF($U109="","",INDEX('Per Line'!$R$2:$R$501,$U109)&amp;"")</f>
        <v/>
      </c>
      <c r="K109">
        <f>IF($U109="","",Settings!$C$7)</f>
        <v/>
      </c>
      <c r="L109" s="7">
        <f>IF($U109="","",SUMIFS('Per Line'!$N$2:$N$501,'Per Line'!$A$2:$A$501,$A109,'Per Line'!$W$2:$W$501,0))</f>
        <v/>
      </c>
      <c r="M109" s="7">
        <f>IF($U109="","",L109*K109)</f>
        <v/>
      </c>
      <c r="N109">
        <f>IF($U109="","",Settings!$C$6)</f>
        <v/>
      </c>
      <c r="O109" s="7">
        <f>IF($U109="","",SUMIFS('Per Line'!$N$2:$N$501,'Per Line'!$A$2:$A$501,$A109,'Per Line'!$W$2:$W$501,1))</f>
        <v/>
      </c>
      <c r="P109" s="7">
        <f>IF($U109="","",O109*N109)</f>
        <v/>
      </c>
      <c r="Q109" s="7">
        <f>IF($U109="","",P109+M109)</f>
        <v/>
      </c>
      <c r="R109" s="7">
        <f>IF($U109="","",S109-Q109)</f>
        <v/>
      </c>
      <c r="S109" s="7">
        <f>IF($U109="","",L109+O109)</f>
        <v/>
      </c>
      <c r="T109" s="7">
        <f>IF($U109="","",S109-Q109-G109)</f>
        <v/>
      </c>
      <c r="U109" s="13">
        <f>IF(ROWS($U$2:$U109)&lt;=MAX('Per Line'!$V$2:$V$501),MATCH(ROWS($U$2:$U109),'Per Line'!$V$2:$V$501,0),"")</f>
        <v/>
      </c>
    </row>
    <row r="110">
      <c r="A110">
        <f>IF($U110="","",INDEX('Per Line'!$A$2:$A$501,$U110)&amp;"")</f>
        <v/>
      </c>
      <c r="B110" s="12" t="n"/>
      <c r="C110">
        <f>IF($U110="","",INDEX('Per Line'!$B$2:$B$501,$U110)&amp;"")</f>
        <v/>
      </c>
      <c r="D110">
        <f>IF($U110="","",INDEX('Per Line'!$C$2:$C$501,$U110)&amp;"")</f>
        <v/>
      </c>
      <c r="E110">
        <f>IF($U110="","",INDEX('Per Line'!$D$2:$D$501,$U110)&amp;"")</f>
        <v/>
      </c>
      <c r="F110">
        <f>IF($U110="","",INDEX('Per Line'!$E$2:$E$501,$U110))</f>
        <v/>
      </c>
      <c r="G110" s="7">
        <f>IF($U110="","",F110*S110/100)</f>
        <v/>
      </c>
      <c r="H110">
        <f>IF($U110="","",INDEX('Per Line'!$O$2:$O$501,$U110)&amp;"")</f>
        <v/>
      </c>
      <c r="I110" s="11">
        <f>IF($U110="","",INDEX('Per Line'!$Q$2:$Q$501,$U110))</f>
        <v/>
      </c>
      <c r="J110">
        <f>IF($U110="","",INDEX('Per Line'!$R$2:$R$501,$U110)&amp;"")</f>
        <v/>
      </c>
      <c r="K110">
        <f>IF($U110="","",Settings!$C$7)</f>
        <v/>
      </c>
      <c r="L110" s="7">
        <f>IF($U110="","",SUMIFS('Per Line'!$N$2:$N$501,'Per Line'!$A$2:$A$501,$A110,'Per Line'!$W$2:$W$501,0))</f>
        <v/>
      </c>
      <c r="M110" s="7">
        <f>IF($U110="","",L110*K110)</f>
        <v/>
      </c>
      <c r="N110">
        <f>IF($U110="","",Settings!$C$6)</f>
        <v/>
      </c>
      <c r="O110" s="7">
        <f>IF($U110="","",SUMIFS('Per Line'!$N$2:$N$501,'Per Line'!$A$2:$A$501,$A110,'Per Line'!$W$2:$W$501,1))</f>
        <v/>
      </c>
      <c r="P110" s="7">
        <f>IF($U110="","",O110*N110)</f>
        <v/>
      </c>
      <c r="Q110" s="7">
        <f>IF($U110="","",P110+M110)</f>
        <v/>
      </c>
      <c r="R110" s="7">
        <f>IF($U110="","",S110-Q110)</f>
        <v/>
      </c>
      <c r="S110" s="7">
        <f>IF($U110="","",L110+O110)</f>
        <v/>
      </c>
      <c r="T110" s="7">
        <f>IF($U110="","",S110-Q110-G110)</f>
        <v/>
      </c>
      <c r="U110" s="13">
        <f>IF(ROWS($U$2:$U110)&lt;=MAX('Per Line'!$V$2:$V$501),MATCH(ROWS($U$2:$U110),'Per Line'!$V$2:$V$501,0),"")</f>
        <v/>
      </c>
    </row>
    <row r="111">
      <c r="A111">
        <f>IF($U111="","",INDEX('Per Line'!$A$2:$A$501,$U111)&amp;"")</f>
        <v/>
      </c>
      <c r="B111" s="12" t="n"/>
      <c r="C111">
        <f>IF($U111="","",INDEX('Per Line'!$B$2:$B$501,$U111)&amp;"")</f>
        <v/>
      </c>
      <c r="D111">
        <f>IF($U111="","",INDEX('Per Line'!$C$2:$C$501,$U111)&amp;"")</f>
        <v/>
      </c>
      <c r="E111">
        <f>IF($U111="","",INDEX('Per Line'!$D$2:$D$501,$U111)&amp;"")</f>
        <v/>
      </c>
      <c r="F111">
        <f>IF($U111="","",INDEX('Per Line'!$E$2:$E$501,$U111))</f>
        <v/>
      </c>
      <c r="G111" s="7">
        <f>IF($U111="","",F111*S111/100)</f>
        <v/>
      </c>
      <c r="H111">
        <f>IF($U111="","",INDEX('Per Line'!$O$2:$O$501,$U111)&amp;"")</f>
        <v/>
      </c>
      <c r="I111" s="11">
        <f>IF($U111="","",INDEX('Per Line'!$Q$2:$Q$501,$U111))</f>
        <v/>
      </c>
      <c r="J111">
        <f>IF($U111="","",INDEX('Per Line'!$R$2:$R$501,$U111)&amp;"")</f>
        <v/>
      </c>
      <c r="K111">
        <f>IF($U111="","",Settings!$C$7)</f>
        <v/>
      </c>
      <c r="L111" s="7">
        <f>IF($U111="","",SUMIFS('Per Line'!$N$2:$N$501,'Per Line'!$A$2:$A$501,$A111,'Per Line'!$W$2:$W$501,0))</f>
        <v/>
      </c>
      <c r="M111" s="7">
        <f>IF($U111="","",L111*K111)</f>
        <v/>
      </c>
      <c r="N111">
        <f>IF($U111="","",Settings!$C$6)</f>
        <v/>
      </c>
      <c r="O111" s="7">
        <f>IF($U111="","",SUMIFS('Per Line'!$N$2:$N$501,'Per Line'!$A$2:$A$501,$A111,'Per Line'!$W$2:$W$501,1))</f>
        <v/>
      </c>
      <c r="P111" s="7">
        <f>IF($U111="","",O111*N111)</f>
        <v/>
      </c>
      <c r="Q111" s="7">
        <f>IF($U111="","",P111+M111)</f>
        <v/>
      </c>
      <c r="R111" s="7">
        <f>IF($U111="","",S111-Q111)</f>
        <v/>
      </c>
      <c r="S111" s="7">
        <f>IF($U111="","",L111+O111)</f>
        <v/>
      </c>
      <c r="T111" s="7">
        <f>IF($U111="","",S111-Q111-G111)</f>
        <v/>
      </c>
      <c r="U111" s="13">
        <f>IF(ROWS($U$2:$U111)&lt;=MAX('Per Line'!$V$2:$V$501),MATCH(ROWS($U$2:$U111),'Per Line'!$V$2:$V$501,0),"")</f>
        <v/>
      </c>
    </row>
    <row r="112">
      <c r="A112">
        <f>IF($U112="","",INDEX('Per Line'!$A$2:$A$501,$U112)&amp;"")</f>
        <v/>
      </c>
      <c r="B112" s="12" t="n"/>
      <c r="C112">
        <f>IF($U112="","",INDEX('Per Line'!$B$2:$B$501,$U112)&amp;"")</f>
        <v/>
      </c>
      <c r="D112">
        <f>IF($U112="","",INDEX('Per Line'!$C$2:$C$501,$U112)&amp;"")</f>
        <v/>
      </c>
      <c r="E112">
        <f>IF($U112="","",INDEX('Per Line'!$D$2:$D$501,$U112)&amp;"")</f>
        <v/>
      </c>
      <c r="F112">
        <f>IF($U112="","",INDEX('Per Line'!$E$2:$E$501,$U112))</f>
        <v/>
      </c>
      <c r="G112" s="7">
        <f>IF($U112="","",F112*S112/100)</f>
        <v/>
      </c>
      <c r="H112">
        <f>IF($U112="","",INDEX('Per Line'!$O$2:$O$501,$U112)&amp;"")</f>
        <v/>
      </c>
      <c r="I112" s="11">
        <f>IF($U112="","",INDEX('Per Line'!$Q$2:$Q$501,$U112))</f>
        <v/>
      </c>
      <c r="J112">
        <f>IF($U112="","",INDEX('Per Line'!$R$2:$R$501,$U112)&amp;"")</f>
        <v/>
      </c>
      <c r="K112">
        <f>IF($U112="","",Settings!$C$7)</f>
        <v/>
      </c>
      <c r="L112" s="7">
        <f>IF($U112="","",SUMIFS('Per Line'!$N$2:$N$501,'Per Line'!$A$2:$A$501,$A112,'Per Line'!$W$2:$W$501,0))</f>
        <v/>
      </c>
      <c r="M112" s="7">
        <f>IF($U112="","",L112*K112)</f>
        <v/>
      </c>
      <c r="N112">
        <f>IF($U112="","",Settings!$C$6)</f>
        <v/>
      </c>
      <c r="O112" s="7">
        <f>IF($U112="","",SUMIFS('Per Line'!$N$2:$N$501,'Per Line'!$A$2:$A$501,$A112,'Per Line'!$W$2:$W$501,1))</f>
        <v/>
      </c>
      <c r="P112" s="7">
        <f>IF($U112="","",O112*N112)</f>
        <v/>
      </c>
      <c r="Q112" s="7">
        <f>IF($U112="","",P112+M112)</f>
        <v/>
      </c>
      <c r="R112" s="7">
        <f>IF($U112="","",S112-Q112)</f>
        <v/>
      </c>
      <c r="S112" s="7">
        <f>IF($U112="","",L112+O112)</f>
        <v/>
      </c>
      <c r="T112" s="7">
        <f>IF($U112="","",S112-Q112-G112)</f>
        <v/>
      </c>
      <c r="U112" s="13">
        <f>IF(ROWS($U$2:$U112)&lt;=MAX('Per Line'!$V$2:$V$501),MATCH(ROWS($U$2:$U112),'Per Line'!$V$2:$V$501,0),"")</f>
        <v/>
      </c>
    </row>
    <row r="113">
      <c r="A113">
        <f>IF($U113="","",INDEX('Per Line'!$A$2:$A$501,$U113)&amp;"")</f>
        <v/>
      </c>
      <c r="B113" s="12" t="n"/>
      <c r="C113">
        <f>IF($U113="","",INDEX('Per Line'!$B$2:$B$501,$U113)&amp;"")</f>
        <v/>
      </c>
      <c r="D113">
        <f>IF($U113="","",INDEX('Per Line'!$C$2:$C$501,$U113)&amp;"")</f>
        <v/>
      </c>
      <c r="E113">
        <f>IF($U113="","",INDEX('Per Line'!$D$2:$D$501,$U113)&amp;"")</f>
        <v/>
      </c>
      <c r="F113">
        <f>IF($U113="","",INDEX('Per Line'!$E$2:$E$501,$U113))</f>
        <v/>
      </c>
      <c r="G113" s="7">
        <f>IF($U113="","",F113*S113/100)</f>
        <v/>
      </c>
      <c r="H113">
        <f>IF($U113="","",INDEX('Per Line'!$O$2:$O$501,$U113)&amp;"")</f>
        <v/>
      </c>
      <c r="I113" s="11">
        <f>IF($U113="","",INDEX('Per Line'!$Q$2:$Q$501,$U113))</f>
        <v/>
      </c>
      <c r="J113">
        <f>IF($U113="","",INDEX('Per Line'!$R$2:$R$501,$U113)&amp;"")</f>
        <v/>
      </c>
      <c r="K113">
        <f>IF($U113="","",Settings!$C$7)</f>
        <v/>
      </c>
      <c r="L113" s="7">
        <f>IF($U113="","",SUMIFS('Per Line'!$N$2:$N$501,'Per Line'!$A$2:$A$501,$A113,'Per Line'!$W$2:$W$501,0))</f>
        <v/>
      </c>
      <c r="M113" s="7">
        <f>IF($U113="","",L113*K113)</f>
        <v/>
      </c>
      <c r="N113">
        <f>IF($U113="","",Settings!$C$6)</f>
        <v/>
      </c>
      <c r="O113" s="7">
        <f>IF($U113="","",SUMIFS('Per Line'!$N$2:$N$501,'Per Line'!$A$2:$A$501,$A113,'Per Line'!$W$2:$W$501,1))</f>
        <v/>
      </c>
      <c r="P113" s="7">
        <f>IF($U113="","",O113*N113)</f>
        <v/>
      </c>
      <c r="Q113" s="7">
        <f>IF($U113="","",P113+M113)</f>
        <v/>
      </c>
      <c r="R113" s="7">
        <f>IF($U113="","",S113-Q113)</f>
        <v/>
      </c>
      <c r="S113" s="7">
        <f>IF($U113="","",L113+O113)</f>
        <v/>
      </c>
      <c r="T113" s="7">
        <f>IF($U113="","",S113-Q113-G113)</f>
        <v/>
      </c>
      <c r="U113" s="13">
        <f>IF(ROWS($U$2:$U113)&lt;=MAX('Per Line'!$V$2:$V$501),MATCH(ROWS($U$2:$U113),'Per Line'!$V$2:$V$501,0),"")</f>
        <v/>
      </c>
    </row>
    <row r="114">
      <c r="A114">
        <f>IF($U114="","",INDEX('Per Line'!$A$2:$A$501,$U114)&amp;"")</f>
        <v/>
      </c>
      <c r="B114" s="12" t="n"/>
      <c r="C114">
        <f>IF($U114="","",INDEX('Per Line'!$B$2:$B$501,$U114)&amp;"")</f>
        <v/>
      </c>
      <c r="D114">
        <f>IF($U114="","",INDEX('Per Line'!$C$2:$C$501,$U114)&amp;"")</f>
        <v/>
      </c>
      <c r="E114">
        <f>IF($U114="","",INDEX('Per Line'!$D$2:$D$501,$U114)&amp;"")</f>
        <v/>
      </c>
      <c r="F114">
        <f>IF($U114="","",INDEX('Per Line'!$E$2:$E$501,$U114))</f>
        <v/>
      </c>
      <c r="G114" s="7">
        <f>IF($U114="","",F114*S114/100)</f>
        <v/>
      </c>
      <c r="H114">
        <f>IF($U114="","",INDEX('Per Line'!$O$2:$O$501,$U114)&amp;"")</f>
        <v/>
      </c>
      <c r="I114" s="11">
        <f>IF($U114="","",INDEX('Per Line'!$Q$2:$Q$501,$U114))</f>
        <v/>
      </c>
      <c r="J114">
        <f>IF($U114="","",INDEX('Per Line'!$R$2:$R$501,$U114)&amp;"")</f>
        <v/>
      </c>
      <c r="K114">
        <f>IF($U114="","",Settings!$C$7)</f>
        <v/>
      </c>
      <c r="L114" s="7">
        <f>IF($U114="","",SUMIFS('Per Line'!$N$2:$N$501,'Per Line'!$A$2:$A$501,$A114,'Per Line'!$W$2:$W$501,0))</f>
        <v/>
      </c>
      <c r="M114" s="7">
        <f>IF($U114="","",L114*K114)</f>
        <v/>
      </c>
      <c r="N114">
        <f>IF($U114="","",Settings!$C$6)</f>
        <v/>
      </c>
      <c r="O114" s="7">
        <f>IF($U114="","",SUMIFS('Per Line'!$N$2:$N$501,'Per Line'!$A$2:$A$501,$A114,'Per Line'!$W$2:$W$501,1))</f>
        <v/>
      </c>
      <c r="P114" s="7">
        <f>IF($U114="","",O114*N114)</f>
        <v/>
      </c>
      <c r="Q114" s="7">
        <f>IF($U114="","",P114+M114)</f>
        <v/>
      </c>
      <c r="R114" s="7">
        <f>IF($U114="","",S114-Q114)</f>
        <v/>
      </c>
      <c r="S114" s="7">
        <f>IF($U114="","",L114+O114)</f>
        <v/>
      </c>
      <c r="T114" s="7">
        <f>IF($U114="","",S114-Q114-G114)</f>
        <v/>
      </c>
      <c r="U114" s="13">
        <f>IF(ROWS($U$2:$U114)&lt;=MAX('Per Line'!$V$2:$V$501),MATCH(ROWS($U$2:$U114),'Per Line'!$V$2:$V$501,0),"")</f>
        <v/>
      </c>
    </row>
    <row r="115">
      <c r="A115">
        <f>IF($U115="","",INDEX('Per Line'!$A$2:$A$501,$U115)&amp;"")</f>
        <v/>
      </c>
      <c r="B115" s="12" t="n"/>
      <c r="C115">
        <f>IF($U115="","",INDEX('Per Line'!$B$2:$B$501,$U115)&amp;"")</f>
        <v/>
      </c>
      <c r="D115">
        <f>IF($U115="","",INDEX('Per Line'!$C$2:$C$501,$U115)&amp;"")</f>
        <v/>
      </c>
      <c r="E115">
        <f>IF($U115="","",INDEX('Per Line'!$D$2:$D$501,$U115)&amp;"")</f>
        <v/>
      </c>
      <c r="F115">
        <f>IF($U115="","",INDEX('Per Line'!$E$2:$E$501,$U115))</f>
        <v/>
      </c>
      <c r="G115" s="7">
        <f>IF($U115="","",F115*S115/100)</f>
        <v/>
      </c>
      <c r="H115">
        <f>IF($U115="","",INDEX('Per Line'!$O$2:$O$501,$U115)&amp;"")</f>
        <v/>
      </c>
      <c r="I115" s="11">
        <f>IF($U115="","",INDEX('Per Line'!$Q$2:$Q$501,$U115))</f>
        <v/>
      </c>
      <c r="J115">
        <f>IF($U115="","",INDEX('Per Line'!$R$2:$R$501,$U115)&amp;"")</f>
        <v/>
      </c>
      <c r="K115">
        <f>IF($U115="","",Settings!$C$7)</f>
        <v/>
      </c>
      <c r="L115" s="7">
        <f>IF($U115="","",SUMIFS('Per Line'!$N$2:$N$501,'Per Line'!$A$2:$A$501,$A115,'Per Line'!$W$2:$W$501,0))</f>
        <v/>
      </c>
      <c r="M115" s="7">
        <f>IF($U115="","",L115*K115)</f>
        <v/>
      </c>
      <c r="N115">
        <f>IF($U115="","",Settings!$C$6)</f>
        <v/>
      </c>
      <c r="O115" s="7">
        <f>IF($U115="","",SUMIFS('Per Line'!$N$2:$N$501,'Per Line'!$A$2:$A$501,$A115,'Per Line'!$W$2:$W$501,1))</f>
        <v/>
      </c>
      <c r="P115" s="7">
        <f>IF($U115="","",O115*N115)</f>
        <v/>
      </c>
      <c r="Q115" s="7">
        <f>IF($U115="","",P115+M115)</f>
        <v/>
      </c>
      <c r="R115" s="7">
        <f>IF($U115="","",S115-Q115)</f>
        <v/>
      </c>
      <c r="S115" s="7">
        <f>IF($U115="","",L115+O115)</f>
        <v/>
      </c>
      <c r="T115" s="7">
        <f>IF($U115="","",S115-Q115-G115)</f>
        <v/>
      </c>
      <c r="U115" s="13">
        <f>IF(ROWS($U$2:$U115)&lt;=MAX('Per Line'!$V$2:$V$501),MATCH(ROWS($U$2:$U115),'Per Line'!$V$2:$V$501,0),"")</f>
        <v/>
      </c>
    </row>
    <row r="116">
      <c r="A116">
        <f>IF($U116="","",INDEX('Per Line'!$A$2:$A$501,$U116)&amp;"")</f>
        <v/>
      </c>
      <c r="B116" s="12" t="n"/>
      <c r="C116">
        <f>IF($U116="","",INDEX('Per Line'!$B$2:$B$501,$U116)&amp;"")</f>
        <v/>
      </c>
      <c r="D116">
        <f>IF($U116="","",INDEX('Per Line'!$C$2:$C$501,$U116)&amp;"")</f>
        <v/>
      </c>
      <c r="E116">
        <f>IF($U116="","",INDEX('Per Line'!$D$2:$D$501,$U116)&amp;"")</f>
        <v/>
      </c>
      <c r="F116">
        <f>IF($U116="","",INDEX('Per Line'!$E$2:$E$501,$U116))</f>
        <v/>
      </c>
      <c r="G116" s="7">
        <f>IF($U116="","",F116*S116/100)</f>
        <v/>
      </c>
      <c r="H116">
        <f>IF($U116="","",INDEX('Per Line'!$O$2:$O$501,$U116)&amp;"")</f>
        <v/>
      </c>
      <c r="I116" s="11">
        <f>IF($U116="","",INDEX('Per Line'!$Q$2:$Q$501,$U116))</f>
        <v/>
      </c>
      <c r="J116">
        <f>IF($U116="","",INDEX('Per Line'!$R$2:$R$501,$U116)&amp;"")</f>
        <v/>
      </c>
      <c r="K116">
        <f>IF($U116="","",Settings!$C$7)</f>
        <v/>
      </c>
      <c r="L116" s="7">
        <f>IF($U116="","",SUMIFS('Per Line'!$N$2:$N$501,'Per Line'!$A$2:$A$501,$A116,'Per Line'!$W$2:$W$501,0))</f>
        <v/>
      </c>
      <c r="M116" s="7">
        <f>IF($U116="","",L116*K116)</f>
        <v/>
      </c>
      <c r="N116">
        <f>IF($U116="","",Settings!$C$6)</f>
        <v/>
      </c>
      <c r="O116" s="7">
        <f>IF($U116="","",SUMIFS('Per Line'!$N$2:$N$501,'Per Line'!$A$2:$A$501,$A116,'Per Line'!$W$2:$W$501,1))</f>
        <v/>
      </c>
      <c r="P116" s="7">
        <f>IF($U116="","",O116*N116)</f>
        <v/>
      </c>
      <c r="Q116" s="7">
        <f>IF($U116="","",P116+M116)</f>
        <v/>
      </c>
      <c r="R116" s="7">
        <f>IF($U116="","",S116-Q116)</f>
        <v/>
      </c>
      <c r="S116" s="7">
        <f>IF($U116="","",L116+O116)</f>
        <v/>
      </c>
      <c r="T116" s="7">
        <f>IF($U116="","",S116-Q116-G116)</f>
        <v/>
      </c>
      <c r="U116" s="13">
        <f>IF(ROWS($U$2:$U116)&lt;=MAX('Per Line'!$V$2:$V$501),MATCH(ROWS($U$2:$U116),'Per Line'!$V$2:$V$501,0),"")</f>
        <v/>
      </c>
    </row>
    <row r="117">
      <c r="A117">
        <f>IF($U117="","",INDEX('Per Line'!$A$2:$A$501,$U117)&amp;"")</f>
        <v/>
      </c>
      <c r="B117" s="12" t="n"/>
      <c r="C117">
        <f>IF($U117="","",INDEX('Per Line'!$B$2:$B$501,$U117)&amp;"")</f>
        <v/>
      </c>
      <c r="D117">
        <f>IF($U117="","",INDEX('Per Line'!$C$2:$C$501,$U117)&amp;"")</f>
        <v/>
      </c>
      <c r="E117">
        <f>IF($U117="","",INDEX('Per Line'!$D$2:$D$501,$U117)&amp;"")</f>
        <v/>
      </c>
      <c r="F117">
        <f>IF($U117="","",INDEX('Per Line'!$E$2:$E$501,$U117))</f>
        <v/>
      </c>
      <c r="G117" s="7">
        <f>IF($U117="","",F117*S117/100)</f>
        <v/>
      </c>
      <c r="H117">
        <f>IF($U117="","",INDEX('Per Line'!$O$2:$O$501,$U117)&amp;"")</f>
        <v/>
      </c>
      <c r="I117" s="11">
        <f>IF($U117="","",INDEX('Per Line'!$Q$2:$Q$501,$U117))</f>
        <v/>
      </c>
      <c r="J117">
        <f>IF($U117="","",INDEX('Per Line'!$R$2:$R$501,$U117)&amp;"")</f>
        <v/>
      </c>
      <c r="K117">
        <f>IF($U117="","",Settings!$C$7)</f>
        <v/>
      </c>
      <c r="L117" s="7">
        <f>IF($U117="","",SUMIFS('Per Line'!$N$2:$N$501,'Per Line'!$A$2:$A$501,$A117,'Per Line'!$W$2:$W$501,0))</f>
        <v/>
      </c>
      <c r="M117" s="7">
        <f>IF($U117="","",L117*K117)</f>
        <v/>
      </c>
      <c r="N117">
        <f>IF($U117="","",Settings!$C$6)</f>
        <v/>
      </c>
      <c r="O117" s="7">
        <f>IF($U117="","",SUMIFS('Per Line'!$N$2:$N$501,'Per Line'!$A$2:$A$501,$A117,'Per Line'!$W$2:$W$501,1))</f>
        <v/>
      </c>
      <c r="P117" s="7">
        <f>IF($U117="","",O117*N117)</f>
        <v/>
      </c>
      <c r="Q117" s="7">
        <f>IF($U117="","",P117+M117)</f>
        <v/>
      </c>
      <c r="R117" s="7">
        <f>IF($U117="","",S117-Q117)</f>
        <v/>
      </c>
      <c r="S117" s="7">
        <f>IF($U117="","",L117+O117)</f>
        <v/>
      </c>
      <c r="T117" s="7">
        <f>IF($U117="","",S117-Q117-G117)</f>
        <v/>
      </c>
      <c r="U117" s="13">
        <f>IF(ROWS($U$2:$U117)&lt;=MAX('Per Line'!$V$2:$V$501),MATCH(ROWS($U$2:$U117),'Per Line'!$V$2:$V$501,0),"")</f>
        <v/>
      </c>
    </row>
    <row r="118">
      <c r="A118">
        <f>IF($U118="","",INDEX('Per Line'!$A$2:$A$501,$U118)&amp;"")</f>
        <v/>
      </c>
      <c r="B118" s="12" t="n"/>
      <c r="C118">
        <f>IF($U118="","",INDEX('Per Line'!$B$2:$B$501,$U118)&amp;"")</f>
        <v/>
      </c>
      <c r="D118">
        <f>IF($U118="","",INDEX('Per Line'!$C$2:$C$501,$U118)&amp;"")</f>
        <v/>
      </c>
      <c r="E118">
        <f>IF($U118="","",INDEX('Per Line'!$D$2:$D$501,$U118)&amp;"")</f>
        <v/>
      </c>
      <c r="F118">
        <f>IF($U118="","",INDEX('Per Line'!$E$2:$E$501,$U118))</f>
        <v/>
      </c>
      <c r="G118" s="7">
        <f>IF($U118="","",F118*S118/100)</f>
        <v/>
      </c>
      <c r="H118">
        <f>IF($U118="","",INDEX('Per Line'!$O$2:$O$501,$U118)&amp;"")</f>
        <v/>
      </c>
      <c r="I118" s="11">
        <f>IF($U118="","",INDEX('Per Line'!$Q$2:$Q$501,$U118))</f>
        <v/>
      </c>
      <c r="J118">
        <f>IF($U118="","",INDEX('Per Line'!$R$2:$R$501,$U118)&amp;"")</f>
        <v/>
      </c>
      <c r="K118">
        <f>IF($U118="","",Settings!$C$7)</f>
        <v/>
      </c>
      <c r="L118" s="7">
        <f>IF($U118="","",SUMIFS('Per Line'!$N$2:$N$501,'Per Line'!$A$2:$A$501,$A118,'Per Line'!$W$2:$W$501,0))</f>
        <v/>
      </c>
      <c r="M118" s="7">
        <f>IF($U118="","",L118*K118)</f>
        <v/>
      </c>
      <c r="N118">
        <f>IF($U118="","",Settings!$C$6)</f>
        <v/>
      </c>
      <c r="O118" s="7">
        <f>IF($U118="","",SUMIFS('Per Line'!$N$2:$N$501,'Per Line'!$A$2:$A$501,$A118,'Per Line'!$W$2:$W$501,1))</f>
        <v/>
      </c>
      <c r="P118" s="7">
        <f>IF($U118="","",O118*N118)</f>
        <v/>
      </c>
      <c r="Q118" s="7">
        <f>IF($U118="","",P118+M118)</f>
        <v/>
      </c>
      <c r="R118" s="7">
        <f>IF($U118="","",S118-Q118)</f>
        <v/>
      </c>
      <c r="S118" s="7">
        <f>IF($U118="","",L118+O118)</f>
        <v/>
      </c>
      <c r="T118" s="7">
        <f>IF($U118="","",S118-Q118-G118)</f>
        <v/>
      </c>
      <c r="U118" s="13">
        <f>IF(ROWS($U$2:$U118)&lt;=MAX('Per Line'!$V$2:$V$501),MATCH(ROWS($U$2:$U118),'Per Line'!$V$2:$V$501,0),"")</f>
        <v/>
      </c>
    </row>
    <row r="119">
      <c r="A119">
        <f>IF($U119="","",INDEX('Per Line'!$A$2:$A$501,$U119)&amp;"")</f>
        <v/>
      </c>
      <c r="B119" s="12" t="n"/>
      <c r="C119">
        <f>IF($U119="","",INDEX('Per Line'!$B$2:$B$501,$U119)&amp;"")</f>
        <v/>
      </c>
      <c r="D119">
        <f>IF($U119="","",INDEX('Per Line'!$C$2:$C$501,$U119)&amp;"")</f>
        <v/>
      </c>
      <c r="E119">
        <f>IF($U119="","",INDEX('Per Line'!$D$2:$D$501,$U119)&amp;"")</f>
        <v/>
      </c>
      <c r="F119">
        <f>IF($U119="","",INDEX('Per Line'!$E$2:$E$501,$U119))</f>
        <v/>
      </c>
      <c r="G119" s="7">
        <f>IF($U119="","",F119*S119/100)</f>
        <v/>
      </c>
      <c r="H119">
        <f>IF($U119="","",INDEX('Per Line'!$O$2:$O$501,$U119)&amp;"")</f>
        <v/>
      </c>
      <c r="I119" s="11">
        <f>IF($U119="","",INDEX('Per Line'!$Q$2:$Q$501,$U119))</f>
        <v/>
      </c>
      <c r="J119">
        <f>IF($U119="","",INDEX('Per Line'!$R$2:$R$501,$U119)&amp;"")</f>
        <v/>
      </c>
      <c r="K119">
        <f>IF($U119="","",Settings!$C$7)</f>
        <v/>
      </c>
      <c r="L119" s="7">
        <f>IF($U119="","",SUMIFS('Per Line'!$N$2:$N$501,'Per Line'!$A$2:$A$501,$A119,'Per Line'!$W$2:$W$501,0))</f>
        <v/>
      </c>
      <c r="M119" s="7">
        <f>IF($U119="","",L119*K119)</f>
        <v/>
      </c>
      <c r="N119">
        <f>IF($U119="","",Settings!$C$6)</f>
        <v/>
      </c>
      <c r="O119" s="7">
        <f>IF($U119="","",SUMIFS('Per Line'!$N$2:$N$501,'Per Line'!$A$2:$A$501,$A119,'Per Line'!$W$2:$W$501,1))</f>
        <v/>
      </c>
      <c r="P119" s="7">
        <f>IF($U119="","",O119*N119)</f>
        <v/>
      </c>
      <c r="Q119" s="7">
        <f>IF($U119="","",P119+M119)</f>
        <v/>
      </c>
      <c r="R119" s="7">
        <f>IF($U119="","",S119-Q119)</f>
        <v/>
      </c>
      <c r="S119" s="7">
        <f>IF($U119="","",L119+O119)</f>
        <v/>
      </c>
      <c r="T119" s="7">
        <f>IF($U119="","",S119-Q119-G119)</f>
        <v/>
      </c>
      <c r="U119" s="13">
        <f>IF(ROWS($U$2:$U119)&lt;=MAX('Per Line'!$V$2:$V$501),MATCH(ROWS($U$2:$U119),'Per Line'!$V$2:$V$501,0),"")</f>
        <v/>
      </c>
    </row>
    <row r="120">
      <c r="A120">
        <f>IF($U120="","",INDEX('Per Line'!$A$2:$A$501,$U120)&amp;"")</f>
        <v/>
      </c>
      <c r="B120" s="12" t="n"/>
      <c r="C120">
        <f>IF($U120="","",INDEX('Per Line'!$B$2:$B$501,$U120)&amp;"")</f>
        <v/>
      </c>
      <c r="D120">
        <f>IF($U120="","",INDEX('Per Line'!$C$2:$C$501,$U120)&amp;"")</f>
        <v/>
      </c>
      <c r="E120">
        <f>IF($U120="","",INDEX('Per Line'!$D$2:$D$501,$U120)&amp;"")</f>
        <v/>
      </c>
      <c r="F120">
        <f>IF($U120="","",INDEX('Per Line'!$E$2:$E$501,$U120))</f>
        <v/>
      </c>
      <c r="G120" s="7">
        <f>IF($U120="","",F120*S120/100)</f>
        <v/>
      </c>
      <c r="H120">
        <f>IF($U120="","",INDEX('Per Line'!$O$2:$O$501,$U120)&amp;"")</f>
        <v/>
      </c>
      <c r="I120" s="11">
        <f>IF($U120="","",INDEX('Per Line'!$Q$2:$Q$501,$U120))</f>
        <v/>
      </c>
      <c r="J120">
        <f>IF($U120="","",INDEX('Per Line'!$R$2:$R$501,$U120)&amp;"")</f>
        <v/>
      </c>
      <c r="K120">
        <f>IF($U120="","",Settings!$C$7)</f>
        <v/>
      </c>
      <c r="L120" s="7">
        <f>IF($U120="","",SUMIFS('Per Line'!$N$2:$N$501,'Per Line'!$A$2:$A$501,$A120,'Per Line'!$W$2:$W$501,0))</f>
        <v/>
      </c>
      <c r="M120" s="7">
        <f>IF($U120="","",L120*K120)</f>
        <v/>
      </c>
      <c r="N120">
        <f>IF($U120="","",Settings!$C$6)</f>
        <v/>
      </c>
      <c r="O120" s="7">
        <f>IF($U120="","",SUMIFS('Per Line'!$N$2:$N$501,'Per Line'!$A$2:$A$501,$A120,'Per Line'!$W$2:$W$501,1))</f>
        <v/>
      </c>
      <c r="P120" s="7">
        <f>IF($U120="","",O120*N120)</f>
        <v/>
      </c>
      <c r="Q120" s="7">
        <f>IF($U120="","",P120+M120)</f>
        <v/>
      </c>
      <c r="R120" s="7">
        <f>IF($U120="","",S120-Q120)</f>
        <v/>
      </c>
      <c r="S120" s="7">
        <f>IF($U120="","",L120+O120)</f>
        <v/>
      </c>
      <c r="T120" s="7">
        <f>IF($U120="","",S120-Q120-G120)</f>
        <v/>
      </c>
      <c r="U120" s="13">
        <f>IF(ROWS($U$2:$U120)&lt;=MAX('Per Line'!$V$2:$V$501),MATCH(ROWS($U$2:$U120),'Per Line'!$V$2:$V$501,0),"")</f>
        <v/>
      </c>
    </row>
    <row r="121">
      <c r="A121">
        <f>IF($U121="","",INDEX('Per Line'!$A$2:$A$501,$U121)&amp;"")</f>
        <v/>
      </c>
      <c r="B121" s="12" t="n"/>
      <c r="C121">
        <f>IF($U121="","",INDEX('Per Line'!$B$2:$B$501,$U121)&amp;"")</f>
        <v/>
      </c>
      <c r="D121">
        <f>IF($U121="","",INDEX('Per Line'!$C$2:$C$501,$U121)&amp;"")</f>
        <v/>
      </c>
      <c r="E121">
        <f>IF($U121="","",INDEX('Per Line'!$D$2:$D$501,$U121)&amp;"")</f>
        <v/>
      </c>
      <c r="F121">
        <f>IF($U121="","",INDEX('Per Line'!$E$2:$E$501,$U121))</f>
        <v/>
      </c>
      <c r="G121" s="7">
        <f>IF($U121="","",F121*S121/100)</f>
        <v/>
      </c>
      <c r="H121">
        <f>IF($U121="","",INDEX('Per Line'!$O$2:$O$501,$U121)&amp;"")</f>
        <v/>
      </c>
      <c r="I121" s="11">
        <f>IF($U121="","",INDEX('Per Line'!$Q$2:$Q$501,$U121))</f>
        <v/>
      </c>
      <c r="J121">
        <f>IF($U121="","",INDEX('Per Line'!$R$2:$R$501,$U121)&amp;"")</f>
        <v/>
      </c>
      <c r="K121">
        <f>IF($U121="","",Settings!$C$7)</f>
        <v/>
      </c>
      <c r="L121" s="7">
        <f>IF($U121="","",SUMIFS('Per Line'!$N$2:$N$501,'Per Line'!$A$2:$A$501,$A121,'Per Line'!$W$2:$W$501,0))</f>
        <v/>
      </c>
      <c r="M121" s="7">
        <f>IF($U121="","",L121*K121)</f>
        <v/>
      </c>
      <c r="N121">
        <f>IF($U121="","",Settings!$C$6)</f>
        <v/>
      </c>
      <c r="O121" s="7">
        <f>IF($U121="","",SUMIFS('Per Line'!$N$2:$N$501,'Per Line'!$A$2:$A$501,$A121,'Per Line'!$W$2:$W$501,1))</f>
        <v/>
      </c>
      <c r="P121" s="7">
        <f>IF($U121="","",O121*N121)</f>
        <v/>
      </c>
      <c r="Q121" s="7">
        <f>IF($U121="","",P121+M121)</f>
        <v/>
      </c>
      <c r="R121" s="7">
        <f>IF($U121="","",S121-Q121)</f>
        <v/>
      </c>
      <c r="S121" s="7">
        <f>IF($U121="","",L121+O121)</f>
        <v/>
      </c>
      <c r="T121" s="7">
        <f>IF($U121="","",S121-Q121-G121)</f>
        <v/>
      </c>
      <c r="U121" s="13">
        <f>IF(ROWS($U$2:$U121)&lt;=MAX('Per Line'!$V$2:$V$501),MATCH(ROWS($U$2:$U121),'Per Line'!$V$2:$V$501,0),"")</f>
        <v/>
      </c>
    </row>
    <row r="122">
      <c r="A122">
        <f>IF($U122="","",INDEX('Per Line'!$A$2:$A$501,$U122)&amp;"")</f>
        <v/>
      </c>
      <c r="B122" s="12" t="n"/>
      <c r="C122">
        <f>IF($U122="","",INDEX('Per Line'!$B$2:$B$501,$U122)&amp;"")</f>
        <v/>
      </c>
      <c r="D122">
        <f>IF($U122="","",INDEX('Per Line'!$C$2:$C$501,$U122)&amp;"")</f>
        <v/>
      </c>
      <c r="E122">
        <f>IF($U122="","",INDEX('Per Line'!$D$2:$D$501,$U122)&amp;"")</f>
        <v/>
      </c>
      <c r="F122">
        <f>IF($U122="","",INDEX('Per Line'!$E$2:$E$501,$U122))</f>
        <v/>
      </c>
      <c r="G122" s="7">
        <f>IF($U122="","",F122*S122/100)</f>
        <v/>
      </c>
      <c r="H122">
        <f>IF($U122="","",INDEX('Per Line'!$O$2:$O$501,$U122)&amp;"")</f>
        <v/>
      </c>
      <c r="I122" s="11">
        <f>IF($U122="","",INDEX('Per Line'!$Q$2:$Q$501,$U122))</f>
        <v/>
      </c>
      <c r="J122">
        <f>IF($U122="","",INDEX('Per Line'!$R$2:$R$501,$U122)&amp;"")</f>
        <v/>
      </c>
      <c r="K122">
        <f>IF($U122="","",Settings!$C$7)</f>
        <v/>
      </c>
      <c r="L122" s="7">
        <f>IF($U122="","",SUMIFS('Per Line'!$N$2:$N$501,'Per Line'!$A$2:$A$501,$A122,'Per Line'!$W$2:$W$501,0))</f>
        <v/>
      </c>
      <c r="M122" s="7">
        <f>IF($U122="","",L122*K122)</f>
        <v/>
      </c>
      <c r="N122">
        <f>IF($U122="","",Settings!$C$6)</f>
        <v/>
      </c>
      <c r="O122" s="7">
        <f>IF($U122="","",SUMIFS('Per Line'!$N$2:$N$501,'Per Line'!$A$2:$A$501,$A122,'Per Line'!$W$2:$W$501,1))</f>
        <v/>
      </c>
      <c r="P122" s="7">
        <f>IF($U122="","",O122*N122)</f>
        <v/>
      </c>
      <c r="Q122" s="7">
        <f>IF($U122="","",P122+M122)</f>
        <v/>
      </c>
      <c r="R122" s="7">
        <f>IF($U122="","",S122-Q122)</f>
        <v/>
      </c>
      <c r="S122" s="7">
        <f>IF($U122="","",L122+O122)</f>
        <v/>
      </c>
      <c r="T122" s="7">
        <f>IF($U122="","",S122-Q122-G122)</f>
        <v/>
      </c>
      <c r="U122" s="13">
        <f>IF(ROWS($U$2:$U122)&lt;=MAX('Per Line'!$V$2:$V$501),MATCH(ROWS($U$2:$U122),'Per Line'!$V$2:$V$501,0),"")</f>
        <v/>
      </c>
    </row>
    <row r="123">
      <c r="A123">
        <f>IF($U123="","",INDEX('Per Line'!$A$2:$A$501,$U123)&amp;"")</f>
        <v/>
      </c>
      <c r="B123" s="12" t="n"/>
      <c r="C123">
        <f>IF($U123="","",INDEX('Per Line'!$B$2:$B$501,$U123)&amp;"")</f>
        <v/>
      </c>
      <c r="D123">
        <f>IF($U123="","",INDEX('Per Line'!$C$2:$C$501,$U123)&amp;"")</f>
        <v/>
      </c>
      <c r="E123">
        <f>IF($U123="","",INDEX('Per Line'!$D$2:$D$501,$U123)&amp;"")</f>
        <v/>
      </c>
      <c r="F123">
        <f>IF($U123="","",INDEX('Per Line'!$E$2:$E$501,$U123))</f>
        <v/>
      </c>
      <c r="G123" s="7">
        <f>IF($U123="","",F123*S123/100)</f>
        <v/>
      </c>
      <c r="H123">
        <f>IF($U123="","",INDEX('Per Line'!$O$2:$O$501,$U123)&amp;"")</f>
        <v/>
      </c>
      <c r="I123" s="11">
        <f>IF($U123="","",INDEX('Per Line'!$Q$2:$Q$501,$U123))</f>
        <v/>
      </c>
      <c r="J123">
        <f>IF($U123="","",INDEX('Per Line'!$R$2:$R$501,$U123)&amp;"")</f>
        <v/>
      </c>
      <c r="K123">
        <f>IF($U123="","",Settings!$C$7)</f>
        <v/>
      </c>
      <c r="L123" s="7">
        <f>IF($U123="","",SUMIFS('Per Line'!$N$2:$N$501,'Per Line'!$A$2:$A$501,$A123,'Per Line'!$W$2:$W$501,0))</f>
        <v/>
      </c>
      <c r="M123" s="7">
        <f>IF($U123="","",L123*K123)</f>
        <v/>
      </c>
      <c r="N123">
        <f>IF($U123="","",Settings!$C$6)</f>
        <v/>
      </c>
      <c r="O123" s="7">
        <f>IF($U123="","",SUMIFS('Per Line'!$N$2:$N$501,'Per Line'!$A$2:$A$501,$A123,'Per Line'!$W$2:$W$501,1))</f>
        <v/>
      </c>
      <c r="P123" s="7">
        <f>IF($U123="","",O123*N123)</f>
        <v/>
      </c>
      <c r="Q123" s="7">
        <f>IF($U123="","",P123+M123)</f>
        <v/>
      </c>
      <c r="R123" s="7">
        <f>IF($U123="","",S123-Q123)</f>
        <v/>
      </c>
      <c r="S123" s="7">
        <f>IF($U123="","",L123+O123)</f>
        <v/>
      </c>
      <c r="T123" s="7">
        <f>IF($U123="","",S123-Q123-G123)</f>
        <v/>
      </c>
      <c r="U123" s="13">
        <f>IF(ROWS($U$2:$U123)&lt;=MAX('Per Line'!$V$2:$V$501),MATCH(ROWS($U$2:$U123),'Per Line'!$V$2:$V$501,0),"")</f>
        <v/>
      </c>
    </row>
    <row r="124">
      <c r="A124">
        <f>IF($U124="","",INDEX('Per Line'!$A$2:$A$501,$U124)&amp;"")</f>
        <v/>
      </c>
      <c r="B124" s="12" t="n"/>
      <c r="C124">
        <f>IF($U124="","",INDEX('Per Line'!$B$2:$B$501,$U124)&amp;"")</f>
        <v/>
      </c>
      <c r="D124">
        <f>IF($U124="","",INDEX('Per Line'!$C$2:$C$501,$U124)&amp;"")</f>
        <v/>
      </c>
      <c r="E124">
        <f>IF($U124="","",INDEX('Per Line'!$D$2:$D$501,$U124)&amp;"")</f>
        <v/>
      </c>
      <c r="F124">
        <f>IF($U124="","",INDEX('Per Line'!$E$2:$E$501,$U124))</f>
        <v/>
      </c>
      <c r="G124" s="7">
        <f>IF($U124="","",F124*S124/100)</f>
        <v/>
      </c>
      <c r="H124">
        <f>IF($U124="","",INDEX('Per Line'!$O$2:$O$501,$U124)&amp;"")</f>
        <v/>
      </c>
      <c r="I124" s="11">
        <f>IF($U124="","",INDEX('Per Line'!$Q$2:$Q$501,$U124))</f>
        <v/>
      </c>
      <c r="J124">
        <f>IF($U124="","",INDEX('Per Line'!$R$2:$R$501,$U124)&amp;"")</f>
        <v/>
      </c>
      <c r="K124">
        <f>IF($U124="","",Settings!$C$7)</f>
        <v/>
      </c>
      <c r="L124" s="7">
        <f>IF($U124="","",SUMIFS('Per Line'!$N$2:$N$501,'Per Line'!$A$2:$A$501,$A124,'Per Line'!$W$2:$W$501,0))</f>
        <v/>
      </c>
      <c r="M124" s="7">
        <f>IF($U124="","",L124*K124)</f>
        <v/>
      </c>
      <c r="N124">
        <f>IF($U124="","",Settings!$C$6)</f>
        <v/>
      </c>
      <c r="O124" s="7">
        <f>IF($U124="","",SUMIFS('Per Line'!$N$2:$N$501,'Per Line'!$A$2:$A$501,$A124,'Per Line'!$W$2:$W$501,1))</f>
        <v/>
      </c>
      <c r="P124" s="7">
        <f>IF($U124="","",O124*N124)</f>
        <v/>
      </c>
      <c r="Q124" s="7">
        <f>IF($U124="","",P124+M124)</f>
        <v/>
      </c>
      <c r="R124" s="7">
        <f>IF($U124="","",S124-Q124)</f>
        <v/>
      </c>
      <c r="S124" s="7">
        <f>IF($U124="","",L124+O124)</f>
        <v/>
      </c>
      <c r="T124" s="7">
        <f>IF($U124="","",S124-Q124-G124)</f>
        <v/>
      </c>
      <c r="U124" s="13">
        <f>IF(ROWS($U$2:$U124)&lt;=MAX('Per Line'!$V$2:$V$501),MATCH(ROWS($U$2:$U124),'Per Line'!$V$2:$V$501,0),"")</f>
        <v/>
      </c>
    </row>
    <row r="125">
      <c r="A125">
        <f>IF($U125="","",INDEX('Per Line'!$A$2:$A$501,$U125)&amp;"")</f>
        <v/>
      </c>
      <c r="B125" s="12" t="n"/>
      <c r="C125">
        <f>IF($U125="","",INDEX('Per Line'!$B$2:$B$501,$U125)&amp;"")</f>
        <v/>
      </c>
      <c r="D125">
        <f>IF($U125="","",INDEX('Per Line'!$C$2:$C$501,$U125)&amp;"")</f>
        <v/>
      </c>
      <c r="E125">
        <f>IF($U125="","",INDEX('Per Line'!$D$2:$D$501,$U125)&amp;"")</f>
        <v/>
      </c>
      <c r="F125">
        <f>IF($U125="","",INDEX('Per Line'!$E$2:$E$501,$U125))</f>
        <v/>
      </c>
      <c r="G125" s="7">
        <f>IF($U125="","",F125*S125/100)</f>
        <v/>
      </c>
      <c r="H125">
        <f>IF($U125="","",INDEX('Per Line'!$O$2:$O$501,$U125)&amp;"")</f>
        <v/>
      </c>
      <c r="I125" s="11">
        <f>IF($U125="","",INDEX('Per Line'!$Q$2:$Q$501,$U125))</f>
        <v/>
      </c>
      <c r="J125">
        <f>IF($U125="","",INDEX('Per Line'!$R$2:$R$501,$U125)&amp;"")</f>
        <v/>
      </c>
      <c r="K125">
        <f>IF($U125="","",Settings!$C$7)</f>
        <v/>
      </c>
      <c r="L125" s="7">
        <f>IF($U125="","",SUMIFS('Per Line'!$N$2:$N$501,'Per Line'!$A$2:$A$501,$A125,'Per Line'!$W$2:$W$501,0))</f>
        <v/>
      </c>
      <c r="M125" s="7">
        <f>IF($U125="","",L125*K125)</f>
        <v/>
      </c>
      <c r="N125">
        <f>IF($U125="","",Settings!$C$6)</f>
        <v/>
      </c>
      <c r="O125" s="7">
        <f>IF($U125="","",SUMIFS('Per Line'!$N$2:$N$501,'Per Line'!$A$2:$A$501,$A125,'Per Line'!$W$2:$W$501,1))</f>
        <v/>
      </c>
      <c r="P125" s="7">
        <f>IF($U125="","",O125*N125)</f>
        <v/>
      </c>
      <c r="Q125" s="7">
        <f>IF($U125="","",P125+M125)</f>
        <v/>
      </c>
      <c r="R125" s="7">
        <f>IF($U125="","",S125-Q125)</f>
        <v/>
      </c>
      <c r="S125" s="7">
        <f>IF($U125="","",L125+O125)</f>
        <v/>
      </c>
      <c r="T125" s="7">
        <f>IF($U125="","",S125-Q125-G125)</f>
        <v/>
      </c>
      <c r="U125" s="13">
        <f>IF(ROWS($U$2:$U125)&lt;=MAX('Per Line'!$V$2:$V$501),MATCH(ROWS($U$2:$U125),'Per Line'!$V$2:$V$501,0),"")</f>
        <v/>
      </c>
    </row>
    <row r="126">
      <c r="A126">
        <f>IF($U126="","",INDEX('Per Line'!$A$2:$A$501,$U126)&amp;"")</f>
        <v/>
      </c>
      <c r="B126" s="12" t="n"/>
      <c r="C126">
        <f>IF($U126="","",INDEX('Per Line'!$B$2:$B$501,$U126)&amp;"")</f>
        <v/>
      </c>
      <c r="D126">
        <f>IF($U126="","",INDEX('Per Line'!$C$2:$C$501,$U126)&amp;"")</f>
        <v/>
      </c>
      <c r="E126">
        <f>IF($U126="","",INDEX('Per Line'!$D$2:$D$501,$U126)&amp;"")</f>
        <v/>
      </c>
      <c r="F126">
        <f>IF($U126="","",INDEX('Per Line'!$E$2:$E$501,$U126))</f>
        <v/>
      </c>
      <c r="G126" s="7">
        <f>IF($U126="","",F126*S126/100)</f>
        <v/>
      </c>
      <c r="H126">
        <f>IF($U126="","",INDEX('Per Line'!$O$2:$O$501,$U126)&amp;"")</f>
        <v/>
      </c>
      <c r="I126" s="11">
        <f>IF($U126="","",INDEX('Per Line'!$Q$2:$Q$501,$U126))</f>
        <v/>
      </c>
      <c r="J126">
        <f>IF($U126="","",INDEX('Per Line'!$R$2:$R$501,$U126)&amp;"")</f>
        <v/>
      </c>
      <c r="K126">
        <f>IF($U126="","",Settings!$C$7)</f>
        <v/>
      </c>
      <c r="L126" s="7">
        <f>IF($U126="","",SUMIFS('Per Line'!$N$2:$N$501,'Per Line'!$A$2:$A$501,$A126,'Per Line'!$W$2:$W$501,0))</f>
        <v/>
      </c>
      <c r="M126" s="7">
        <f>IF($U126="","",L126*K126)</f>
        <v/>
      </c>
      <c r="N126">
        <f>IF($U126="","",Settings!$C$6)</f>
        <v/>
      </c>
      <c r="O126" s="7">
        <f>IF($U126="","",SUMIFS('Per Line'!$N$2:$N$501,'Per Line'!$A$2:$A$501,$A126,'Per Line'!$W$2:$W$501,1))</f>
        <v/>
      </c>
      <c r="P126" s="7">
        <f>IF($U126="","",O126*N126)</f>
        <v/>
      </c>
      <c r="Q126" s="7">
        <f>IF($U126="","",P126+M126)</f>
        <v/>
      </c>
      <c r="R126" s="7">
        <f>IF($U126="","",S126-Q126)</f>
        <v/>
      </c>
      <c r="S126" s="7">
        <f>IF($U126="","",L126+O126)</f>
        <v/>
      </c>
      <c r="T126" s="7">
        <f>IF($U126="","",S126-Q126-G126)</f>
        <v/>
      </c>
      <c r="U126" s="13">
        <f>IF(ROWS($U$2:$U126)&lt;=MAX('Per Line'!$V$2:$V$501),MATCH(ROWS($U$2:$U126),'Per Line'!$V$2:$V$501,0),"")</f>
        <v/>
      </c>
    </row>
    <row r="127">
      <c r="A127">
        <f>IF($U127="","",INDEX('Per Line'!$A$2:$A$501,$U127)&amp;"")</f>
        <v/>
      </c>
      <c r="B127" s="12" t="n"/>
      <c r="C127">
        <f>IF($U127="","",INDEX('Per Line'!$B$2:$B$501,$U127)&amp;"")</f>
        <v/>
      </c>
      <c r="D127">
        <f>IF($U127="","",INDEX('Per Line'!$C$2:$C$501,$U127)&amp;"")</f>
        <v/>
      </c>
      <c r="E127">
        <f>IF($U127="","",INDEX('Per Line'!$D$2:$D$501,$U127)&amp;"")</f>
        <v/>
      </c>
      <c r="F127">
        <f>IF($U127="","",INDEX('Per Line'!$E$2:$E$501,$U127))</f>
        <v/>
      </c>
      <c r="G127" s="7">
        <f>IF($U127="","",F127*S127/100)</f>
        <v/>
      </c>
      <c r="H127">
        <f>IF($U127="","",INDEX('Per Line'!$O$2:$O$501,$U127)&amp;"")</f>
        <v/>
      </c>
      <c r="I127" s="11">
        <f>IF($U127="","",INDEX('Per Line'!$Q$2:$Q$501,$U127))</f>
        <v/>
      </c>
      <c r="J127">
        <f>IF($U127="","",INDEX('Per Line'!$R$2:$R$501,$U127)&amp;"")</f>
        <v/>
      </c>
      <c r="K127">
        <f>IF($U127="","",Settings!$C$7)</f>
        <v/>
      </c>
      <c r="L127" s="7">
        <f>IF($U127="","",SUMIFS('Per Line'!$N$2:$N$501,'Per Line'!$A$2:$A$501,$A127,'Per Line'!$W$2:$W$501,0))</f>
        <v/>
      </c>
      <c r="M127" s="7">
        <f>IF($U127="","",L127*K127)</f>
        <v/>
      </c>
      <c r="N127">
        <f>IF($U127="","",Settings!$C$6)</f>
        <v/>
      </c>
      <c r="O127" s="7">
        <f>IF($U127="","",SUMIFS('Per Line'!$N$2:$N$501,'Per Line'!$A$2:$A$501,$A127,'Per Line'!$W$2:$W$501,1))</f>
        <v/>
      </c>
      <c r="P127" s="7">
        <f>IF($U127="","",O127*N127)</f>
        <v/>
      </c>
      <c r="Q127" s="7">
        <f>IF($U127="","",P127+M127)</f>
        <v/>
      </c>
      <c r="R127" s="7">
        <f>IF($U127="","",S127-Q127)</f>
        <v/>
      </c>
      <c r="S127" s="7">
        <f>IF($U127="","",L127+O127)</f>
        <v/>
      </c>
      <c r="T127" s="7">
        <f>IF($U127="","",S127-Q127-G127)</f>
        <v/>
      </c>
      <c r="U127" s="13">
        <f>IF(ROWS($U$2:$U127)&lt;=MAX('Per Line'!$V$2:$V$501),MATCH(ROWS($U$2:$U127),'Per Line'!$V$2:$V$501,0),"")</f>
        <v/>
      </c>
    </row>
    <row r="128">
      <c r="A128">
        <f>IF($U128="","",INDEX('Per Line'!$A$2:$A$501,$U128)&amp;"")</f>
        <v/>
      </c>
      <c r="B128" s="12" t="n"/>
      <c r="C128">
        <f>IF($U128="","",INDEX('Per Line'!$B$2:$B$501,$U128)&amp;"")</f>
        <v/>
      </c>
      <c r="D128">
        <f>IF($U128="","",INDEX('Per Line'!$C$2:$C$501,$U128)&amp;"")</f>
        <v/>
      </c>
      <c r="E128">
        <f>IF($U128="","",INDEX('Per Line'!$D$2:$D$501,$U128)&amp;"")</f>
        <v/>
      </c>
      <c r="F128">
        <f>IF($U128="","",INDEX('Per Line'!$E$2:$E$501,$U128))</f>
        <v/>
      </c>
      <c r="G128" s="7">
        <f>IF($U128="","",F128*S128/100)</f>
        <v/>
      </c>
      <c r="H128">
        <f>IF($U128="","",INDEX('Per Line'!$O$2:$O$501,$U128)&amp;"")</f>
        <v/>
      </c>
      <c r="I128" s="11">
        <f>IF($U128="","",INDEX('Per Line'!$Q$2:$Q$501,$U128))</f>
        <v/>
      </c>
      <c r="J128">
        <f>IF($U128="","",INDEX('Per Line'!$R$2:$R$501,$U128)&amp;"")</f>
        <v/>
      </c>
      <c r="K128">
        <f>IF($U128="","",Settings!$C$7)</f>
        <v/>
      </c>
      <c r="L128" s="7">
        <f>IF($U128="","",SUMIFS('Per Line'!$N$2:$N$501,'Per Line'!$A$2:$A$501,$A128,'Per Line'!$W$2:$W$501,0))</f>
        <v/>
      </c>
      <c r="M128" s="7">
        <f>IF($U128="","",L128*K128)</f>
        <v/>
      </c>
      <c r="N128">
        <f>IF($U128="","",Settings!$C$6)</f>
        <v/>
      </c>
      <c r="O128" s="7">
        <f>IF($U128="","",SUMIFS('Per Line'!$N$2:$N$501,'Per Line'!$A$2:$A$501,$A128,'Per Line'!$W$2:$W$501,1))</f>
        <v/>
      </c>
      <c r="P128" s="7">
        <f>IF($U128="","",O128*N128)</f>
        <v/>
      </c>
      <c r="Q128" s="7">
        <f>IF($U128="","",P128+M128)</f>
        <v/>
      </c>
      <c r="R128" s="7">
        <f>IF($U128="","",S128-Q128)</f>
        <v/>
      </c>
      <c r="S128" s="7">
        <f>IF($U128="","",L128+O128)</f>
        <v/>
      </c>
      <c r="T128" s="7">
        <f>IF($U128="","",S128-Q128-G128)</f>
        <v/>
      </c>
      <c r="U128" s="13">
        <f>IF(ROWS($U$2:$U128)&lt;=MAX('Per Line'!$V$2:$V$501),MATCH(ROWS($U$2:$U128),'Per Line'!$V$2:$V$501,0),"")</f>
        <v/>
      </c>
    </row>
    <row r="129">
      <c r="A129">
        <f>IF($U129="","",INDEX('Per Line'!$A$2:$A$501,$U129)&amp;"")</f>
        <v/>
      </c>
      <c r="B129" s="12" t="n"/>
      <c r="C129">
        <f>IF($U129="","",INDEX('Per Line'!$B$2:$B$501,$U129)&amp;"")</f>
        <v/>
      </c>
      <c r="D129">
        <f>IF($U129="","",INDEX('Per Line'!$C$2:$C$501,$U129)&amp;"")</f>
        <v/>
      </c>
      <c r="E129">
        <f>IF($U129="","",INDEX('Per Line'!$D$2:$D$501,$U129)&amp;"")</f>
        <v/>
      </c>
      <c r="F129">
        <f>IF($U129="","",INDEX('Per Line'!$E$2:$E$501,$U129))</f>
        <v/>
      </c>
      <c r="G129" s="7">
        <f>IF($U129="","",F129*S129/100)</f>
        <v/>
      </c>
      <c r="H129">
        <f>IF($U129="","",INDEX('Per Line'!$O$2:$O$501,$U129)&amp;"")</f>
        <v/>
      </c>
      <c r="I129" s="11">
        <f>IF($U129="","",INDEX('Per Line'!$Q$2:$Q$501,$U129))</f>
        <v/>
      </c>
      <c r="J129">
        <f>IF($U129="","",INDEX('Per Line'!$R$2:$R$501,$U129)&amp;"")</f>
        <v/>
      </c>
      <c r="K129">
        <f>IF($U129="","",Settings!$C$7)</f>
        <v/>
      </c>
      <c r="L129" s="7">
        <f>IF($U129="","",SUMIFS('Per Line'!$N$2:$N$501,'Per Line'!$A$2:$A$501,$A129,'Per Line'!$W$2:$W$501,0))</f>
        <v/>
      </c>
      <c r="M129" s="7">
        <f>IF($U129="","",L129*K129)</f>
        <v/>
      </c>
      <c r="N129">
        <f>IF($U129="","",Settings!$C$6)</f>
        <v/>
      </c>
      <c r="O129" s="7">
        <f>IF($U129="","",SUMIFS('Per Line'!$N$2:$N$501,'Per Line'!$A$2:$A$501,$A129,'Per Line'!$W$2:$W$501,1))</f>
        <v/>
      </c>
      <c r="P129" s="7">
        <f>IF($U129="","",O129*N129)</f>
        <v/>
      </c>
      <c r="Q129" s="7">
        <f>IF($U129="","",P129+M129)</f>
        <v/>
      </c>
      <c r="R129" s="7">
        <f>IF($U129="","",S129-Q129)</f>
        <v/>
      </c>
      <c r="S129" s="7">
        <f>IF($U129="","",L129+O129)</f>
        <v/>
      </c>
      <c r="T129" s="7">
        <f>IF($U129="","",S129-Q129-G129)</f>
        <v/>
      </c>
      <c r="U129" s="13">
        <f>IF(ROWS($U$2:$U129)&lt;=MAX('Per Line'!$V$2:$V$501),MATCH(ROWS($U$2:$U129),'Per Line'!$V$2:$V$501,0),"")</f>
        <v/>
      </c>
    </row>
    <row r="130">
      <c r="A130">
        <f>IF($U130="","",INDEX('Per Line'!$A$2:$A$501,$U130)&amp;"")</f>
        <v/>
      </c>
      <c r="B130" s="12" t="n"/>
      <c r="C130">
        <f>IF($U130="","",INDEX('Per Line'!$B$2:$B$501,$U130)&amp;"")</f>
        <v/>
      </c>
      <c r="D130">
        <f>IF($U130="","",INDEX('Per Line'!$C$2:$C$501,$U130)&amp;"")</f>
        <v/>
      </c>
      <c r="E130">
        <f>IF($U130="","",INDEX('Per Line'!$D$2:$D$501,$U130)&amp;"")</f>
        <v/>
      </c>
      <c r="F130">
        <f>IF($U130="","",INDEX('Per Line'!$E$2:$E$501,$U130))</f>
        <v/>
      </c>
      <c r="G130" s="7">
        <f>IF($U130="","",F130*S130/100)</f>
        <v/>
      </c>
      <c r="H130">
        <f>IF($U130="","",INDEX('Per Line'!$O$2:$O$501,$U130)&amp;"")</f>
        <v/>
      </c>
      <c r="I130" s="11">
        <f>IF($U130="","",INDEX('Per Line'!$Q$2:$Q$501,$U130))</f>
        <v/>
      </c>
      <c r="J130">
        <f>IF($U130="","",INDEX('Per Line'!$R$2:$R$501,$U130)&amp;"")</f>
        <v/>
      </c>
      <c r="K130">
        <f>IF($U130="","",Settings!$C$7)</f>
        <v/>
      </c>
      <c r="L130" s="7">
        <f>IF($U130="","",SUMIFS('Per Line'!$N$2:$N$501,'Per Line'!$A$2:$A$501,$A130,'Per Line'!$W$2:$W$501,0))</f>
        <v/>
      </c>
      <c r="M130" s="7">
        <f>IF($U130="","",L130*K130)</f>
        <v/>
      </c>
      <c r="N130">
        <f>IF($U130="","",Settings!$C$6)</f>
        <v/>
      </c>
      <c r="O130" s="7">
        <f>IF($U130="","",SUMIFS('Per Line'!$N$2:$N$501,'Per Line'!$A$2:$A$501,$A130,'Per Line'!$W$2:$W$501,1))</f>
        <v/>
      </c>
      <c r="P130" s="7">
        <f>IF($U130="","",O130*N130)</f>
        <v/>
      </c>
      <c r="Q130" s="7">
        <f>IF($U130="","",P130+M130)</f>
        <v/>
      </c>
      <c r="R130" s="7">
        <f>IF($U130="","",S130-Q130)</f>
        <v/>
      </c>
      <c r="S130" s="7">
        <f>IF($U130="","",L130+O130)</f>
        <v/>
      </c>
      <c r="T130" s="7">
        <f>IF($U130="","",S130-Q130-G130)</f>
        <v/>
      </c>
      <c r="U130" s="13">
        <f>IF(ROWS($U$2:$U130)&lt;=MAX('Per Line'!$V$2:$V$501),MATCH(ROWS($U$2:$U130),'Per Line'!$V$2:$V$501,0),"")</f>
        <v/>
      </c>
    </row>
    <row r="131">
      <c r="A131">
        <f>IF($U131="","",INDEX('Per Line'!$A$2:$A$501,$U131)&amp;"")</f>
        <v/>
      </c>
      <c r="B131" s="12" t="n"/>
      <c r="C131">
        <f>IF($U131="","",INDEX('Per Line'!$B$2:$B$501,$U131)&amp;"")</f>
        <v/>
      </c>
      <c r="D131">
        <f>IF($U131="","",INDEX('Per Line'!$C$2:$C$501,$U131)&amp;"")</f>
        <v/>
      </c>
      <c r="E131">
        <f>IF($U131="","",INDEX('Per Line'!$D$2:$D$501,$U131)&amp;"")</f>
        <v/>
      </c>
      <c r="F131">
        <f>IF($U131="","",INDEX('Per Line'!$E$2:$E$501,$U131))</f>
        <v/>
      </c>
      <c r="G131" s="7">
        <f>IF($U131="","",F131*S131/100)</f>
        <v/>
      </c>
      <c r="H131">
        <f>IF($U131="","",INDEX('Per Line'!$O$2:$O$501,$U131)&amp;"")</f>
        <v/>
      </c>
      <c r="I131" s="11">
        <f>IF($U131="","",INDEX('Per Line'!$Q$2:$Q$501,$U131))</f>
        <v/>
      </c>
      <c r="J131">
        <f>IF($U131="","",INDEX('Per Line'!$R$2:$R$501,$U131)&amp;"")</f>
        <v/>
      </c>
      <c r="K131">
        <f>IF($U131="","",Settings!$C$7)</f>
        <v/>
      </c>
      <c r="L131" s="7">
        <f>IF($U131="","",SUMIFS('Per Line'!$N$2:$N$501,'Per Line'!$A$2:$A$501,$A131,'Per Line'!$W$2:$W$501,0))</f>
        <v/>
      </c>
      <c r="M131" s="7">
        <f>IF($U131="","",L131*K131)</f>
        <v/>
      </c>
      <c r="N131">
        <f>IF($U131="","",Settings!$C$6)</f>
        <v/>
      </c>
      <c r="O131" s="7">
        <f>IF($U131="","",SUMIFS('Per Line'!$N$2:$N$501,'Per Line'!$A$2:$A$501,$A131,'Per Line'!$W$2:$W$501,1))</f>
        <v/>
      </c>
      <c r="P131" s="7">
        <f>IF($U131="","",O131*N131)</f>
        <v/>
      </c>
      <c r="Q131" s="7">
        <f>IF($U131="","",P131+M131)</f>
        <v/>
      </c>
      <c r="R131" s="7">
        <f>IF($U131="","",S131-Q131)</f>
        <v/>
      </c>
      <c r="S131" s="7">
        <f>IF($U131="","",L131+O131)</f>
        <v/>
      </c>
      <c r="T131" s="7">
        <f>IF($U131="","",S131-Q131-G131)</f>
        <v/>
      </c>
      <c r="U131" s="13">
        <f>IF(ROWS($U$2:$U131)&lt;=MAX('Per Line'!$V$2:$V$501),MATCH(ROWS($U$2:$U131),'Per Line'!$V$2:$V$501,0),"")</f>
        <v/>
      </c>
    </row>
    <row r="132">
      <c r="A132">
        <f>IF($U132="","",INDEX('Per Line'!$A$2:$A$501,$U132)&amp;"")</f>
        <v/>
      </c>
      <c r="B132" s="12" t="n"/>
      <c r="C132">
        <f>IF($U132="","",INDEX('Per Line'!$B$2:$B$501,$U132)&amp;"")</f>
        <v/>
      </c>
      <c r="D132">
        <f>IF($U132="","",INDEX('Per Line'!$C$2:$C$501,$U132)&amp;"")</f>
        <v/>
      </c>
      <c r="E132">
        <f>IF($U132="","",INDEX('Per Line'!$D$2:$D$501,$U132)&amp;"")</f>
        <v/>
      </c>
      <c r="F132">
        <f>IF($U132="","",INDEX('Per Line'!$E$2:$E$501,$U132))</f>
        <v/>
      </c>
      <c r="G132" s="7">
        <f>IF($U132="","",F132*S132/100)</f>
        <v/>
      </c>
      <c r="H132">
        <f>IF($U132="","",INDEX('Per Line'!$O$2:$O$501,$U132)&amp;"")</f>
        <v/>
      </c>
      <c r="I132" s="11">
        <f>IF($U132="","",INDEX('Per Line'!$Q$2:$Q$501,$U132))</f>
        <v/>
      </c>
      <c r="J132">
        <f>IF($U132="","",INDEX('Per Line'!$R$2:$R$501,$U132)&amp;"")</f>
        <v/>
      </c>
      <c r="K132">
        <f>IF($U132="","",Settings!$C$7)</f>
        <v/>
      </c>
      <c r="L132" s="7">
        <f>IF($U132="","",SUMIFS('Per Line'!$N$2:$N$501,'Per Line'!$A$2:$A$501,$A132,'Per Line'!$W$2:$W$501,0))</f>
        <v/>
      </c>
      <c r="M132" s="7">
        <f>IF($U132="","",L132*K132)</f>
        <v/>
      </c>
      <c r="N132">
        <f>IF($U132="","",Settings!$C$6)</f>
        <v/>
      </c>
      <c r="O132" s="7">
        <f>IF($U132="","",SUMIFS('Per Line'!$N$2:$N$501,'Per Line'!$A$2:$A$501,$A132,'Per Line'!$W$2:$W$501,1))</f>
        <v/>
      </c>
      <c r="P132" s="7">
        <f>IF($U132="","",O132*N132)</f>
        <v/>
      </c>
      <c r="Q132" s="7">
        <f>IF($U132="","",P132+M132)</f>
        <v/>
      </c>
      <c r="R132" s="7">
        <f>IF($U132="","",S132-Q132)</f>
        <v/>
      </c>
      <c r="S132" s="7">
        <f>IF($U132="","",L132+O132)</f>
        <v/>
      </c>
      <c r="T132" s="7">
        <f>IF($U132="","",S132-Q132-G132)</f>
        <v/>
      </c>
      <c r="U132" s="13">
        <f>IF(ROWS($U$2:$U132)&lt;=MAX('Per Line'!$V$2:$V$501),MATCH(ROWS($U$2:$U132),'Per Line'!$V$2:$V$501,0),"")</f>
        <v/>
      </c>
    </row>
    <row r="133">
      <c r="A133">
        <f>IF($U133="","",INDEX('Per Line'!$A$2:$A$501,$U133)&amp;"")</f>
        <v/>
      </c>
      <c r="B133" s="12" t="n"/>
      <c r="C133">
        <f>IF($U133="","",INDEX('Per Line'!$B$2:$B$501,$U133)&amp;"")</f>
        <v/>
      </c>
      <c r="D133">
        <f>IF($U133="","",INDEX('Per Line'!$C$2:$C$501,$U133)&amp;"")</f>
        <v/>
      </c>
      <c r="E133">
        <f>IF($U133="","",INDEX('Per Line'!$D$2:$D$501,$U133)&amp;"")</f>
        <v/>
      </c>
      <c r="F133">
        <f>IF($U133="","",INDEX('Per Line'!$E$2:$E$501,$U133))</f>
        <v/>
      </c>
      <c r="G133" s="7">
        <f>IF($U133="","",F133*S133/100)</f>
        <v/>
      </c>
      <c r="H133">
        <f>IF($U133="","",INDEX('Per Line'!$O$2:$O$501,$U133)&amp;"")</f>
        <v/>
      </c>
      <c r="I133" s="11">
        <f>IF($U133="","",INDEX('Per Line'!$Q$2:$Q$501,$U133))</f>
        <v/>
      </c>
      <c r="J133">
        <f>IF($U133="","",INDEX('Per Line'!$R$2:$R$501,$U133)&amp;"")</f>
        <v/>
      </c>
      <c r="K133">
        <f>IF($U133="","",Settings!$C$7)</f>
        <v/>
      </c>
      <c r="L133" s="7">
        <f>IF($U133="","",SUMIFS('Per Line'!$N$2:$N$501,'Per Line'!$A$2:$A$501,$A133,'Per Line'!$W$2:$W$501,0))</f>
        <v/>
      </c>
      <c r="M133" s="7">
        <f>IF($U133="","",L133*K133)</f>
        <v/>
      </c>
      <c r="N133">
        <f>IF($U133="","",Settings!$C$6)</f>
        <v/>
      </c>
      <c r="O133" s="7">
        <f>IF($U133="","",SUMIFS('Per Line'!$N$2:$N$501,'Per Line'!$A$2:$A$501,$A133,'Per Line'!$W$2:$W$501,1))</f>
        <v/>
      </c>
      <c r="P133" s="7">
        <f>IF($U133="","",O133*N133)</f>
        <v/>
      </c>
      <c r="Q133" s="7">
        <f>IF($U133="","",P133+M133)</f>
        <v/>
      </c>
      <c r="R133" s="7">
        <f>IF($U133="","",S133-Q133)</f>
        <v/>
      </c>
      <c r="S133" s="7">
        <f>IF($U133="","",L133+O133)</f>
        <v/>
      </c>
      <c r="T133" s="7">
        <f>IF($U133="","",S133-Q133-G133)</f>
        <v/>
      </c>
      <c r="U133" s="13">
        <f>IF(ROWS($U$2:$U133)&lt;=MAX('Per Line'!$V$2:$V$501),MATCH(ROWS($U$2:$U133),'Per Line'!$V$2:$V$501,0),"")</f>
        <v/>
      </c>
    </row>
    <row r="134">
      <c r="A134">
        <f>IF($U134="","",INDEX('Per Line'!$A$2:$A$501,$U134)&amp;"")</f>
        <v/>
      </c>
      <c r="B134" s="12" t="n"/>
      <c r="C134">
        <f>IF($U134="","",INDEX('Per Line'!$B$2:$B$501,$U134)&amp;"")</f>
        <v/>
      </c>
      <c r="D134">
        <f>IF($U134="","",INDEX('Per Line'!$C$2:$C$501,$U134)&amp;"")</f>
        <v/>
      </c>
      <c r="E134">
        <f>IF($U134="","",INDEX('Per Line'!$D$2:$D$501,$U134)&amp;"")</f>
        <v/>
      </c>
      <c r="F134">
        <f>IF($U134="","",INDEX('Per Line'!$E$2:$E$501,$U134))</f>
        <v/>
      </c>
      <c r="G134" s="7">
        <f>IF($U134="","",F134*S134/100)</f>
        <v/>
      </c>
      <c r="H134">
        <f>IF($U134="","",INDEX('Per Line'!$O$2:$O$501,$U134)&amp;"")</f>
        <v/>
      </c>
      <c r="I134" s="11">
        <f>IF($U134="","",INDEX('Per Line'!$Q$2:$Q$501,$U134))</f>
        <v/>
      </c>
      <c r="J134">
        <f>IF($U134="","",INDEX('Per Line'!$R$2:$R$501,$U134)&amp;"")</f>
        <v/>
      </c>
      <c r="K134">
        <f>IF($U134="","",Settings!$C$7)</f>
        <v/>
      </c>
      <c r="L134" s="7">
        <f>IF($U134="","",SUMIFS('Per Line'!$N$2:$N$501,'Per Line'!$A$2:$A$501,$A134,'Per Line'!$W$2:$W$501,0))</f>
        <v/>
      </c>
      <c r="M134" s="7">
        <f>IF($U134="","",L134*K134)</f>
        <v/>
      </c>
      <c r="N134">
        <f>IF($U134="","",Settings!$C$6)</f>
        <v/>
      </c>
      <c r="O134" s="7">
        <f>IF($U134="","",SUMIFS('Per Line'!$N$2:$N$501,'Per Line'!$A$2:$A$501,$A134,'Per Line'!$W$2:$W$501,1))</f>
        <v/>
      </c>
      <c r="P134" s="7">
        <f>IF($U134="","",O134*N134)</f>
        <v/>
      </c>
      <c r="Q134" s="7">
        <f>IF($U134="","",P134+M134)</f>
        <v/>
      </c>
      <c r="R134" s="7">
        <f>IF($U134="","",S134-Q134)</f>
        <v/>
      </c>
      <c r="S134" s="7">
        <f>IF($U134="","",L134+O134)</f>
        <v/>
      </c>
      <c r="T134" s="7">
        <f>IF($U134="","",S134-Q134-G134)</f>
        <v/>
      </c>
      <c r="U134" s="13">
        <f>IF(ROWS($U$2:$U134)&lt;=MAX('Per Line'!$V$2:$V$501),MATCH(ROWS($U$2:$U134),'Per Line'!$V$2:$V$501,0),"")</f>
        <v/>
      </c>
    </row>
    <row r="135">
      <c r="A135">
        <f>IF($U135="","",INDEX('Per Line'!$A$2:$A$501,$U135)&amp;"")</f>
        <v/>
      </c>
      <c r="B135" s="12" t="n"/>
      <c r="C135">
        <f>IF($U135="","",INDEX('Per Line'!$B$2:$B$501,$U135)&amp;"")</f>
        <v/>
      </c>
      <c r="D135">
        <f>IF($U135="","",INDEX('Per Line'!$C$2:$C$501,$U135)&amp;"")</f>
        <v/>
      </c>
      <c r="E135">
        <f>IF($U135="","",INDEX('Per Line'!$D$2:$D$501,$U135)&amp;"")</f>
        <v/>
      </c>
      <c r="F135">
        <f>IF($U135="","",INDEX('Per Line'!$E$2:$E$501,$U135))</f>
        <v/>
      </c>
      <c r="G135" s="7">
        <f>IF($U135="","",F135*S135/100)</f>
        <v/>
      </c>
      <c r="H135">
        <f>IF($U135="","",INDEX('Per Line'!$O$2:$O$501,$U135)&amp;"")</f>
        <v/>
      </c>
      <c r="I135" s="11">
        <f>IF($U135="","",INDEX('Per Line'!$Q$2:$Q$501,$U135))</f>
        <v/>
      </c>
      <c r="J135">
        <f>IF($U135="","",INDEX('Per Line'!$R$2:$R$501,$U135)&amp;"")</f>
        <v/>
      </c>
      <c r="K135">
        <f>IF($U135="","",Settings!$C$7)</f>
        <v/>
      </c>
      <c r="L135" s="7">
        <f>IF($U135="","",SUMIFS('Per Line'!$N$2:$N$501,'Per Line'!$A$2:$A$501,$A135,'Per Line'!$W$2:$W$501,0))</f>
        <v/>
      </c>
      <c r="M135" s="7">
        <f>IF($U135="","",L135*K135)</f>
        <v/>
      </c>
      <c r="N135">
        <f>IF($U135="","",Settings!$C$6)</f>
        <v/>
      </c>
      <c r="O135" s="7">
        <f>IF($U135="","",SUMIFS('Per Line'!$N$2:$N$501,'Per Line'!$A$2:$A$501,$A135,'Per Line'!$W$2:$W$501,1))</f>
        <v/>
      </c>
      <c r="P135" s="7">
        <f>IF($U135="","",O135*N135)</f>
        <v/>
      </c>
      <c r="Q135" s="7">
        <f>IF($U135="","",P135+M135)</f>
        <v/>
      </c>
      <c r="R135" s="7">
        <f>IF($U135="","",S135-Q135)</f>
        <v/>
      </c>
      <c r="S135" s="7">
        <f>IF($U135="","",L135+O135)</f>
        <v/>
      </c>
      <c r="T135" s="7">
        <f>IF($U135="","",S135-Q135-G135)</f>
        <v/>
      </c>
      <c r="U135" s="13">
        <f>IF(ROWS($U$2:$U135)&lt;=MAX('Per Line'!$V$2:$V$501),MATCH(ROWS($U$2:$U135),'Per Line'!$V$2:$V$501,0),"")</f>
        <v/>
      </c>
    </row>
    <row r="136">
      <c r="A136">
        <f>IF($U136="","",INDEX('Per Line'!$A$2:$A$501,$U136)&amp;"")</f>
        <v/>
      </c>
      <c r="B136" s="12" t="n"/>
      <c r="C136">
        <f>IF($U136="","",INDEX('Per Line'!$B$2:$B$501,$U136)&amp;"")</f>
        <v/>
      </c>
      <c r="D136">
        <f>IF($U136="","",INDEX('Per Line'!$C$2:$C$501,$U136)&amp;"")</f>
        <v/>
      </c>
      <c r="E136">
        <f>IF($U136="","",INDEX('Per Line'!$D$2:$D$501,$U136)&amp;"")</f>
        <v/>
      </c>
      <c r="F136">
        <f>IF($U136="","",INDEX('Per Line'!$E$2:$E$501,$U136))</f>
        <v/>
      </c>
      <c r="G136" s="7">
        <f>IF($U136="","",F136*S136/100)</f>
        <v/>
      </c>
      <c r="H136">
        <f>IF($U136="","",INDEX('Per Line'!$O$2:$O$501,$U136)&amp;"")</f>
        <v/>
      </c>
      <c r="I136" s="11">
        <f>IF($U136="","",INDEX('Per Line'!$Q$2:$Q$501,$U136))</f>
        <v/>
      </c>
      <c r="J136">
        <f>IF($U136="","",INDEX('Per Line'!$R$2:$R$501,$U136)&amp;"")</f>
        <v/>
      </c>
      <c r="K136">
        <f>IF($U136="","",Settings!$C$7)</f>
        <v/>
      </c>
      <c r="L136" s="7">
        <f>IF($U136="","",SUMIFS('Per Line'!$N$2:$N$501,'Per Line'!$A$2:$A$501,$A136,'Per Line'!$W$2:$W$501,0))</f>
        <v/>
      </c>
      <c r="M136" s="7">
        <f>IF($U136="","",L136*K136)</f>
        <v/>
      </c>
      <c r="N136">
        <f>IF($U136="","",Settings!$C$6)</f>
        <v/>
      </c>
      <c r="O136" s="7">
        <f>IF($U136="","",SUMIFS('Per Line'!$N$2:$N$501,'Per Line'!$A$2:$A$501,$A136,'Per Line'!$W$2:$W$501,1))</f>
        <v/>
      </c>
      <c r="P136" s="7">
        <f>IF($U136="","",O136*N136)</f>
        <v/>
      </c>
      <c r="Q136" s="7">
        <f>IF($U136="","",P136+M136)</f>
        <v/>
      </c>
      <c r="R136" s="7">
        <f>IF($U136="","",S136-Q136)</f>
        <v/>
      </c>
      <c r="S136" s="7">
        <f>IF($U136="","",L136+O136)</f>
        <v/>
      </c>
      <c r="T136" s="7">
        <f>IF($U136="","",S136-Q136-G136)</f>
        <v/>
      </c>
      <c r="U136" s="13">
        <f>IF(ROWS($U$2:$U136)&lt;=MAX('Per Line'!$V$2:$V$501),MATCH(ROWS($U$2:$U136),'Per Line'!$V$2:$V$501,0),"")</f>
        <v/>
      </c>
    </row>
    <row r="137">
      <c r="A137">
        <f>IF($U137="","",INDEX('Per Line'!$A$2:$A$501,$U137)&amp;"")</f>
        <v/>
      </c>
      <c r="B137" s="12" t="n"/>
      <c r="C137">
        <f>IF($U137="","",INDEX('Per Line'!$B$2:$B$501,$U137)&amp;"")</f>
        <v/>
      </c>
      <c r="D137">
        <f>IF($U137="","",INDEX('Per Line'!$C$2:$C$501,$U137)&amp;"")</f>
        <v/>
      </c>
      <c r="E137">
        <f>IF($U137="","",INDEX('Per Line'!$D$2:$D$501,$U137)&amp;"")</f>
        <v/>
      </c>
      <c r="F137">
        <f>IF($U137="","",INDEX('Per Line'!$E$2:$E$501,$U137))</f>
        <v/>
      </c>
      <c r="G137" s="7">
        <f>IF($U137="","",F137*S137/100)</f>
        <v/>
      </c>
      <c r="H137">
        <f>IF($U137="","",INDEX('Per Line'!$O$2:$O$501,$U137)&amp;"")</f>
        <v/>
      </c>
      <c r="I137" s="11">
        <f>IF($U137="","",INDEX('Per Line'!$Q$2:$Q$501,$U137))</f>
        <v/>
      </c>
      <c r="J137">
        <f>IF($U137="","",INDEX('Per Line'!$R$2:$R$501,$U137)&amp;"")</f>
        <v/>
      </c>
      <c r="K137">
        <f>IF($U137="","",Settings!$C$7)</f>
        <v/>
      </c>
      <c r="L137" s="7">
        <f>IF($U137="","",SUMIFS('Per Line'!$N$2:$N$501,'Per Line'!$A$2:$A$501,$A137,'Per Line'!$W$2:$W$501,0))</f>
        <v/>
      </c>
      <c r="M137" s="7">
        <f>IF($U137="","",L137*K137)</f>
        <v/>
      </c>
      <c r="N137">
        <f>IF($U137="","",Settings!$C$6)</f>
        <v/>
      </c>
      <c r="O137" s="7">
        <f>IF($U137="","",SUMIFS('Per Line'!$N$2:$N$501,'Per Line'!$A$2:$A$501,$A137,'Per Line'!$W$2:$W$501,1))</f>
        <v/>
      </c>
      <c r="P137" s="7">
        <f>IF($U137="","",O137*N137)</f>
        <v/>
      </c>
      <c r="Q137" s="7">
        <f>IF($U137="","",P137+M137)</f>
        <v/>
      </c>
      <c r="R137" s="7">
        <f>IF($U137="","",S137-Q137)</f>
        <v/>
      </c>
      <c r="S137" s="7">
        <f>IF($U137="","",L137+O137)</f>
        <v/>
      </c>
      <c r="T137" s="7">
        <f>IF($U137="","",S137-Q137-G137)</f>
        <v/>
      </c>
      <c r="U137" s="13">
        <f>IF(ROWS($U$2:$U137)&lt;=MAX('Per Line'!$V$2:$V$501),MATCH(ROWS($U$2:$U137),'Per Line'!$V$2:$V$501,0),"")</f>
        <v/>
      </c>
    </row>
    <row r="138">
      <c r="A138">
        <f>IF($U138="","",INDEX('Per Line'!$A$2:$A$501,$U138)&amp;"")</f>
        <v/>
      </c>
      <c r="B138" s="12" t="n"/>
      <c r="C138">
        <f>IF($U138="","",INDEX('Per Line'!$B$2:$B$501,$U138)&amp;"")</f>
        <v/>
      </c>
      <c r="D138">
        <f>IF($U138="","",INDEX('Per Line'!$C$2:$C$501,$U138)&amp;"")</f>
        <v/>
      </c>
      <c r="E138">
        <f>IF($U138="","",INDEX('Per Line'!$D$2:$D$501,$U138)&amp;"")</f>
        <v/>
      </c>
      <c r="F138">
        <f>IF($U138="","",INDEX('Per Line'!$E$2:$E$501,$U138))</f>
        <v/>
      </c>
      <c r="G138" s="7">
        <f>IF($U138="","",F138*S138/100)</f>
        <v/>
      </c>
      <c r="H138">
        <f>IF($U138="","",INDEX('Per Line'!$O$2:$O$501,$U138)&amp;"")</f>
        <v/>
      </c>
      <c r="I138" s="11">
        <f>IF($U138="","",INDEX('Per Line'!$Q$2:$Q$501,$U138))</f>
        <v/>
      </c>
      <c r="J138">
        <f>IF($U138="","",INDEX('Per Line'!$R$2:$R$501,$U138)&amp;"")</f>
        <v/>
      </c>
      <c r="K138">
        <f>IF($U138="","",Settings!$C$7)</f>
        <v/>
      </c>
      <c r="L138" s="7">
        <f>IF($U138="","",SUMIFS('Per Line'!$N$2:$N$501,'Per Line'!$A$2:$A$501,$A138,'Per Line'!$W$2:$W$501,0))</f>
        <v/>
      </c>
      <c r="M138" s="7">
        <f>IF($U138="","",L138*K138)</f>
        <v/>
      </c>
      <c r="N138">
        <f>IF($U138="","",Settings!$C$6)</f>
        <v/>
      </c>
      <c r="O138" s="7">
        <f>IF($U138="","",SUMIFS('Per Line'!$N$2:$N$501,'Per Line'!$A$2:$A$501,$A138,'Per Line'!$W$2:$W$501,1))</f>
        <v/>
      </c>
      <c r="P138" s="7">
        <f>IF($U138="","",O138*N138)</f>
        <v/>
      </c>
      <c r="Q138" s="7">
        <f>IF($U138="","",P138+M138)</f>
        <v/>
      </c>
      <c r="R138" s="7">
        <f>IF($U138="","",S138-Q138)</f>
        <v/>
      </c>
      <c r="S138" s="7">
        <f>IF($U138="","",L138+O138)</f>
        <v/>
      </c>
      <c r="T138" s="7">
        <f>IF($U138="","",S138-Q138-G138)</f>
        <v/>
      </c>
      <c r="U138" s="13">
        <f>IF(ROWS($U$2:$U138)&lt;=MAX('Per Line'!$V$2:$V$501),MATCH(ROWS($U$2:$U138),'Per Line'!$V$2:$V$501,0),"")</f>
        <v/>
      </c>
    </row>
    <row r="139">
      <c r="A139">
        <f>IF($U139="","",INDEX('Per Line'!$A$2:$A$501,$U139)&amp;"")</f>
        <v/>
      </c>
      <c r="B139" s="12" t="n"/>
      <c r="C139">
        <f>IF($U139="","",INDEX('Per Line'!$B$2:$B$501,$U139)&amp;"")</f>
        <v/>
      </c>
      <c r="D139">
        <f>IF($U139="","",INDEX('Per Line'!$C$2:$C$501,$U139)&amp;"")</f>
        <v/>
      </c>
      <c r="E139">
        <f>IF($U139="","",INDEX('Per Line'!$D$2:$D$501,$U139)&amp;"")</f>
        <v/>
      </c>
      <c r="F139">
        <f>IF($U139="","",INDEX('Per Line'!$E$2:$E$501,$U139))</f>
        <v/>
      </c>
      <c r="G139" s="7">
        <f>IF($U139="","",F139*S139/100)</f>
        <v/>
      </c>
      <c r="H139">
        <f>IF($U139="","",INDEX('Per Line'!$O$2:$O$501,$U139)&amp;"")</f>
        <v/>
      </c>
      <c r="I139" s="11">
        <f>IF($U139="","",INDEX('Per Line'!$Q$2:$Q$501,$U139))</f>
        <v/>
      </c>
      <c r="J139">
        <f>IF($U139="","",INDEX('Per Line'!$R$2:$R$501,$U139)&amp;"")</f>
        <v/>
      </c>
      <c r="K139">
        <f>IF($U139="","",Settings!$C$7)</f>
        <v/>
      </c>
      <c r="L139" s="7">
        <f>IF($U139="","",SUMIFS('Per Line'!$N$2:$N$501,'Per Line'!$A$2:$A$501,$A139,'Per Line'!$W$2:$W$501,0))</f>
        <v/>
      </c>
      <c r="M139" s="7">
        <f>IF($U139="","",L139*K139)</f>
        <v/>
      </c>
      <c r="N139">
        <f>IF($U139="","",Settings!$C$6)</f>
        <v/>
      </c>
      <c r="O139" s="7">
        <f>IF($U139="","",SUMIFS('Per Line'!$N$2:$N$501,'Per Line'!$A$2:$A$501,$A139,'Per Line'!$W$2:$W$501,1))</f>
        <v/>
      </c>
      <c r="P139" s="7">
        <f>IF($U139="","",O139*N139)</f>
        <v/>
      </c>
      <c r="Q139" s="7">
        <f>IF($U139="","",P139+M139)</f>
        <v/>
      </c>
      <c r="R139" s="7">
        <f>IF($U139="","",S139-Q139)</f>
        <v/>
      </c>
      <c r="S139" s="7">
        <f>IF($U139="","",L139+O139)</f>
        <v/>
      </c>
      <c r="T139" s="7">
        <f>IF($U139="","",S139-Q139-G139)</f>
        <v/>
      </c>
      <c r="U139" s="13">
        <f>IF(ROWS($U$2:$U139)&lt;=MAX('Per Line'!$V$2:$V$501),MATCH(ROWS($U$2:$U139),'Per Line'!$V$2:$V$501,0),"")</f>
        <v/>
      </c>
    </row>
    <row r="140">
      <c r="A140">
        <f>IF($U140="","",INDEX('Per Line'!$A$2:$A$501,$U140)&amp;"")</f>
        <v/>
      </c>
      <c r="B140" s="12" t="n"/>
      <c r="C140">
        <f>IF($U140="","",INDEX('Per Line'!$B$2:$B$501,$U140)&amp;"")</f>
        <v/>
      </c>
      <c r="D140">
        <f>IF($U140="","",INDEX('Per Line'!$C$2:$C$501,$U140)&amp;"")</f>
        <v/>
      </c>
      <c r="E140">
        <f>IF($U140="","",INDEX('Per Line'!$D$2:$D$501,$U140)&amp;"")</f>
        <v/>
      </c>
      <c r="F140">
        <f>IF($U140="","",INDEX('Per Line'!$E$2:$E$501,$U140))</f>
        <v/>
      </c>
      <c r="G140" s="7">
        <f>IF($U140="","",F140*S140/100)</f>
        <v/>
      </c>
      <c r="H140">
        <f>IF($U140="","",INDEX('Per Line'!$O$2:$O$501,$U140)&amp;"")</f>
        <v/>
      </c>
      <c r="I140" s="11">
        <f>IF($U140="","",INDEX('Per Line'!$Q$2:$Q$501,$U140))</f>
        <v/>
      </c>
      <c r="J140">
        <f>IF($U140="","",INDEX('Per Line'!$R$2:$R$501,$U140)&amp;"")</f>
        <v/>
      </c>
      <c r="K140">
        <f>IF($U140="","",Settings!$C$7)</f>
        <v/>
      </c>
      <c r="L140" s="7">
        <f>IF($U140="","",SUMIFS('Per Line'!$N$2:$N$501,'Per Line'!$A$2:$A$501,$A140,'Per Line'!$W$2:$W$501,0))</f>
        <v/>
      </c>
      <c r="M140" s="7">
        <f>IF($U140="","",L140*K140)</f>
        <v/>
      </c>
      <c r="N140">
        <f>IF($U140="","",Settings!$C$6)</f>
        <v/>
      </c>
      <c r="O140" s="7">
        <f>IF($U140="","",SUMIFS('Per Line'!$N$2:$N$501,'Per Line'!$A$2:$A$501,$A140,'Per Line'!$W$2:$W$501,1))</f>
        <v/>
      </c>
      <c r="P140" s="7">
        <f>IF($U140="","",O140*N140)</f>
        <v/>
      </c>
      <c r="Q140" s="7">
        <f>IF($U140="","",P140+M140)</f>
        <v/>
      </c>
      <c r="R140" s="7">
        <f>IF($U140="","",S140-Q140)</f>
        <v/>
      </c>
      <c r="S140" s="7">
        <f>IF($U140="","",L140+O140)</f>
        <v/>
      </c>
      <c r="T140" s="7">
        <f>IF($U140="","",S140-Q140-G140)</f>
        <v/>
      </c>
      <c r="U140" s="13">
        <f>IF(ROWS($U$2:$U140)&lt;=MAX('Per Line'!$V$2:$V$501),MATCH(ROWS($U$2:$U140),'Per Line'!$V$2:$V$501,0),"")</f>
        <v/>
      </c>
    </row>
    <row r="141">
      <c r="A141">
        <f>IF($U141="","",INDEX('Per Line'!$A$2:$A$501,$U141)&amp;"")</f>
        <v/>
      </c>
      <c r="B141" s="12" t="n"/>
      <c r="C141">
        <f>IF($U141="","",INDEX('Per Line'!$B$2:$B$501,$U141)&amp;"")</f>
        <v/>
      </c>
      <c r="D141">
        <f>IF($U141="","",INDEX('Per Line'!$C$2:$C$501,$U141)&amp;"")</f>
        <v/>
      </c>
      <c r="E141">
        <f>IF($U141="","",INDEX('Per Line'!$D$2:$D$501,$U141)&amp;"")</f>
        <v/>
      </c>
      <c r="F141">
        <f>IF($U141="","",INDEX('Per Line'!$E$2:$E$501,$U141))</f>
        <v/>
      </c>
      <c r="G141" s="7">
        <f>IF($U141="","",F141*S141/100)</f>
        <v/>
      </c>
      <c r="H141">
        <f>IF($U141="","",INDEX('Per Line'!$O$2:$O$501,$U141)&amp;"")</f>
        <v/>
      </c>
      <c r="I141" s="11">
        <f>IF($U141="","",INDEX('Per Line'!$Q$2:$Q$501,$U141))</f>
        <v/>
      </c>
      <c r="J141">
        <f>IF($U141="","",INDEX('Per Line'!$R$2:$R$501,$U141)&amp;"")</f>
        <v/>
      </c>
      <c r="K141">
        <f>IF($U141="","",Settings!$C$7)</f>
        <v/>
      </c>
      <c r="L141" s="7">
        <f>IF($U141="","",SUMIFS('Per Line'!$N$2:$N$501,'Per Line'!$A$2:$A$501,$A141,'Per Line'!$W$2:$W$501,0))</f>
        <v/>
      </c>
      <c r="M141" s="7">
        <f>IF($U141="","",L141*K141)</f>
        <v/>
      </c>
      <c r="N141">
        <f>IF($U141="","",Settings!$C$6)</f>
        <v/>
      </c>
      <c r="O141" s="7">
        <f>IF($U141="","",SUMIFS('Per Line'!$N$2:$N$501,'Per Line'!$A$2:$A$501,$A141,'Per Line'!$W$2:$W$501,1))</f>
        <v/>
      </c>
      <c r="P141" s="7">
        <f>IF($U141="","",O141*N141)</f>
        <v/>
      </c>
      <c r="Q141" s="7">
        <f>IF($U141="","",P141+M141)</f>
        <v/>
      </c>
      <c r="R141" s="7">
        <f>IF($U141="","",S141-Q141)</f>
        <v/>
      </c>
      <c r="S141" s="7">
        <f>IF($U141="","",L141+O141)</f>
        <v/>
      </c>
      <c r="T141" s="7">
        <f>IF($U141="","",S141-Q141-G141)</f>
        <v/>
      </c>
      <c r="U141" s="13">
        <f>IF(ROWS($U$2:$U141)&lt;=MAX('Per Line'!$V$2:$V$501),MATCH(ROWS($U$2:$U141),'Per Line'!$V$2:$V$501,0),"")</f>
        <v/>
      </c>
    </row>
    <row r="142">
      <c r="A142">
        <f>IF($U142="","",INDEX('Per Line'!$A$2:$A$501,$U142)&amp;"")</f>
        <v/>
      </c>
      <c r="B142" s="12" t="n"/>
      <c r="C142">
        <f>IF($U142="","",INDEX('Per Line'!$B$2:$B$501,$U142)&amp;"")</f>
        <v/>
      </c>
      <c r="D142">
        <f>IF($U142="","",INDEX('Per Line'!$C$2:$C$501,$U142)&amp;"")</f>
        <v/>
      </c>
      <c r="E142">
        <f>IF($U142="","",INDEX('Per Line'!$D$2:$D$501,$U142)&amp;"")</f>
        <v/>
      </c>
      <c r="F142">
        <f>IF($U142="","",INDEX('Per Line'!$E$2:$E$501,$U142))</f>
        <v/>
      </c>
      <c r="G142" s="7">
        <f>IF($U142="","",F142*S142/100)</f>
        <v/>
      </c>
      <c r="H142">
        <f>IF($U142="","",INDEX('Per Line'!$O$2:$O$501,$U142)&amp;"")</f>
        <v/>
      </c>
      <c r="I142" s="11">
        <f>IF($U142="","",INDEX('Per Line'!$Q$2:$Q$501,$U142))</f>
        <v/>
      </c>
      <c r="J142">
        <f>IF($U142="","",INDEX('Per Line'!$R$2:$R$501,$U142)&amp;"")</f>
        <v/>
      </c>
      <c r="K142">
        <f>IF($U142="","",Settings!$C$7)</f>
        <v/>
      </c>
      <c r="L142" s="7">
        <f>IF($U142="","",SUMIFS('Per Line'!$N$2:$N$501,'Per Line'!$A$2:$A$501,$A142,'Per Line'!$W$2:$W$501,0))</f>
        <v/>
      </c>
      <c r="M142" s="7">
        <f>IF($U142="","",L142*K142)</f>
        <v/>
      </c>
      <c r="N142">
        <f>IF($U142="","",Settings!$C$6)</f>
        <v/>
      </c>
      <c r="O142" s="7">
        <f>IF($U142="","",SUMIFS('Per Line'!$N$2:$N$501,'Per Line'!$A$2:$A$501,$A142,'Per Line'!$W$2:$W$501,1))</f>
        <v/>
      </c>
      <c r="P142" s="7">
        <f>IF($U142="","",O142*N142)</f>
        <v/>
      </c>
      <c r="Q142" s="7">
        <f>IF($U142="","",P142+M142)</f>
        <v/>
      </c>
      <c r="R142" s="7">
        <f>IF($U142="","",S142-Q142)</f>
        <v/>
      </c>
      <c r="S142" s="7">
        <f>IF($U142="","",L142+O142)</f>
        <v/>
      </c>
      <c r="T142" s="7">
        <f>IF($U142="","",S142-Q142-G142)</f>
        <v/>
      </c>
      <c r="U142" s="13">
        <f>IF(ROWS($U$2:$U142)&lt;=MAX('Per Line'!$V$2:$V$501),MATCH(ROWS($U$2:$U142),'Per Line'!$V$2:$V$501,0),"")</f>
        <v/>
      </c>
    </row>
    <row r="143">
      <c r="A143">
        <f>IF($U143="","",INDEX('Per Line'!$A$2:$A$501,$U143)&amp;"")</f>
        <v/>
      </c>
      <c r="B143" s="12" t="n"/>
      <c r="C143">
        <f>IF($U143="","",INDEX('Per Line'!$B$2:$B$501,$U143)&amp;"")</f>
        <v/>
      </c>
      <c r="D143">
        <f>IF($U143="","",INDEX('Per Line'!$C$2:$C$501,$U143)&amp;"")</f>
        <v/>
      </c>
      <c r="E143">
        <f>IF($U143="","",INDEX('Per Line'!$D$2:$D$501,$U143)&amp;"")</f>
        <v/>
      </c>
      <c r="F143">
        <f>IF($U143="","",INDEX('Per Line'!$E$2:$E$501,$U143))</f>
        <v/>
      </c>
      <c r="G143" s="7">
        <f>IF($U143="","",F143*S143/100)</f>
        <v/>
      </c>
      <c r="H143">
        <f>IF($U143="","",INDEX('Per Line'!$O$2:$O$501,$U143)&amp;"")</f>
        <v/>
      </c>
      <c r="I143" s="11">
        <f>IF($U143="","",INDEX('Per Line'!$Q$2:$Q$501,$U143))</f>
        <v/>
      </c>
      <c r="J143">
        <f>IF($U143="","",INDEX('Per Line'!$R$2:$R$501,$U143)&amp;"")</f>
        <v/>
      </c>
      <c r="K143">
        <f>IF($U143="","",Settings!$C$7)</f>
        <v/>
      </c>
      <c r="L143" s="7">
        <f>IF($U143="","",SUMIFS('Per Line'!$N$2:$N$501,'Per Line'!$A$2:$A$501,$A143,'Per Line'!$W$2:$W$501,0))</f>
        <v/>
      </c>
      <c r="M143" s="7">
        <f>IF($U143="","",L143*K143)</f>
        <v/>
      </c>
      <c r="N143">
        <f>IF($U143="","",Settings!$C$6)</f>
        <v/>
      </c>
      <c r="O143" s="7">
        <f>IF($U143="","",SUMIFS('Per Line'!$N$2:$N$501,'Per Line'!$A$2:$A$501,$A143,'Per Line'!$W$2:$W$501,1))</f>
        <v/>
      </c>
      <c r="P143" s="7">
        <f>IF($U143="","",O143*N143)</f>
        <v/>
      </c>
      <c r="Q143" s="7">
        <f>IF($U143="","",P143+M143)</f>
        <v/>
      </c>
      <c r="R143" s="7">
        <f>IF($U143="","",S143-Q143)</f>
        <v/>
      </c>
      <c r="S143" s="7">
        <f>IF($U143="","",L143+O143)</f>
        <v/>
      </c>
      <c r="T143" s="7">
        <f>IF($U143="","",S143-Q143-G143)</f>
        <v/>
      </c>
      <c r="U143" s="13">
        <f>IF(ROWS($U$2:$U143)&lt;=MAX('Per Line'!$V$2:$V$501),MATCH(ROWS($U$2:$U143),'Per Line'!$V$2:$V$501,0),"")</f>
        <v/>
      </c>
    </row>
    <row r="144">
      <c r="A144">
        <f>IF($U144="","",INDEX('Per Line'!$A$2:$A$501,$U144)&amp;"")</f>
        <v/>
      </c>
      <c r="B144" s="12" t="n"/>
      <c r="C144">
        <f>IF($U144="","",INDEX('Per Line'!$B$2:$B$501,$U144)&amp;"")</f>
        <v/>
      </c>
      <c r="D144">
        <f>IF($U144="","",INDEX('Per Line'!$C$2:$C$501,$U144)&amp;"")</f>
        <v/>
      </c>
      <c r="E144">
        <f>IF($U144="","",INDEX('Per Line'!$D$2:$D$501,$U144)&amp;"")</f>
        <v/>
      </c>
      <c r="F144">
        <f>IF($U144="","",INDEX('Per Line'!$E$2:$E$501,$U144))</f>
        <v/>
      </c>
      <c r="G144" s="7">
        <f>IF($U144="","",F144*S144/100)</f>
        <v/>
      </c>
      <c r="H144">
        <f>IF($U144="","",INDEX('Per Line'!$O$2:$O$501,$U144)&amp;"")</f>
        <v/>
      </c>
      <c r="I144" s="11">
        <f>IF($U144="","",INDEX('Per Line'!$Q$2:$Q$501,$U144))</f>
        <v/>
      </c>
      <c r="J144">
        <f>IF($U144="","",INDEX('Per Line'!$R$2:$R$501,$U144)&amp;"")</f>
        <v/>
      </c>
      <c r="K144">
        <f>IF($U144="","",Settings!$C$7)</f>
        <v/>
      </c>
      <c r="L144" s="7">
        <f>IF($U144="","",SUMIFS('Per Line'!$N$2:$N$501,'Per Line'!$A$2:$A$501,$A144,'Per Line'!$W$2:$W$501,0))</f>
        <v/>
      </c>
      <c r="M144" s="7">
        <f>IF($U144="","",L144*K144)</f>
        <v/>
      </c>
      <c r="N144">
        <f>IF($U144="","",Settings!$C$6)</f>
        <v/>
      </c>
      <c r="O144" s="7">
        <f>IF($U144="","",SUMIFS('Per Line'!$N$2:$N$501,'Per Line'!$A$2:$A$501,$A144,'Per Line'!$W$2:$W$501,1))</f>
        <v/>
      </c>
      <c r="P144" s="7">
        <f>IF($U144="","",O144*N144)</f>
        <v/>
      </c>
      <c r="Q144" s="7">
        <f>IF($U144="","",P144+M144)</f>
        <v/>
      </c>
      <c r="R144" s="7">
        <f>IF($U144="","",S144-Q144)</f>
        <v/>
      </c>
      <c r="S144" s="7">
        <f>IF($U144="","",L144+O144)</f>
        <v/>
      </c>
      <c r="T144" s="7">
        <f>IF($U144="","",S144-Q144-G144)</f>
        <v/>
      </c>
      <c r="U144" s="13">
        <f>IF(ROWS($U$2:$U144)&lt;=MAX('Per Line'!$V$2:$V$501),MATCH(ROWS($U$2:$U144),'Per Line'!$V$2:$V$501,0),"")</f>
        <v/>
      </c>
    </row>
    <row r="145">
      <c r="A145">
        <f>IF($U145="","",INDEX('Per Line'!$A$2:$A$501,$U145)&amp;"")</f>
        <v/>
      </c>
      <c r="B145" s="12" t="n"/>
      <c r="C145">
        <f>IF($U145="","",INDEX('Per Line'!$B$2:$B$501,$U145)&amp;"")</f>
        <v/>
      </c>
      <c r="D145">
        <f>IF($U145="","",INDEX('Per Line'!$C$2:$C$501,$U145)&amp;"")</f>
        <v/>
      </c>
      <c r="E145">
        <f>IF($U145="","",INDEX('Per Line'!$D$2:$D$501,$U145)&amp;"")</f>
        <v/>
      </c>
      <c r="F145">
        <f>IF($U145="","",INDEX('Per Line'!$E$2:$E$501,$U145))</f>
        <v/>
      </c>
      <c r="G145" s="7">
        <f>IF($U145="","",F145*S145/100)</f>
        <v/>
      </c>
      <c r="H145">
        <f>IF($U145="","",INDEX('Per Line'!$O$2:$O$501,$U145)&amp;"")</f>
        <v/>
      </c>
      <c r="I145" s="11">
        <f>IF($U145="","",INDEX('Per Line'!$Q$2:$Q$501,$U145))</f>
        <v/>
      </c>
      <c r="J145">
        <f>IF($U145="","",INDEX('Per Line'!$R$2:$R$501,$U145)&amp;"")</f>
        <v/>
      </c>
      <c r="K145">
        <f>IF($U145="","",Settings!$C$7)</f>
        <v/>
      </c>
      <c r="L145" s="7">
        <f>IF($U145="","",SUMIFS('Per Line'!$N$2:$N$501,'Per Line'!$A$2:$A$501,$A145,'Per Line'!$W$2:$W$501,0))</f>
        <v/>
      </c>
      <c r="M145" s="7">
        <f>IF($U145="","",L145*K145)</f>
        <v/>
      </c>
      <c r="N145">
        <f>IF($U145="","",Settings!$C$6)</f>
        <v/>
      </c>
      <c r="O145" s="7">
        <f>IF($U145="","",SUMIFS('Per Line'!$N$2:$N$501,'Per Line'!$A$2:$A$501,$A145,'Per Line'!$W$2:$W$501,1))</f>
        <v/>
      </c>
      <c r="P145" s="7">
        <f>IF($U145="","",O145*N145)</f>
        <v/>
      </c>
      <c r="Q145" s="7">
        <f>IF($U145="","",P145+M145)</f>
        <v/>
      </c>
      <c r="R145" s="7">
        <f>IF($U145="","",S145-Q145)</f>
        <v/>
      </c>
      <c r="S145" s="7">
        <f>IF($U145="","",L145+O145)</f>
        <v/>
      </c>
      <c r="T145" s="7">
        <f>IF($U145="","",S145-Q145-G145)</f>
        <v/>
      </c>
      <c r="U145" s="13">
        <f>IF(ROWS($U$2:$U145)&lt;=MAX('Per Line'!$V$2:$V$501),MATCH(ROWS($U$2:$U145),'Per Line'!$V$2:$V$501,0),"")</f>
        <v/>
      </c>
    </row>
    <row r="146">
      <c r="A146">
        <f>IF($U146="","",INDEX('Per Line'!$A$2:$A$501,$U146)&amp;"")</f>
        <v/>
      </c>
      <c r="B146" s="12" t="n"/>
      <c r="C146">
        <f>IF($U146="","",INDEX('Per Line'!$B$2:$B$501,$U146)&amp;"")</f>
        <v/>
      </c>
      <c r="D146">
        <f>IF($U146="","",INDEX('Per Line'!$C$2:$C$501,$U146)&amp;"")</f>
        <v/>
      </c>
      <c r="E146">
        <f>IF($U146="","",INDEX('Per Line'!$D$2:$D$501,$U146)&amp;"")</f>
        <v/>
      </c>
      <c r="F146">
        <f>IF($U146="","",INDEX('Per Line'!$E$2:$E$501,$U146))</f>
        <v/>
      </c>
      <c r="G146" s="7">
        <f>IF($U146="","",F146*S146/100)</f>
        <v/>
      </c>
      <c r="H146">
        <f>IF($U146="","",INDEX('Per Line'!$O$2:$O$501,$U146)&amp;"")</f>
        <v/>
      </c>
      <c r="I146" s="11">
        <f>IF($U146="","",INDEX('Per Line'!$Q$2:$Q$501,$U146))</f>
        <v/>
      </c>
      <c r="J146">
        <f>IF($U146="","",INDEX('Per Line'!$R$2:$R$501,$U146)&amp;"")</f>
        <v/>
      </c>
      <c r="K146">
        <f>IF($U146="","",Settings!$C$7)</f>
        <v/>
      </c>
      <c r="L146" s="7">
        <f>IF($U146="","",SUMIFS('Per Line'!$N$2:$N$501,'Per Line'!$A$2:$A$501,$A146,'Per Line'!$W$2:$W$501,0))</f>
        <v/>
      </c>
      <c r="M146" s="7">
        <f>IF($U146="","",L146*K146)</f>
        <v/>
      </c>
      <c r="N146">
        <f>IF($U146="","",Settings!$C$6)</f>
        <v/>
      </c>
      <c r="O146" s="7">
        <f>IF($U146="","",SUMIFS('Per Line'!$N$2:$N$501,'Per Line'!$A$2:$A$501,$A146,'Per Line'!$W$2:$W$501,1))</f>
        <v/>
      </c>
      <c r="P146" s="7">
        <f>IF($U146="","",O146*N146)</f>
        <v/>
      </c>
      <c r="Q146" s="7">
        <f>IF($U146="","",P146+M146)</f>
        <v/>
      </c>
      <c r="R146" s="7">
        <f>IF($U146="","",S146-Q146)</f>
        <v/>
      </c>
      <c r="S146" s="7">
        <f>IF($U146="","",L146+O146)</f>
        <v/>
      </c>
      <c r="T146" s="7">
        <f>IF($U146="","",S146-Q146-G146)</f>
        <v/>
      </c>
      <c r="U146" s="13">
        <f>IF(ROWS($U$2:$U146)&lt;=MAX('Per Line'!$V$2:$V$501),MATCH(ROWS($U$2:$U146),'Per Line'!$V$2:$V$501,0),"")</f>
        <v/>
      </c>
    </row>
    <row r="147">
      <c r="A147">
        <f>IF($U147="","",INDEX('Per Line'!$A$2:$A$501,$U147)&amp;"")</f>
        <v/>
      </c>
      <c r="B147" s="12" t="n"/>
      <c r="C147">
        <f>IF($U147="","",INDEX('Per Line'!$B$2:$B$501,$U147)&amp;"")</f>
        <v/>
      </c>
      <c r="D147">
        <f>IF($U147="","",INDEX('Per Line'!$C$2:$C$501,$U147)&amp;"")</f>
        <v/>
      </c>
      <c r="E147">
        <f>IF($U147="","",INDEX('Per Line'!$D$2:$D$501,$U147)&amp;"")</f>
        <v/>
      </c>
      <c r="F147">
        <f>IF($U147="","",INDEX('Per Line'!$E$2:$E$501,$U147))</f>
        <v/>
      </c>
      <c r="G147" s="7">
        <f>IF($U147="","",F147*S147/100)</f>
        <v/>
      </c>
      <c r="H147">
        <f>IF($U147="","",INDEX('Per Line'!$O$2:$O$501,$U147)&amp;"")</f>
        <v/>
      </c>
      <c r="I147" s="11">
        <f>IF($U147="","",INDEX('Per Line'!$Q$2:$Q$501,$U147))</f>
        <v/>
      </c>
      <c r="J147">
        <f>IF($U147="","",INDEX('Per Line'!$R$2:$R$501,$U147)&amp;"")</f>
        <v/>
      </c>
      <c r="K147">
        <f>IF($U147="","",Settings!$C$7)</f>
        <v/>
      </c>
      <c r="L147" s="7">
        <f>IF($U147="","",SUMIFS('Per Line'!$N$2:$N$501,'Per Line'!$A$2:$A$501,$A147,'Per Line'!$W$2:$W$501,0))</f>
        <v/>
      </c>
      <c r="M147" s="7">
        <f>IF($U147="","",L147*K147)</f>
        <v/>
      </c>
      <c r="N147">
        <f>IF($U147="","",Settings!$C$6)</f>
        <v/>
      </c>
      <c r="O147" s="7">
        <f>IF($U147="","",SUMIFS('Per Line'!$N$2:$N$501,'Per Line'!$A$2:$A$501,$A147,'Per Line'!$W$2:$W$501,1))</f>
        <v/>
      </c>
      <c r="P147" s="7">
        <f>IF($U147="","",O147*N147)</f>
        <v/>
      </c>
      <c r="Q147" s="7">
        <f>IF($U147="","",P147+M147)</f>
        <v/>
      </c>
      <c r="R147" s="7">
        <f>IF($U147="","",S147-Q147)</f>
        <v/>
      </c>
      <c r="S147" s="7">
        <f>IF($U147="","",L147+O147)</f>
        <v/>
      </c>
      <c r="T147" s="7">
        <f>IF($U147="","",S147-Q147-G147)</f>
        <v/>
      </c>
      <c r="U147" s="13">
        <f>IF(ROWS($U$2:$U147)&lt;=MAX('Per Line'!$V$2:$V$501),MATCH(ROWS($U$2:$U147),'Per Line'!$V$2:$V$501,0),"")</f>
        <v/>
      </c>
    </row>
    <row r="148">
      <c r="A148">
        <f>IF($U148="","",INDEX('Per Line'!$A$2:$A$501,$U148)&amp;"")</f>
        <v/>
      </c>
      <c r="B148" s="12" t="n"/>
      <c r="C148">
        <f>IF($U148="","",INDEX('Per Line'!$B$2:$B$501,$U148)&amp;"")</f>
        <v/>
      </c>
      <c r="D148">
        <f>IF($U148="","",INDEX('Per Line'!$C$2:$C$501,$U148)&amp;"")</f>
        <v/>
      </c>
      <c r="E148">
        <f>IF($U148="","",INDEX('Per Line'!$D$2:$D$501,$U148)&amp;"")</f>
        <v/>
      </c>
      <c r="F148">
        <f>IF($U148="","",INDEX('Per Line'!$E$2:$E$501,$U148))</f>
        <v/>
      </c>
      <c r="G148" s="7">
        <f>IF($U148="","",F148*S148/100)</f>
        <v/>
      </c>
      <c r="H148">
        <f>IF($U148="","",INDEX('Per Line'!$O$2:$O$501,$U148)&amp;"")</f>
        <v/>
      </c>
      <c r="I148" s="11">
        <f>IF($U148="","",INDEX('Per Line'!$Q$2:$Q$501,$U148))</f>
        <v/>
      </c>
      <c r="J148">
        <f>IF($U148="","",INDEX('Per Line'!$R$2:$R$501,$U148)&amp;"")</f>
        <v/>
      </c>
      <c r="K148">
        <f>IF($U148="","",Settings!$C$7)</f>
        <v/>
      </c>
      <c r="L148" s="7">
        <f>IF($U148="","",SUMIFS('Per Line'!$N$2:$N$501,'Per Line'!$A$2:$A$501,$A148,'Per Line'!$W$2:$W$501,0))</f>
        <v/>
      </c>
      <c r="M148" s="7">
        <f>IF($U148="","",L148*K148)</f>
        <v/>
      </c>
      <c r="N148">
        <f>IF($U148="","",Settings!$C$6)</f>
        <v/>
      </c>
      <c r="O148" s="7">
        <f>IF($U148="","",SUMIFS('Per Line'!$N$2:$N$501,'Per Line'!$A$2:$A$501,$A148,'Per Line'!$W$2:$W$501,1))</f>
        <v/>
      </c>
      <c r="P148" s="7">
        <f>IF($U148="","",O148*N148)</f>
        <v/>
      </c>
      <c r="Q148" s="7">
        <f>IF($U148="","",P148+M148)</f>
        <v/>
      </c>
      <c r="R148" s="7">
        <f>IF($U148="","",S148-Q148)</f>
        <v/>
      </c>
      <c r="S148" s="7">
        <f>IF($U148="","",L148+O148)</f>
        <v/>
      </c>
      <c r="T148" s="7">
        <f>IF($U148="","",S148-Q148-G148)</f>
        <v/>
      </c>
      <c r="U148" s="13">
        <f>IF(ROWS($U$2:$U148)&lt;=MAX('Per Line'!$V$2:$V$501),MATCH(ROWS($U$2:$U148),'Per Line'!$V$2:$V$501,0),"")</f>
        <v/>
      </c>
    </row>
    <row r="149">
      <c r="A149">
        <f>IF($U149="","",INDEX('Per Line'!$A$2:$A$501,$U149)&amp;"")</f>
        <v/>
      </c>
      <c r="B149" s="12" t="n"/>
      <c r="C149">
        <f>IF($U149="","",INDEX('Per Line'!$B$2:$B$501,$U149)&amp;"")</f>
        <v/>
      </c>
      <c r="D149">
        <f>IF($U149="","",INDEX('Per Line'!$C$2:$C$501,$U149)&amp;"")</f>
        <v/>
      </c>
      <c r="E149">
        <f>IF($U149="","",INDEX('Per Line'!$D$2:$D$501,$U149)&amp;"")</f>
        <v/>
      </c>
      <c r="F149">
        <f>IF($U149="","",INDEX('Per Line'!$E$2:$E$501,$U149))</f>
        <v/>
      </c>
      <c r="G149" s="7">
        <f>IF($U149="","",F149*S149/100)</f>
        <v/>
      </c>
      <c r="H149">
        <f>IF($U149="","",INDEX('Per Line'!$O$2:$O$501,$U149)&amp;"")</f>
        <v/>
      </c>
      <c r="I149" s="11">
        <f>IF($U149="","",INDEX('Per Line'!$Q$2:$Q$501,$U149))</f>
        <v/>
      </c>
      <c r="J149">
        <f>IF($U149="","",INDEX('Per Line'!$R$2:$R$501,$U149)&amp;"")</f>
        <v/>
      </c>
      <c r="K149">
        <f>IF($U149="","",Settings!$C$7)</f>
        <v/>
      </c>
      <c r="L149" s="7">
        <f>IF($U149="","",SUMIFS('Per Line'!$N$2:$N$501,'Per Line'!$A$2:$A$501,$A149,'Per Line'!$W$2:$W$501,0))</f>
        <v/>
      </c>
      <c r="M149" s="7">
        <f>IF($U149="","",L149*K149)</f>
        <v/>
      </c>
      <c r="N149">
        <f>IF($U149="","",Settings!$C$6)</f>
        <v/>
      </c>
      <c r="O149" s="7">
        <f>IF($U149="","",SUMIFS('Per Line'!$N$2:$N$501,'Per Line'!$A$2:$A$501,$A149,'Per Line'!$W$2:$W$501,1))</f>
        <v/>
      </c>
      <c r="P149" s="7">
        <f>IF($U149="","",O149*N149)</f>
        <v/>
      </c>
      <c r="Q149" s="7">
        <f>IF($U149="","",P149+M149)</f>
        <v/>
      </c>
      <c r="R149" s="7">
        <f>IF($U149="","",S149-Q149)</f>
        <v/>
      </c>
      <c r="S149" s="7">
        <f>IF($U149="","",L149+O149)</f>
        <v/>
      </c>
      <c r="T149" s="7">
        <f>IF($U149="","",S149-Q149-G149)</f>
        <v/>
      </c>
      <c r="U149" s="13">
        <f>IF(ROWS($U$2:$U149)&lt;=MAX('Per Line'!$V$2:$V$501),MATCH(ROWS($U$2:$U149),'Per Line'!$V$2:$V$501,0),"")</f>
        <v/>
      </c>
    </row>
    <row r="150">
      <c r="A150">
        <f>IF($U150="","",INDEX('Per Line'!$A$2:$A$501,$U150)&amp;"")</f>
        <v/>
      </c>
      <c r="B150" s="12" t="n"/>
      <c r="C150">
        <f>IF($U150="","",INDEX('Per Line'!$B$2:$B$501,$U150)&amp;"")</f>
        <v/>
      </c>
      <c r="D150">
        <f>IF($U150="","",INDEX('Per Line'!$C$2:$C$501,$U150)&amp;"")</f>
        <v/>
      </c>
      <c r="E150">
        <f>IF($U150="","",INDEX('Per Line'!$D$2:$D$501,$U150)&amp;"")</f>
        <v/>
      </c>
      <c r="F150">
        <f>IF($U150="","",INDEX('Per Line'!$E$2:$E$501,$U150))</f>
        <v/>
      </c>
      <c r="G150" s="7">
        <f>IF($U150="","",F150*S150/100)</f>
        <v/>
      </c>
      <c r="H150">
        <f>IF($U150="","",INDEX('Per Line'!$O$2:$O$501,$U150)&amp;"")</f>
        <v/>
      </c>
      <c r="I150" s="11">
        <f>IF($U150="","",INDEX('Per Line'!$Q$2:$Q$501,$U150))</f>
        <v/>
      </c>
      <c r="J150">
        <f>IF($U150="","",INDEX('Per Line'!$R$2:$R$501,$U150)&amp;"")</f>
        <v/>
      </c>
      <c r="K150">
        <f>IF($U150="","",Settings!$C$7)</f>
        <v/>
      </c>
      <c r="L150" s="7">
        <f>IF($U150="","",SUMIFS('Per Line'!$N$2:$N$501,'Per Line'!$A$2:$A$501,$A150,'Per Line'!$W$2:$W$501,0))</f>
        <v/>
      </c>
      <c r="M150" s="7">
        <f>IF($U150="","",L150*K150)</f>
        <v/>
      </c>
      <c r="N150">
        <f>IF($U150="","",Settings!$C$6)</f>
        <v/>
      </c>
      <c r="O150" s="7">
        <f>IF($U150="","",SUMIFS('Per Line'!$N$2:$N$501,'Per Line'!$A$2:$A$501,$A150,'Per Line'!$W$2:$W$501,1))</f>
        <v/>
      </c>
      <c r="P150" s="7">
        <f>IF($U150="","",O150*N150)</f>
        <v/>
      </c>
      <c r="Q150" s="7">
        <f>IF($U150="","",P150+M150)</f>
        <v/>
      </c>
      <c r="R150" s="7">
        <f>IF($U150="","",S150-Q150)</f>
        <v/>
      </c>
      <c r="S150" s="7">
        <f>IF($U150="","",L150+O150)</f>
        <v/>
      </c>
      <c r="T150" s="7">
        <f>IF($U150="","",S150-Q150-G150)</f>
        <v/>
      </c>
      <c r="U150" s="13">
        <f>IF(ROWS($U$2:$U150)&lt;=MAX('Per Line'!$V$2:$V$501),MATCH(ROWS($U$2:$U150),'Per Line'!$V$2:$V$501,0),"")</f>
        <v/>
      </c>
    </row>
    <row r="151">
      <c r="A151">
        <f>IF($U151="","",INDEX('Per Line'!$A$2:$A$501,$U151)&amp;"")</f>
        <v/>
      </c>
      <c r="B151" s="12" t="n"/>
      <c r="C151">
        <f>IF($U151="","",INDEX('Per Line'!$B$2:$B$501,$U151)&amp;"")</f>
        <v/>
      </c>
      <c r="D151">
        <f>IF($U151="","",INDEX('Per Line'!$C$2:$C$501,$U151)&amp;"")</f>
        <v/>
      </c>
      <c r="E151">
        <f>IF($U151="","",INDEX('Per Line'!$D$2:$D$501,$U151)&amp;"")</f>
        <v/>
      </c>
      <c r="F151">
        <f>IF($U151="","",INDEX('Per Line'!$E$2:$E$501,$U151))</f>
        <v/>
      </c>
      <c r="G151" s="7">
        <f>IF($U151="","",F151*S151/100)</f>
        <v/>
      </c>
      <c r="H151">
        <f>IF($U151="","",INDEX('Per Line'!$O$2:$O$501,$U151)&amp;"")</f>
        <v/>
      </c>
      <c r="I151" s="11">
        <f>IF($U151="","",INDEX('Per Line'!$Q$2:$Q$501,$U151))</f>
        <v/>
      </c>
      <c r="J151">
        <f>IF($U151="","",INDEX('Per Line'!$R$2:$R$501,$U151)&amp;"")</f>
        <v/>
      </c>
      <c r="K151">
        <f>IF($U151="","",Settings!$C$7)</f>
        <v/>
      </c>
      <c r="L151" s="7">
        <f>IF($U151="","",SUMIFS('Per Line'!$N$2:$N$501,'Per Line'!$A$2:$A$501,$A151,'Per Line'!$W$2:$W$501,0))</f>
        <v/>
      </c>
      <c r="M151" s="7">
        <f>IF($U151="","",L151*K151)</f>
        <v/>
      </c>
      <c r="N151">
        <f>IF($U151="","",Settings!$C$6)</f>
        <v/>
      </c>
      <c r="O151" s="7">
        <f>IF($U151="","",SUMIFS('Per Line'!$N$2:$N$501,'Per Line'!$A$2:$A$501,$A151,'Per Line'!$W$2:$W$501,1))</f>
        <v/>
      </c>
      <c r="P151" s="7">
        <f>IF($U151="","",O151*N151)</f>
        <v/>
      </c>
      <c r="Q151" s="7">
        <f>IF($U151="","",P151+M151)</f>
        <v/>
      </c>
      <c r="R151" s="7">
        <f>IF($U151="","",S151-Q151)</f>
        <v/>
      </c>
      <c r="S151" s="7">
        <f>IF($U151="","",L151+O151)</f>
        <v/>
      </c>
      <c r="T151" s="7">
        <f>IF($U151="","",S151-Q151-G151)</f>
        <v/>
      </c>
      <c r="U151" s="13">
        <f>IF(ROWS($U$2:$U151)&lt;=MAX('Per Line'!$V$2:$V$501),MATCH(ROWS($U$2:$U151),'Per Line'!$V$2:$V$501,0),"")</f>
        <v/>
      </c>
    </row>
    <row r="152">
      <c r="A152">
        <f>IF($U152="","",INDEX('Per Line'!$A$2:$A$501,$U152)&amp;"")</f>
        <v/>
      </c>
      <c r="B152" s="12" t="n"/>
      <c r="C152">
        <f>IF($U152="","",INDEX('Per Line'!$B$2:$B$501,$U152)&amp;"")</f>
        <v/>
      </c>
      <c r="D152">
        <f>IF($U152="","",INDEX('Per Line'!$C$2:$C$501,$U152)&amp;"")</f>
        <v/>
      </c>
      <c r="E152">
        <f>IF($U152="","",INDEX('Per Line'!$D$2:$D$501,$U152)&amp;"")</f>
        <v/>
      </c>
      <c r="F152">
        <f>IF($U152="","",INDEX('Per Line'!$E$2:$E$501,$U152))</f>
        <v/>
      </c>
      <c r="G152" s="7">
        <f>IF($U152="","",F152*S152/100)</f>
        <v/>
      </c>
      <c r="H152">
        <f>IF($U152="","",INDEX('Per Line'!$O$2:$O$501,$U152)&amp;"")</f>
        <v/>
      </c>
      <c r="I152" s="11">
        <f>IF($U152="","",INDEX('Per Line'!$Q$2:$Q$501,$U152))</f>
        <v/>
      </c>
      <c r="J152">
        <f>IF($U152="","",INDEX('Per Line'!$R$2:$R$501,$U152)&amp;"")</f>
        <v/>
      </c>
      <c r="K152">
        <f>IF($U152="","",Settings!$C$7)</f>
        <v/>
      </c>
      <c r="L152" s="7">
        <f>IF($U152="","",SUMIFS('Per Line'!$N$2:$N$501,'Per Line'!$A$2:$A$501,$A152,'Per Line'!$W$2:$W$501,0))</f>
        <v/>
      </c>
      <c r="M152" s="7">
        <f>IF($U152="","",L152*K152)</f>
        <v/>
      </c>
      <c r="N152">
        <f>IF($U152="","",Settings!$C$6)</f>
        <v/>
      </c>
      <c r="O152" s="7">
        <f>IF($U152="","",SUMIFS('Per Line'!$N$2:$N$501,'Per Line'!$A$2:$A$501,$A152,'Per Line'!$W$2:$W$501,1))</f>
        <v/>
      </c>
      <c r="P152" s="7">
        <f>IF($U152="","",O152*N152)</f>
        <v/>
      </c>
      <c r="Q152" s="7">
        <f>IF($U152="","",P152+M152)</f>
        <v/>
      </c>
      <c r="R152" s="7">
        <f>IF($U152="","",S152-Q152)</f>
        <v/>
      </c>
      <c r="S152" s="7">
        <f>IF($U152="","",L152+O152)</f>
        <v/>
      </c>
      <c r="T152" s="7">
        <f>IF($U152="","",S152-Q152-G152)</f>
        <v/>
      </c>
      <c r="U152" s="13">
        <f>IF(ROWS($U$2:$U152)&lt;=MAX('Per Line'!$V$2:$V$501),MATCH(ROWS($U$2:$U152),'Per Line'!$V$2:$V$501,0),"")</f>
        <v/>
      </c>
    </row>
    <row r="153">
      <c r="A153">
        <f>IF($U153="","",INDEX('Per Line'!$A$2:$A$501,$U153)&amp;"")</f>
        <v/>
      </c>
      <c r="B153" s="12" t="n"/>
      <c r="C153">
        <f>IF($U153="","",INDEX('Per Line'!$B$2:$B$501,$U153)&amp;"")</f>
        <v/>
      </c>
      <c r="D153">
        <f>IF($U153="","",INDEX('Per Line'!$C$2:$C$501,$U153)&amp;"")</f>
        <v/>
      </c>
      <c r="E153">
        <f>IF($U153="","",INDEX('Per Line'!$D$2:$D$501,$U153)&amp;"")</f>
        <v/>
      </c>
      <c r="F153">
        <f>IF($U153="","",INDEX('Per Line'!$E$2:$E$501,$U153))</f>
        <v/>
      </c>
      <c r="G153" s="7">
        <f>IF($U153="","",F153*S153/100)</f>
        <v/>
      </c>
      <c r="H153">
        <f>IF($U153="","",INDEX('Per Line'!$O$2:$O$501,$U153)&amp;"")</f>
        <v/>
      </c>
      <c r="I153" s="11">
        <f>IF($U153="","",INDEX('Per Line'!$Q$2:$Q$501,$U153))</f>
        <v/>
      </c>
      <c r="J153">
        <f>IF($U153="","",INDEX('Per Line'!$R$2:$R$501,$U153)&amp;"")</f>
        <v/>
      </c>
      <c r="K153">
        <f>IF($U153="","",Settings!$C$7)</f>
        <v/>
      </c>
      <c r="L153" s="7">
        <f>IF($U153="","",SUMIFS('Per Line'!$N$2:$N$501,'Per Line'!$A$2:$A$501,$A153,'Per Line'!$W$2:$W$501,0))</f>
        <v/>
      </c>
      <c r="M153" s="7">
        <f>IF($U153="","",L153*K153)</f>
        <v/>
      </c>
      <c r="N153">
        <f>IF($U153="","",Settings!$C$6)</f>
        <v/>
      </c>
      <c r="O153" s="7">
        <f>IF($U153="","",SUMIFS('Per Line'!$N$2:$N$501,'Per Line'!$A$2:$A$501,$A153,'Per Line'!$W$2:$W$501,1))</f>
        <v/>
      </c>
      <c r="P153" s="7">
        <f>IF($U153="","",O153*N153)</f>
        <v/>
      </c>
      <c r="Q153" s="7">
        <f>IF($U153="","",P153+M153)</f>
        <v/>
      </c>
      <c r="R153" s="7">
        <f>IF($U153="","",S153-Q153)</f>
        <v/>
      </c>
      <c r="S153" s="7">
        <f>IF($U153="","",L153+O153)</f>
        <v/>
      </c>
      <c r="T153" s="7">
        <f>IF($U153="","",S153-Q153-G153)</f>
        <v/>
      </c>
      <c r="U153" s="13">
        <f>IF(ROWS($U$2:$U153)&lt;=MAX('Per Line'!$V$2:$V$501),MATCH(ROWS($U$2:$U153),'Per Line'!$V$2:$V$501,0),"")</f>
        <v/>
      </c>
    </row>
    <row r="154">
      <c r="A154">
        <f>IF($U154="","",INDEX('Per Line'!$A$2:$A$501,$U154)&amp;"")</f>
        <v/>
      </c>
      <c r="B154" s="12" t="n"/>
      <c r="C154">
        <f>IF($U154="","",INDEX('Per Line'!$B$2:$B$501,$U154)&amp;"")</f>
        <v/>
      </c>
      <c r="D154">
        <f>IF($U154="","",INDEX('Per Line'!$C$2:$C$501,$U154)&amp;"")</f>
        <v/>
      </c>
      <c r="E154">
        <f>IF($U154="","",INDEX('Per Line'!$D$2:$D$501,$U154)&amp;"")</f>
        <v/>
      </c>
      <c r="F154">
        <f>IF($U154="","",INDEX('Per Line'!$E$2:$E$501,$U154))</f>
        <v/>
      </c>
      <c r="G154" s="7">
        <f>IF($U154="","",F154*S154/100)</f>
        <v/>
      </c>
      <c r="H154">
        <f>IF($U154="","",INDEX('Per Line'!$O$2:$O$501,$U154)&amp;"")</f>
        <v/>
      </c>
      <c r="I154" s="11">
        <f>IF($U154="","",INDEX('Per Line'!$Q$2:$Q$501,$U154))</f>
        <v/>
      </c>
      <c r="J154">
        <f>IF($U154="","",INDEX('Per Line'!$R$2:$R$501,$U154)&amp;"")</f>
        <v/>
      </c>
      <c r="K154">
        <f>IF($U154="","",Settings!$C$7)</f>
        <v/>
      </c>
      <c r="L154" s="7">
        <f>IF($U154="","",SUMIFS('Per Line'!$N$2:$N$501,'Per Line'!$A$2:$A$501,$A154,'Per Line'!$W$2:$W$501,0))</f>
        <v/>
      </c>
      <c r="M154" s="7">
        <f>IF($U154="","",L154*K154)</f>
        <v/>
      </c>
      <c r="N154">
        <f>IF($U154="","",Settings!$C$6)</f>
        <v/>
      </c>
      <c r="O154" s="7">
        <f>IF($U154="","",SUMIFS('Per Line'!$N$2:$N$501,'Per Line'!$A$2:$A$501,$A154,'Per Line'!$W$2:$W$501,1))</f>
        <v/>
      </c>
      <c r="P154" s="7">
        <f>IF($U154="","",O154*N154)</f>
        <v/>
      </c>
      <c r="Q154" s="7">
        <f>IF($U154="","",P154+M154)</f>
        <v/>
      </c>
      <c r="R154" s="7">
        <f>IF($U154="","",S154-Q154)</f>
        <v/>
      </c>
      <c r="S154" s="7">
        <f>IF($U154="","",L154+O154)</f>
        <v/>
      </c>
      <c r="T154" s="7">
        <f>IF($U154="","",S154-Q154-G154)</f>
        <v/>
      </c>
      <c r="U154" s="13">
        <f>IF(ROWS($U$2:$U154)&lt;=MAX('Per Line'!$V$2:$V$501),MATCH(ROWS($U$2:$U154),'Per Line'!$V$2:$V$501,0),"")</f>
        <v/>
      </c>
    </row>
    <row r="155">
      <c r="A155">
        <f>IF($U155="","",INDEX('Per Line'!$A$2:$A$501,$U155)&amp;"")</f>
        <v/>
      </c>
      <c r="B155" s="12" t="n"/>
      <c r="C155">
        <f>IF($U155="","",INDEX('Per Line'!$B$2:$B$501,$U155)&amp;"")</f>
        <v/>
      </c>
      <c r="D155">
        <f>IF($U155="","",INDEX('Per Line'!$C$2:$C$501,$U155)&amp;"")</f>
        <v/>
      </c>
      <c r="E155">
        <f>IF($U155="","",INDEX('Per Line'!$D$2:$D$501,$U155)&amp;"")</f>
        <v/>
      </c>
      <c r="F155">
        <f>IF($U155="","",INDEX('Per Line'!$E$2:$E$501,$U155))</f>
        <v/>
      </c>
      <c r="G155" s="7">
        <f>IF($U155="","",F155*S155/100)</f>
        <v/>
      </c>
      <c r="H155">
        <f>IF($U155="","",INDEX('Per Line'!$O$2:$O$501,$U155)&amp;"")</f>
        <v/>
      </c>
      <c r="I155" s="11">
        <f>IF($U155="","",INDEX('Per Line'!$Q$2:$Q$501,$U155))</f>
        <v/>
      </c>
      <c r="J155">
        <f>IF($U155="","",INDEX('Per Line'!$R$2:$R$501,$U155)&amp;"")</f>
        <v/>
      </c>
      <c r="K155">
        <f>IF($U155="","",Settings!$C$7)</f>
        <v/>
      </c>
      <c r="L155" s="7">
        <f>IF($U155="","",SUMIFS('Per Line'!$N$2:$N$501,'Per Line'!$A$2:$A$501,$A155,'Per Line'!$W$2:$W$501,0))</f>
        <v/>
      </c>
      <c r="M155" s="7">
        <f>IF($U155="","",L155*K155)</f>
        <v/>
      </c>
      <c r="N155">
        <f>IF($U155="","",Settings!$C$6)</f>
        <v/>
      </c>
      <c r="O155" s="7">
        <f>IF($U155="","",SUMIFS('Per Line'!$N$2:$N$501,'Per Line'!$A$2:$A$501,$A155,'Per Line'!$W$2:$W$501,1))</f>
        <v/>
      </c>
      <c r="P155" s="7">
        <f>IF($U155="","",O155*N155)</f>
        <v/>
      </c>
      <c r="Q155" s="7">
        <f>IF($U155="","",P155+M155)</f>
        <v/>
      </c>
      <c r="R155" s="7">
        <f>IF($U155="","",S155-Q155)</f>
        <v/>
      </c>
      <c r="S155" s="7">
        <f>IF($U155="","",L155+O155)</f>
        <v/>
      </c>
      <c r="T155" s="7">
        <f>IF($U155="","",S155-Q155-G155)</f>
        <v/>
      </c>
      <c r="U155" s="13">
        <f>IF(ROWS($U$2:$U155)&lt;=MAX('Per Line'!$V$2:$V$501),MATCH(ROWS($U$2:$U155),'Per Line'!$V$2:$V$501,0),"")</f>
        <v/>
      </c>
    </row>
    <row r="156">
      <c r="A156">
        <f>IF($U156="","",INDEX('Per Line'!$A$2:$A$501,$U156)&amp;"")</f>
        <v/>
      </c>
      <c r="B156" s="12" t="n"/>
      <c r="C156">
        <f>IF($U156="","",INDEX('Per Line'!$B$2:$B$501,$U156)&amp;"")</f>
        <v/>
      </c>
      <c r="D156">
        <f>IF($U156="","",INDEX('Per Line'!$C$2:$C$501,$U156)&amp;"")</f>
        <v/>
      </c>
      <c r="E156">
        <f>IF($U156="","",INDEX('Per Line'!$D$2:$D$501,$U156)&amp;"")</f>
        <v/>
      </c>
      <c r="F156">
        <f>IF($U156="","",INDEX('Per Line'!$E$2:$E$501,$U156))</f>
        <v/>
      </c>
      <c r="G156" s="7">
        <f>IF($U156="","",F156*S156/100)</f>
        <v/>
      </c>
      <c r="H156">
        <f>IF($U156="","",INDEX('Per Line'!$O$2:$O$501,$U156)&amp;"")</f>
        <v/>
      </c>
      <c r="I156" s="11">
        <f>IF($U156="","",INDEX('Per Line'!$Q$2:$Q$501,$U156))</f>
        <v/>
      </c>
      <c r="J156">
        <f>IF($U156="","",INDEX('Per Line'!$R$2:$R$501,$U156)&amp;"")</f>
        <v/>
      </c>
      <c r="K156">
        <f>IF($U156="","",Settings!$C$7)</f>
        <v/>
      </c>
      <c r="L156" s="7">
        <f>IF($U156="","",SUMIFS('Per Line'!$N$2:$N$501,'Per Line'!$A$2:$A$501,$A156,'Per Line'!$W$2:$W$501,0))</f>
        <v/>
      </c>
      <c r="M156" s="7">
        <f>IF($U156="","",L156*K156)</f>
        <v/>
      </c>
      <c r="N156">
        <f>IF($U156="","",Settings!$C$6)</f>
        <v/>
      </c>
      <c r="O156" s="7">
        <f>IF($U156="","",SUMIFS('Per Line'!$N$2:$N$501,'Per Line'!$A$2:$A$501,$A156,'Per Line'!$W$2:$W$501,1))</f>
        <v/>
      </c>
      <c r="P156" s="7">
        <f>IF($U156="","",O156*N156)</f>
        <v/>
      </c>
      <c r="Q156" s="7">
        <f>IF($U156="","",P156+M156)</f>
        <v/>
      </c>
      <c r="R156" s="7">
        <f>IF($U156="","",S156-Q156)</f>
        <v/>
      </c>
      <c r="S156" s="7">
        <f>IF($U156="","",L156+O156)</f>
        <v/>
      </c>
      <c r="T156" s="7">
        <f>IF($U156="","",S156-Q156-G156)</f>
        <v/>
      </c>
      <c r="U156" s="13">
        <f>IF(ROWS($U$2:$U156)&lt;=MAX('Per Line'!$V$2:$V$501),MATCH(ROWS($U$2:$U156),'Per Line'!$V$2:$V$501,0),"")</f>
        <v/>
      </c>
    </row>
    <row r="157">
      <c r="A157">
        <f>IF($U157="","",INDEX('Per Line'!$A$2:$A$501,$U157)&amp;"")</f>
        <v/>
      </c>
      <c r="B157" s="12" t="n"/>
      <c r="C157">
        <f>IF($U157="","",INDEX('Per Line'!$B$2:$B$501,$U157)&amp;"")</f>
        <v/>
      </c>
      <c r="D157">
        <f>IF($U157="","",INDEX('Per Line'!$C$2:$C$501,$U157)&amp;"")</f>
        <v/>
      </c>
      <c r="E157">
        <f>IF($U157="","",INDEX('Per Line'!$D$2:$D$501,$U157)&amp;"")</f>
        <v/>
      </c>
      <c r="F157">
        <f>IF($U157="","",INDEX('Per Line'!$E$2:$E$501,$U157))</f>
        <v/>
      </c>
      <c r="G157" s="7">
        <f>IF($U157="","",F157*S157/100)</f>
        <v/>
      </c>
      <c r="H157">
        <f>IF($U157="","",INDEX('Per Line'!$O$2:$O$501,$U157)&amp;"")</f>
        <v/>
      </c>
      <c r="I157" s="11">
        <f>IF($U157="","",INDEX('Per Line'!$Q$2:$Q$501,$U157))</f>
        <v/>
      </c>
      <c r="J157">
        <f>IF($U157="","",INDEX('Per Line'!$R$2:$R$501,$U157)&amp;"")</f>
        <v/>
      </c>
      <c r="K157">
        <f>IF($U157="","",Settings!$C$7)</f>
        <v/>
      </c>
      <c r="L157" s="7">
        <f>IF($U157="","",SUMIFS('Per Line'!$N$2:$N$501,'Per Line'!$A$2:$A$501,$A157,'Per Line'!$W$2:$W$501,0))</f>
        <v/>
      </c>
      <c r="M157" s="7">
        <f>IF($U157="","",L157*K157)</f>
        <v/>
      </c>
      <c r="N157">
        <f>IF($U157="","",Settings!$C$6)</f>
        <v/>
      </c>
      <c r="O157" s="7">
        <f>IF($U157="","",SUMIFS('Per Line'!$N$2:$N$501,'Per Line'!$A$2:$A$501,$A157,'Per Line'!$W$2:$W$501,1))</f>
        <v/>
      </c>
      <c r="P157" s="7">
        <f>IF($U157="","",O157*N157)</f>
        <v/>
      </c>
      <c r="Q157" s="7">
        <f>IF($U157="","",P157+M157)</f>
        <v/>
      </c>
      <c r="R157" s="7">
        <f>IF($U157="","",S157-Q157)</f>
        <v/>
      </c>
      <c r="S157" s="7">
        <f>IF($U157="","",L157+O157)</f>
        <v/>
      </c>
      <c r="T157" s="7">
        <f>IF($U157="","",S157-Q157-G157)</f>
        <v/>
      </c>
      <c r="U157" s="13">
        <f>IF(ROWS($U$2:$U157)&lt;=MAX('Per Line'!$V$2:$V$501),MATCH(ROWS($U$2:$U157),'Per Line'!$V$2:$V$501,0),"")</f>
        <v/>
      </c>
    </row>
    <row r="158">
      <c r="A158">
        <f>IF($U158="","",INDEX('Per Line'!$A$2:$A$501,$U158)&amp;"")</f>
        <v/>
      </c>
      <c r="B158" s="12" t="n"/>
      <c r="C158">
        <f>IF($U158="","",INDEX('Per Line'!$B$2:$B$501,$U158)&amp;"")</f>
        <v/>
      </c>
      <c r="D158">
        <f>IF($U158="","",INDEX('Per Line'!$C$2:$C$501,$U158)&amp;"")</f>
        <v/>
      </c>
      <c r="E158">
        <f>IF($U158="","",INDEX('Per Line'!$D$2:$D$501,$U158)&amp;"")</f>
        <v/>
      </c>
      <c r="F158">
        <f>IF($U158="","",INDEX('Per Line'!$E$2:$E$501,$U158))</f>
        <v/>
      </c>
      <c r="G158" s="7">
        <f>IF($U158="","",F158*S158/100)</f>
        <v/>
      </c>
      <c r="H158">
        <f>IF($U158="","",INDEX('Per Line'!$O$2:$O$501,$U158)&amp;"")</f>
        <v/>
      </c>
      <c r="I158" s="11">
        <f>IF($U158="","",INDEX('Per Line'!$Q$2:$Q$501,$U158))</f>
        <v/>
      </c>
      <c r="J158">
        <f>IF($U158="","",INDEX('Per Line'!$R$2:$R$501,$U158)&amp;"")</f>
        <v/>
      </c>
      <c r="K158">
        <f>IF($U158="","",Settings!$C$7)</f>
        <v/>
      </c>
      <c r="L158" s="7">
        <f>IF($U158="","",SUMIFS('Per Line'!$N$2:$N$501,'Per Line'!$A$2:$A$501,$A158,'Per Line'!$W$2:$W$501,0))</f>
        <v/>
      </c>
      <c r="M158" s="7">
        <f>IF($U158="","",L158*K158)</f>
        <v/>
      </c>
      <c r="N158">
        <f>IF($U158="","",Settings!$C$6)</f>
        <v/>
      </c>
      <c r="O158" s="7">
        <f>IF($U158="","",SUMIFS('Per Line'!$N$2:$N$501,'Per Line'!$A$2:$A$501,$A158,'Per Line'!$W$2:$W$501,1))</f>
        <v/>
      </c>
      <c r="P158" s="7">
        <f>IF($U158="","",O158*N158)</f>
        <v/>
      </c>
      <c r="Q158" s="7">
        <f>IF($U158="","",P158+M158)</f>
        <v/>
      </c>
      <c r="R158" s="7">
        <f>IF($U158="","",S158-Q158)</f>
        <v/>
      </c>
      <c r="S158" s="7">
        <f>IF($U158="","",L158+O158)</f>
        <v/>
      </c>
      <c r="T158" s="7">
        <f>IF($U158="","",S158-Q158-G158)</f>
        <v/>
      </c>
      <c r="U158" s="13">
        <f>IF(ROWS($U$2:$U158)&lt;=MAX('Per Line'!$V$2:$V$501),MATCH(ROWS($U$2:$U158),'Per Line'!$V$2:$V$501,0),"")</f>
        <v/>
      </c>
    </row>
    <row r="159">
      <c r="A159">
        <f>IF($U159="","",INDEX('Per Line'!$A$2:$A$501,$U159)&amp;"")</f>
        <v/>
      </c>
      <c r="B159" s="12" t="n"/>
      <c r="C159">
        <f>IF($U159="","",INDEX('Per Line'!$B$2:$B$501,$U159)&amp;"")</f>
        <v/>
      </c>
      <c r="D159">
        <f>IF($U159="","",INDEX('Per Line'!$C$2:$C$501,$U159)&amp;"")</f>
        <v/>
      </c>
      <c r="E159">
        <f>IF($U159="","",INDEX('Per Line'!$D$2:$D$501,$U159)&amp;"")</f>
        <v/>
      </c>
      <c r="F159">
        <f>IF($U159="","",INDEX('Per Line'!$E$2:$E$501,$U159))</f>
        <v/>
      </c>
      <c r="G159" s="7">
        <f>IF($U159="","",F159*S159/100)</f>
        <v/>
      </c>
      <c r="H159">
        <f>IF($U159="","",INDEX('Per Line'!$O$2:$O$501,$U159)&amp;"")</f>
        <v/>
      </c>
      <c r="I159" s="11">
        <f>IF($U159="","",INDEX('Per Line'!$Q$2:$Q$501,$U159))</f>
        <v/>
      </c>
      <c r="J159">
        <f>IF($U159="","",INDEX('Per Line'!$R$2:$R$501,$U159)&amp;"")</f>
        <v/>
      </c>
      <c r="K159">
        <f>IF($U159="","",Settings!$C$7)</f>
        <v/>
      </c>
      <c r="L159" s="7">
        <f>IF($U159="","",SUMIFS('Per Line'!$N$2:$N$501,'Per Line'!$A$2:$A$501,$A159,'Per Line'!$W$2:$W$501,0))</f>
        <v/>
      </c>
      <c r="M159" s="7">
        <f>IF($U159="","",L159*K159)</f>
        <v/>
      </c>
      <c r="N159">
        <f>IF($U159="","",Settings!$C$6)</f>
        <v/>
      </c>
      <c r="O159" s="7">
        <f>IF($U159="","",SUMIFS('Per Line'!$N$2:$N$501,'Per Line'!$A$2:$A$501,$A159,'Per Line'!$W$2:$W$501,1))</f>
        <v/>
      </c>
      <c r="P159" s="7">
        <f>IF($U159="","",O159*N159)</f>
        <v/>
      </c>
      <c r="Q159" s="7">
        <f>IF($U159="","",P159+M159)</f>
        <v/>
      </c>
      <c r="R159" s="7">
        <f>IF($U159="","",S159-Q159)</f>
        <v/>
      </c>
      <c r="S159" s="7">
        <f>IF($U159="","",L159+O159)</f>
        <v/>
      </c>
      <c r="T159" s="7">
        <f>IF($U159="","",S159-Q159-G159)</f>
        <v/>
      </c>
      <c r="U159" s="13">
        <f>IF(ROWS($U$2:$U159)&lt;=MAX('Per Line'!$V$2:$V$501),MATCH(ROWS($U$2:$U159),'Per Line'!$V$2:$V$501,0),"")</f>
        <v/>
      </c>
    </row>
    <row r="160">
      <c r="A160">
        <f>IF($U160="","",INDEX('Per Line'!$A$2:$A$501,$U160)&amp;"")</f>
        <v/>
      </c>
      <c r="B160" s="12" t="n"/>
      <c r="C160">
        <f>IF($U160="","",INDEX('Per Line'!$B$2:$B$501,$U160)&amp;"")</f>
        <v/>
      </c>
      <c r="D160">
        <f>IF($U160="","",INDEX('Per Line'!$C$2:$C$501,$U160)&amp;"")</f>
        <v/>
      </c>
      <c r="E160">
        <f>IF($U160="","",INDEX('Per Line'!$D$2:$D$501,$U160)&amp;"")</f>
        <v/>
      </c>
      <c r="F160">
        <f>IF($U160="","",INDEX('Per Line'!$E$2:$E$501,$U160))</f>
        <v/>
      </c>
      <c r="G160" s="7">
        <f>IF($U160="","",F160*S160/100)</f>
        <v/>
      </c>
      <c r="H160">
        <f>IF($U160="","",INDEX('Per Line'!$O$2:$O$501,$U160)&amp;"")</f>
        <v/>
      </c>
      <c r="I160" s="11">
        <f>IF($U160="","",INDEX('Per Line'!$Q$2:$Q$501,$U160))</f>
        <v/>
      </c>
      <c r="J160">
        <f>IF($U160="","",INDEX('Per Line'!$R$2:$R$501,$U160)&amp;"")</f>
        <v/>
      </c>
      <c r="K160">
        <f>IF($U160="","",Settings!$C$7)</f>
        <v/>
      </c>
      <c r="L160" s="7">
        <f>IF($U160="","",SUMIFS('Per Line'!$N$2:$N$501,'Per Line'!$A$2:$A$501,$A160,'Per Line'!$W$2:$W$501,0))</f>
        <v/>
      </c>
      <c r="M160" s="7">
        <f>IF($U160="","",L160*K160)</f>
        <v/>
      </c>
      <c r="N160">
        <f>IF($U160="","",Settings!$C$6)</f>
        <v/>
      </c>
      <c r="O160" s="7">
        <f>IF($U160="","",SUMIFS('Per Line'!$N$2:$N$501,'Per Line'!$A$2:$A$501,$A160,'Per Line'!$W$2:$W$501,1))</f>
        <v/>
      </c>
      <c r="P160" s="7">
        <f>IF($U160="","",O160*N160)</f>
        <v/>
      </c>
      <c r="Q160" s="7">
        <f>IF($U160="","",P160+M160)</f>
        <v/>
      </c>
      <c r="R160" s="7">
        <f>IF($U160="","",S160-Q160)</f>
        <v/>
      </c>
      <c r="S160" s="7">
        <f>IF($U160="","",L160+O160)</f>
        <v/>
      </c>
      <c r="T160" s="7">
        <f>IF($U160="","",S160-Q160-G160)</f>
        <v/>
      </c>
      <c r="U160" s="13">
        <f>IF(ROWS($U$2:$U160)&lt;=MAX('Per Line'!$V$2:$V$501),MATCH(ROWS($U$2:$U160),'Per Line'!$V$2:$V$501,0),"")</f>
        <v/>
      </c>
    </row>
    <row r="161">
      <c r="A161">
        <f>IF($U161="","",INDEX('Per Line'!$A$2:$A$501,$U161)&amp;"")</f>
        <v/>
      </c>
      <c r="B161" s="12" t="n"/>
      <c r="C161">
        <f>IF($U161="","",INDEX('Per Line'!$B$2:$B$501,$U161)&amp;"")</f>
        <v/>
      </c>
      <c r="D161">
        <f>IF($U161="","",INDEX('Per Line'!$C$2:$C$501,$U161)&amp;"")</f>
        <v/>
      </c>
      <c r="E161">
        <f>IF($U161="","",INDEX('Per Line'!$D$2:$D$501,$U161)&amp;"")</f>
        <v/>
      </c>
      <c r="F161">
        <f>IF($U161="","",INDEX('Per Line'!$E$2:$E$501,$U161))</f>
        <v/>
      </c>
      <c r="G161" s="7">
        <f>IF($U161="","",F161*S161/100)</f>
        <v/>
      </c>
      <c r="H161">
        <f>IF($U161="","",INDEX('Per Line'!$O$2:$O$501,$U161)&amp;"")</f>
        <v/>
      </c>
      <c r="I161" s="11">
        <f>IF($U161="","",INDEX('Per Line'!$Q$2:$Q$501,$U161))</f>
        <v/>
      </c>
      <c r="J161">
        <f>IF($U161="","",INDEX('Per Line'!$R$2:$R$501,$U161)&amp;"")</f>
        <v/>
      </c>
      <c r="K161">
        <f>IF($U161="","",Settings!$C$7)</f>
        <v/>
      </c>
      <c r="L161" s="7">
        <f>IF($U161="","",SUMIFS('Per Line'!$N$2:$N$501,'Per Line'!$A$2:$A$501,$A161,'Per Line'!$W$2:$W$501,0))</f>
        <v/>
      </c>
      <c r="M161" s="7">
        <f>IF($U161="","",L161*K161)</f>
        <v/>
      </c>
      <c r="N161">
        <f>IF($U161="","",Settings!$C$6)</f>
        <v/>
      </c>
      <c r="O161" s="7">
        <f>IF($U161="","",SUMIFS('Per Line'!$N$2:$N$501,'Per Line'!$A$2:$A$501,$A161,'Per Line'!$W$2:$W$501,1))</f>
        <v/>
      </c>
      <c r="P161" s="7">
        <f>IF($U161="","",O161*N161)</f>
        <v/>
      </c>
      <c r="Q161" s="7">
        <f>IF($U161="","",P161+M161)</f>
        <v/>
      </c>
      <c r="R161" s="7">
        <f>IF($U161="","",S161-Q161)</f>
        <v/>
      </c>
      <c r="S161" s="7">
        <f>IF($U161="","",L161+O161)</f>
        <v/>
      </c>
      <c r="T161" s="7">
        <f>IF($U161="","",S161-Q161-G161)</f>
        <v/>
      </c>
      <c r="U161" s="13">
        <f>IF(ROWS($U$2:$U161)&lt;=MAX('Per Line'!$V$2:$V$501),MATCH(ROWS($U$2:$U161),'Per Line'!$V$2:$V$501,0),"")</f>
        <v/>
      </c>
    </row>
    <row r="162">
      <c r="A162">
        <f>IF($U162="","",INDEX('Per Line'!$A$2:$A$501,$U162)&amp;"")</f>
        <v/>
      </c>
      <c r="B162" s="12" t="n"/>
      <c r="C162">
        <f>IF($U162="","",INDEX('Per Line'!$B$2:$B$501,$U162)&amp;"")</f>
        <v/>
      </c>
      <c r="D162">
        <f>IF($U162="","",INDEX('Per Line'!$C$2:$C$501,$U162)&amp;"")</f>
        <v/>
      </c>
      <c r="E162">
        <f>IF($U162="","",INDEX('Per Line'!$D$2:$D$501,$U162)&amp;"")</f>
        <v/>
      </c>
      <c r="F162">
        <f>IF($U162="","",INDEX('Per Line'!$E$2:$E$501,$U162))</f>
        <v/>
      </c>
      <c r="G162" s="7">
        <f>IF($U162="","",F162*S162/100)</f>
        <v/>
      </c>
      <c r="H162">
        <f>IF($U162="","",INDEX('Per Line'!$O$2:$O$501,$U162)&amp;"")</f>
        <v/>
      </c>
      <c r="I162" s="11">
        <f>IF($U162="","",INDEX('Per Line'!$Q$2:$Q$501,$U162))</f>
        <v/>
      </c>
      <c r="J162">
        <f>IF($U162="","",INDEX('Per Line'!$R$2:$R$501,$U162)&amp;"")</f>
        <v/>
      </c>
      <c r="K162">
        <f>IF($U162="","",Settings!$C$7)</f>
        <v/>
      </c>
      <c r="L162" s="7">
        <f>IF($U162="","",SUMIFS('Per Line'!$N$2:$N$501,'Per Line'!$A$2:$A$501,$A162,'Per Line'!$W$2:$W$501,0))</f>
        <v/>
      </c>
      <c r="M162" s="7">
        <f>IF($U162="","",L162*K162)</f>
        <v/>
      </c>
      <c r="N162">
        <f>IF($U162="","",Settings!$C$6)</f>
        <v/>
      </c>
      <c r="O162" s="7">
        <f>IF($U162="","",SUMIFS('Per Line'!$N$2:$N$501,'Per Line'!$A$2:$A$501,$A162,'Per Line'!$W$2:$W$501,1))</f>
        <v/>
      </c>
      <c r="P162" s="7">
        <f>IF($U162="","",O162*N162)</f>
        <v/>
      </c>
      <c r="Q162" s="7">
        <f>IF($U162="","",P162+M162)</f>
        <v/>
      </c>
      <c r="R162" s="7">
        <f>IF($U162="","",S162-Q162)</f>
        <v/>
      </c>
      <c r="S162" s="7">
        <f>IF($U162="","",L162+O162)</f>
        <v/>
      </c>
      <c r="T162" s="7">
        <f>IF($U162="","",S162-Q162-G162)</f>
        <v/>
      </c>
      <c r="U162" s="13">
        <f>IF(ROWS($U$2:$U162)&lt;=MAX('Per Line'!$V$2:$V$501),MATCH(ROWS($U$2:$U162),'Per Line'!$V$2:$V$501,0),"")</f>
        <v/>
      </c>
    </row>
    <row r="163">
      <c r="A163">
        <f>IF($U163="","",INDEX('Per Line'!$A$2:$A$501,$U163)&amp;"")</f>
        <v/>
      </c>
      <c r="B163" s="12" t="n"/>
      <c r="C163">
        <f>IF($U163="","",INDEX('Per Line'!$B$2:$B$501,$U163)&amp;"")</f>
        <v/>
      </c>
      <c r="D163">
        <f>IF($U163="","",INDEX('Per Line'!$C$2:$C$501,$U163)&amp;"")</f>
        <v/>
      </c>
      <c r="E163">
        <f>IF($U163="","",INDEX('Per Line'!$D$2:$D$501,$U163)&amp;"")</f>
        <v/>
      </c>
      <c r="F163">
        <f>IF($U163="","",INDEX('Per Line'!$E$2:$E$501,$U163))</f>
        <v/>
      </c>
      <c r="G163" s="7">
        <f>IF($U163="","",F163*S163/100)</f>
        <v/>
      </c>
      <c r="H163">
        <f>IF($U163="","",INDEX('Per Line'!$O$2:$O$501,$U163)&amp;"")</f>
        <v/>
      </c>
      <c r="I163" s="11">
        <f>IF($U163="","",INDEX('Per Line'!$Q$2:$Q$501,$U163))</f>
        <v/>
      </c>
      <c r="J163">
        <f>IF($U163="","",INDEX('Per Line'!$R$2:$R$501,$U163)&amp;"")</f>
        <v/>
      </c>
      <c r="K163">
        <f>IF($U163="","",Settings!$C$7)</f>
        <v/>
      </c>
      <c r="L163" s="7">
        <f>IF($U163="","",SUMIFS('Per Line'!$N$2:$N$501,'Per Line'!$A$2:$A$501,$A163,'Per Line'!$W$2:$W$501,0))</f>
        <v/>
      </c>
      <c r="M163" s="7">
        <f>IF($U163="","",L163*K163)</f>
        <v/>
      </c>
      <c r="N163">
        <f>IF($U163="","",Settings!$C$6)</f>
        <v/>
      </c>
      <c r="O163" s="7">
        <f>IF($U163="","",SUMIFS('Per Line'!$N$2:$N$501,'Per Line'!$A$2:$A$501,$A163,'Per Line'!$W$2:$W$501,1))</f>
        <v/>
      </c>
      <c r="P163" s="7">
        <f>IF($U163="","",O163*N163)</f>
        <v/>
      </c>
      <c r="Q163" s="7">
        <f>IF($U163="","",P163+M163)</f>
        <v/>
      </c>
      <c r="R163" s="7">
        <f>IF($U163="","",S163-Q163)</f>
        <v/>
      </c>
      <c r="S163" s="7">
        <f>IF($U163="","",L163+O163)</f>
        <v/>
      </c>
      <c r="T163" s="7">
        <f>IF($U163="","",S163-Q163-G163)</f>
        <v/>
      </c>
      <c r="U163" s="13">
        <f>IF(ROWS($U$2:$U163)&lt;=MAX('Per Line'!$V$2:$V$501),MATCH(ROWS($U$2:$U163),'Per Line'!$V$2:$V$501,0),"")</f>
        <v/>
      </c>
    </row>
    <row r="164">
      <c r="A164">
        <f>IF($U164="","",INDEX('Per Line'!$A$2:$A$501,$U164)&amp;"")</f>
        <v/>
      </c>
      <c r="B164" s="12" t="n"/>
      <c r="C164">
        <f>IF($U164="","",INDEX('Per Line'!$B$2:$B$501,$U164)&amp;"")</f>
        <v/>
      </c>
      <c r="D164">
        <f>IF($U164="","",INDEX('Per Line'!$C$2:$C$501,$U164)&amp;"")</f>
        <v/>
      </c>
      <c r="E164">
        <f>IF($U164="","",INDEX('Per Line'!$D$2:$D$501,$U164)&amp;"")</f>
        <v/>
      </c>
      <c r="F164">
        <f>IF($U164="","",INDEX('Per Line'!$E$2:$E$501,$U164))</f>
        <v/>
      </c>
      <c r="G164" s="7">
        <f>IF($U164="","",F164*S164/100)</f>
        <v/>
      </c>
      <c r="H164">
        <f>IF($U164="","",INDEX('Per Line'!$O$2:$O$501,$U164)&amp;"")</f>
        <v/>
      </c>
      <c r="I164" s="11">
        <f>IF($U164="","",INDEX('Per Line'!$Q$2:$Q$501,$U164))</f>
        <v/>
      </c>
      <c r="J164">
        <f>IF($U164="","",INDEX('Per Line'!$R$2:$R$501,$U164)&amp;"")</f>
        <v/>
      </c>
      <c r="K164">
        <f>IF($U164="","",Settings!$C$7)</f>
        <v/>
      </c>
      <c r="L164" s="7">
        <f>IF($U164="","",SUMIFS('Per Line'!$N$2:$N$501,'Per Line'!$A$2:$A$501,$A164,'Per Line'!$W$2:$W$501,0))</f>
        <v/>
      </c>
      <c r="M164" s="7">
        <f>IF($U164="","",L164*K164)</f>
        <v/>
      </c>
      <c r="N164">
        <f>IF($U164="","",Settings!$C$6)</f>
        <v/>
      </c>
      <c r="O164" s="7">
        <f>IF($U164="","",SUMIFS('Per Line'!$N$2:$N$501,'Per Line'!$A$2:$A$501,$A164,'Per Line'!$W$2:$W$501,1))</f>
        <v/>
      </c>
      <c r="P164" s="7">
        <f>IF($U164="","",O164*N164)</f>
        <v/>
      </c>
      <c r="Q164" s="7">
        <f>IF($U164="","",P164+M164)</f>
        <v/>
      </c>
      <c r="R164" s="7">
        <f>IF($U164="","",S164-Q164)</f>
        <v/>
      </c>
      <c r="S164" s="7">
        <f>IF($U164="","",L164+O164)</f>
        <v/>
      </c>
      <c r="T164" s="7">
        <f>IF($U164="","",S164-Q164-G164)</f>
        <v/>
      </c>
      <c r="U164" s="13">
        <f>IF(ROWS($U$2:$U164)&lt;=MAX('Per Line'!$V$2:$V$501),MATCH(ROWS($U$2:$U164),'Per Line'!$V$2:$V$501,0),"")</f>
        <v/>
      </c>
    </row>
    <row r="165">
      <c r="A165">
        <f>IF($U165="","",INDEX('Per Line'!$A$2:$A$501,$U165)&amp;"")</f>
        <v/>
      </c>
      <c r="B165" s="12" t="n"/>
      <c r="C165">
        <f>IF($U165="","",INDEX('Per Line'!$B$2:$B$501,$U165)&amp;"")</f>
        <v/>
      </c>
      <c r="D165">
        <f>IF($U165="","",INDEX('Per Line'!$C$2:$C$501,$U165)&amp;"")</f>
        <v/>
      </c>
      <c r="E165">
        <f>IF($U165="","",INDEX('Per Line'!$D$2:$D$501,$U165)&amp;"")</f>
        <v/>
      </c>
      <c r="F165">
        <f>IF($U165="","",INDEX('Per Line'!$E$2:$E$501,$U165))</f>
        <v/>
      </c>
      <c r="G165" s="7">
        <f>IF($U165="","",F165*S165/100)</f>
        <v/>
      </c>
      <c r="H165">
        <f>IF($U165="","",INDEX('Per Line'!$O$2:$O$501,$U165)&amp;"")</f>
        <v/>
      </c>
      <c r="I165" s="11">
        <f>IF($U165="","",INDEX('Per Line'!$Q$2:$Q$501,$U165))</f>
        <v/>
      </c>
      <c r="J165">
        <f>IF($U165="","",INDEX('Per Line'!$R$2:$R$501,$U165)&amp;"")</f>
        <v/>
      </c>
      <c r="K165">
        <f>IF($U165="","",Settings!$C$7)</f>
        <v/>
      </c>
      <c r="L165" s="7">
        <f>IF($U165="","",SUMIFS('Per Line'!$N$2:$N$501,'Per Line'!$A$2:$A$501,$A165,'Per Line'!$W$2:$W$501,0))</f>
        <v/>
      </c>
      <c r="M165" s="7">
        <f>IF($U165="","",L165*K165)</f>
        <v/>
      </c>
      <c r="N165">
        <f>IF($U165="","",Settings!$C$6)</f>
        <v/>
      </c>
      <c r="O165" s="7">
        <f>IF($U165="","",SUMIFS('Per Line'!$N$2:$N$501,'Per Line'!$A$2:$A$501,$A165,'Per Line'!$W$2:$W$501,1))</f>
        <v/>
      </c>
      <c r="P165" s="7">
        <f>IF($U165="","",O165*N165)</f>
        <v/>
      </c>
      <c r="Q165" s="7">
        <f>IF($U165="","",P165+M165)</f>
        <v/>
      </c>
      <c r="R165" s="7">
        <f>IF($U165="","",S165-Q165)</f>
        <v/>
      </c>
      <c r="S165" s="7">
        <f>IF($U165="","",L165+O165)</f>
        <v/>
      </c>
      <c r="T165" s="7">
        <f>IF($U165="","",S165-Q165-G165)</f>
        <v/>
      </c>
      <c r="U165" s="13">
        <f>IF(ROWS($U$2:$U165)&lt;=MAX('Per Line'!$V$2:$V$501),MATCH(ROWS($U$2:$U165),'Per Line'!$V$2:$V$501,0),"")</f>
        <v/>
      </c>
    </row>
    <row r="166">
      <c r="A166">
        <f>IF($U166="","",INDEX('Per Line'!$A$2:$A$501,$U166)&amp;"")</f>
        <v/>
      </c>
      <c r="B166" s="12" t="n"/>
      <c r="C166">
        <f>IF($U166="","",INDEX('Per Line'!$B$2:$B$501,$U166)&amp;"")</f>
        <v/>
      </c>
      <c r="D166">
        <f>IF($U166="","",INDEX('Per Line'!$C$2:$C$501,$U166)&amp;"")</f>
        <v/>
      </c>
      <c r="E166">
        <f>IF($U166="","",INDEX('Per Line'!$D$2:$D$501,$U166)&amp;"")</f>
        <v/>
      </c>
      <c r="F166">
        <f>IF($U166="","",INDEX('Per Line'!$E$2:$E$501,$U166))</f>
        <v/>
      </c>
      <c r="G166" s="7">
        <f>IF($U166="","",F166*S166/100)</f>
        <v/>
      </c>
      <c r="H166">
        <f>IF($U166="","",INDEX('Per Line'!$O$2:$O$501,$U166)&amp;"")</f>
        <v/>
      </c>
      <c r="I166" s="11">
        <f>IF($U166="","",INDEX('Per Line'!$Q$2:$Q$501,$U166))</f>
        <v/>
      </c>
      <c r="J166">
        <f>IF($U166="","",INDEX('Per Line'!$R$2:$R$501,$U166)&amp;"")</f>
        <v/>
      </c>
      <c r="K166">
        <f>IF($U166="","",Settings!$C$7)</f>
        <v/>
      </c>
      <c r="L166" s="7">
        <f>IF($U166="","",SUMIFS('Per Line'!$N$2:$N$501,'Per Line'!$A$2:$A$501,$A166,'Per Line'!$W$2:$W$501,0))</f>
        <v/>
      </c>
      <c r="M166" s="7">
        <f>IF($U166="","",L166*K166)</f>
        <v/>
      </c>
      <c r="N166">
        <f>IF($U166="","",Settings!$C$6)</f>
        <v/>
      </c>
      <c r="O166" s="7">
        <f>IF($U166="","",SUMIFS('Per Line'!$N$2:$N$501,'Per Line'!$A$2:$A$501,$A166,'Per Line'!$W$2:$W$501,1))</f>
        <v/>
      </c>
      <c r="P166" s="7">
        <f>IF($U166="","",O166*N166)</f>
        <v/>
      </c>
      <c r="Q166" s="7">
        <f>IF($U166="","",P166+M166)</f>
        <v/>
      </c>
      <c r="R166" s="7">
        <f>IF($U166="","",S166-Q166)</f>
        <v/>
      </c>
      <c r="S166" s="7">
        <f>IF($U166="","",L166+O166)</f>
        <v/>
      </c>
      <c r="T166" s="7">
        <f>IF($U166="","",S166-Q166-G166)</f>
        <v/>
      </c>
      <c r="U166" s="13">
        <f>IF(ROWS($U$2:$U166)&lt;=MAX('Per Line'!$V$2:$V$501),MATCH(ROWS($U$2:$U166),'Per Line'!$V$2:$V$501,0),"")</f>
        <v/>
      </c>
    </row>
    <row r="167">
      <c r="A167">
        <f>IF($U167="","",INDEX('Per Line'!$A$2:$A$501,$U167)&amp;"")</f>
        <v/>
      </c>
      <c r="B167" s="12" t="n"/>
      <c r="C167">
        <f>IF($U167="","",INDEX('Per Line'!$B$2:$B$501,$U167)&amp;"")</f>
        <v/>
      </c>
      <c r="D167">
        <f>IF($U167="","",INDEX('Per Line'!$C$2:$C$501,$U167)&amp;"")</f>
        <v/>
      </c>
      <c r="E167">
        <f>IF($U167="","",INDEX('Per Line'!$D$2:$D$501,$U167)&amp;"")</f>
        <v/>
      </c>
      <c r="F167">
        <f>IF($U167="","",INDEX('Per Line'!$E$2:$E$501,$U167))</f>
        <v/>
      </c>
      <c r="G167" s="7">
        <f>IF($U167="","",F167*S167/100)</f>
        <v/>
      </c>
      <c r="H167">
        <f>IF($U167="","",INDEX('Per Line'!$O$2:$O$501,$U167)&amp;"")</f>
        <v/>
      </c>
      <c r="I167" s="11">
        <f>IF($U167="","",INDEX('Per Line'!$Q$2:$Q$501,$U167))</f>
        <v/>
      </c>
      <c r="J167">
        <f>IF($U167="","",INDEX('Per Line'!$R$2:$R$501,$U167)&amp;"")</f>
        <v/>
      </c>
      <c r="K167">
        <f>IF($U167="","",Settings!$C$7)</f>
        <v/>
      </c>
      <c r="L167" s="7">
        <f>IF($U167="","",SUMIFS('Per Line'!$N$2:$N$501,'Per Line'!$A$2:$A$501,$A167,'Per Line'!$W$2:$W$501,0))</f>
        <v/>
      </c>
      <c r="M167" s="7">
        <f>IF($U167="","",L167*K167)</f>
        <v/>
      </c>
      <c r="N167">
        <f>IF($U167="","",Settings!$C$6)</f>
        <v/>
      </c>
      <c r="O167" s="7">
        <f>IF($U167="","",SUMIFS('Per Line'!$N$2:$N$501,'Per Line'!$A$2:$A$501,$A167,'Per Line'!$W$2:$W$501,1))</f>
        <v/>
      </c>
      <c r="P167" s="7">
        <f>IF($U167="","",O167*N167)</f>
        <v/>
      </c>
      <c r="Q167" s="7">
        <f>IF($U167="","",P167+M167)</f>
        <v/>
      </c>
      <c r="R167" s="7">
        <f>IF($U167="","",S167-Q167)</f>
        <v/>
      </c>
      <c r="S167" s="7">
        <f>IF($U167="","",L167+O167)</f>
        <v/>
      </c>
      <c r="T167" s="7">
        <f>IF($U167="","",S167-Q167-G167)</f>
        <v/>
      </c>
      <c r="U167" s="13">
        <f>IF(ROWS($U$2:$U167)&lt;=MAX('Per Line'!$V$2:$V$501),MATCH(ROWS($U$2:$U167),'Per Line'!$V$2:$V$501,0),"")</f>
        <v/>
      </c>
    </row>
    <row r="168">
      <c r="A168">
        <f>IF($U168="","",INDEX('Per Line'!$A$2:$A$501,$U168)&amp;"")</f>
        <v/>
      </c>
      <c r="B168" s="12" t="n"/>
      <c r="C168">
        <f>IF($U168="","",INDEX('Per Line'!$B$2:$B$501,$U168)&amp;"")</f>
        <v/>
      </c>
      <c r="D168">
        <f>IF($U168="","",INDEX('Per Line'!$C$2:$C$501,$U168)&amp;"")</f>
        <v/>
      </c>
      <c r="E168">
        <f>IF($U168="","",INDEX('Per Line'!$D$2:$D$501,$U168)&amp;"")</f>
        <v/>
      </c>
      <c r="F168">
        <f>IF($U168="","",INDEX('Per Line'!$E$2:$E$501,$U168))</f>
        <v/>
      </c>
      <c r="G168" s="7">
        <f>IF($U168="","",F168*S168/100)</f>
        <v/>
      </c>
      <c r="H168">
        <f>IF($U168="","",INDEX('Per Line'!$O$2:$O$501,$U168)&amp;"")</f>
        <v/>
      </c>
      <c r="I168" s="11">
        <f>IF($U168="","",INDEX('Per Line'!$Q$2:$Q$501,$U168))</f>
        <v/>
      </c>
      <c r="J168">
        <f>IF($U168="","",INDEX('Per Line'!$R$2:$R$501,$U168)&amp;"")</f>
        <v/>
      </c>
      <c r="K168">
        <f>IF($U168="","",Settings!$C$7)</f>
        <v/>
      </c>
      <c r="L168" s="7">
        <f>IF($U168="","",SUMIFS('Per Line'!$N$2:$N$501,'Per Line'!$A$2:$A$501,$A168,'Per Line'!$W$2:$W$501,0))</f>
        <v/>
      </c>
      <c r="M168" s="7">
        <f>IF($U168="","",L168*K168)</f>
        <v/>
      </c>
      <c r="N168">
        <f>IF($U168="","",Settings!$C$6)</f>
        <v/>
      </c>
      <c r="O168" s="7">
        <f>IF($U168="","",SUMIFS('Per Line'!$N$2:$N$501,'Per Line'!$A$2:$A$501,$A168,'Per Line'!$W$2:$W$501,1))</f>
        <v/>
      </c>
      <c r="P168" s="7">
        <f>IF($U168="","",O168*N168)</f>
        <v/>
      </c>
      <c r="Q168" s="7">
        <f>IF($U168="","",P168+M168)</f>
        <v/>
      </c>
      <c r="R168" s="7">
        <f>IF($U168="","",S168-Q168)</f>
        <v/>
      </c>
      <c r="S168" s="7">
        <f>IF($U168="","",L168+O168)</f>
        <v/>
      </c>
      <c r="T168" s="7">
        <f>IF($U168="","",S168-Q168-G168)</f>
        <v/>
      </c>
      <c r="U168" s="13">
        <f>IF(ROWS($U$2:$U168)&lt;=MAX('Per Line'!$V$2:$V$501),MATCH(ROWS($U$2:$U168),'Per Line'!$V$2:$V$501,0),"")</f>
        <v/>
      </c>
    </row>
    <row r="169">
      <c r="A169">
        <f>IF($U169="","",INDEX('Per Line'!$A$2:$A$501,$U169)&amp;"")</f>
        <v/>
      </c>
      <c r="B169" s="12" t="n"/>
      <c r="C169">
        <f>IF($U169="","",INDEX('Per Line'!$B$2:$B$501,$U169)&amp;"")</f>
        <v/>
      </c>
      <c r="D169">
        <f>IF($U169="","",INDEX('Per Line'!$C$2:$C$501,$U169)&amp;"")</f>
        <v/>
      </c>
      <c r="E169">
        <f>IF($U169="","",INDEX('Per Line'!$D$2:$D$501,$U169)&amp;"")</f>
        <v/>
      </c>
      <c r="F169">
        <f>IF($U169="","",INDEX('Per Line'!$E$2:$E$501,$U169))</f>
        <v/>
      </c>
      <c r="G169" s="7">
        <f>IF($U169="","",F169*S169/100)</f>
        <v/>
      </c>
      <c r="H169">
        <f>IF($U169="","",INDEX('Per Line'!$O$2:$O$501,$U169)&amp;"")</f>
        <v/>
      </c>
      <c r="I169" s="11">
        <f>IF($U169="","",INDEX('Per Line'!$Q$2:$Q$501,$U169))</f>
        <v/>
      </c>
      <c r="J169">
        <f>IF($U169="","",INDEX('Per Line'!$R$2:$R$501,$U169)&amp;"")</f>
        <v/>
      </c>
      <c r="K169">
        <f>IF($U169="","",Settings!$C$7)</f>
        <v/>
      </c>
      <c r="L169" s="7">
        <f>IF($U169="","",SUMIFS('Per Line'!$N$2:$N$501,'Per Line'!$A$2:$A$501,$A169,'Per Line'!$W$2:$W$501,0))</f>
        <v/>
      </c>
      <c r="M169" s="7">
        <f>IF($U169="","",L169*K169)</f>
        <v/>
      </c>
      <c r="N169">
        <f>IF($U169="","",Settings!$C$6)</f>
        <v/>
      </c>
      <c r="O169" s="7">
        <f>IF($U169="","",SUMIFS('Per Line'!$N$2:$N$501,'Per Line'!$A$2:$A$501,$A169,'Per Line'!$W$2:$W$501,1))</f>
        <v/>
      </c>
      <c r="P169" s="7">
        <f>IF($U169="","",O169*N169)</f>
        <v/>
      </c>
      <c r="Q169" s="7">
        <f>IF($U169="","",P169+M169)</f>
        <v/>
      </c>
      <c r="R169" s="7">
        <f>IF($U169="","",S169-Q169)</f>
        <v/>
      </c>
      <c r="S169" s="7">
        <f>IF($U169="","",L169+O169)</f>
        <v/>
      </c>
      <c r="T169" s="7">
        <f>IF($U169="","",S169-Q169-G169)</f>
        <v/>
      </c>
      <c r="U169" s="13">
        <f>IF(ROWS($U$2:$U169)&lt;=MAX('Per Line'!$V$2:$V$501),MATCH(ROWS($U$2:$U169),'Per Line'!$V$2:$V$501,0),"")</f>
        <v/>
      </c>
    </row>
    <row r="170">
      <c r="A170">
        <f>IF($U170="","",INDEX('Per Line'!$A$2:$A$501,$U170)&amp;"")</f>
        <v/>
      </c>
      <c r="B170" s="12" t="n"/>
      <c r="C170">
        <f>IF($U170="","",INDEX('Per Line'!$B$2:$B$501,$U170)&amp;"")</f>
        <v/>
      </c>
      <c r="D170">
        <f>IF($U170="","",INDEX('Per Line'!$C$2:$C$501,$U170)&amp;"")</f>
        <v/>
      </c>
      <c r="E170">
        <f>IF($U170="","",INDEX('Per Line'!$D$2:$D$501,$U170)&amp;"")</f>
        <v/>
      </c>
      <c r="F170">
        <f>IF($U170="","",INDEX('Per Line'!$E$2:$E$501,$U170))</f>
        <v/>
      </c>
      <c r="G170" s="7">
        <f>IF($U170="","",F170*S170/100)</f>
        <v/>
      </c>
      <c r="H170">
        <f>IF($U170="","",INDEX('Per Line'!$O$2:$O$501,$U170)&amp;"")</f>
        <v/>
      </c>
      <c r="I170" s="11">
        <f>IF($U170="","",INDEX('Per Line'!$Q$2:$Q$501,$U170))</f>
        <v/>
      </c>
      <c r="J170">
        <f>IF($U170="","",INDEX('Per Line'!$R$2:$R$501,$U170)&amp;"")</f>
        <v/>
      </c>
      <c r="K170">
        <f>IF($U170="","",Settings!$C$7)</f>
        <v/>
      </c>
      <c r="L170" s="7">
        <f>IF($U170="","",SUMIFS('Per Line'!$N$2:$N$501,'Per Line'!$A$2:$A$501,$A170,'Per Line'!$W$2:$W$501,0))</f>
        <v/>
      </c>
      <c r="M170" s="7">
        <f>IF($U170="","",L170*K170)</f>
        <v/>
      </c>
      <c r="N170">
        <f>IF($U170="","",Settings!$C$6)</f>
        <v/>
      </c>
      <c r="O170" s="7">
        <f>IF($U170="","",SUMIFS('Per Line'!$N$2:$N$501,'Per Line'!$A$2:$A$501,$A170,'Per Line'!$W$2:$W$501,1))</f>
        <v/>
      </c>
      <c r="P170" s="7">
        <f>IF($U170="","",O170*N170)</f>
        <v/>
      </c>
      <c r="Q170" s="7">
        <f>IF($U170="","",P170+M170)</f>
        <v/>
      </c>
      <c r="R170" s="7">
        <f>IF($U170="","",S170-Q170)</f>
        <v/>
      </c>
      <c r="S170" s="7">
        <f>IF($U170="","",L170+O170)</f>
        <v/>
      </c>
      <c r="T170" s="7">
        <f>IF($U170="","",S170-Q170-G170)</f>
        <v/>
      </c>
      <c r="U170" s="13">
        <f>IF(ROWS($U$2:$U170)&lt;=MAX('Per Line'!$V$2:$V$501),MATCH(ROWS($U$2:$U170),'Per Line'!$V$2:$V$501,0),"")</f>
        <v/>
      </c>
    </row>
    <row r="171">
      <c r="A171">
        <f>IF($U171="","",INDEX('Per Line'!$A$2:$A$501,$U171)&amp;"")</f>
        <v/>
      </c>
      <c r="B171" s="12" t="n"/>
      <c r="C171">
        <f>IF($U171="","",INDEX('Per Line'!$B$2:$B$501,$U171)&amp;"")</f>
        <v/>
      </c>
      <c r="D171">
        <f>IF($U171="","",INDEX('Per Line'!$C$2:$C$501,$U171)&amp;"")</f>
        <v/>
      </c>
      <c r="E171">
        <f>IF($U171="","",INDEX('Per Line'!$D$2:$D$501,$U171)&amp;"")</f>
        <v/>
      </c>
      <c r="F171">
        <f>IF($U171="","",INDEX('Per Line'!$E$2:$E$501,$U171))</f>
        <v/>
      </c>
      <c r="G171" s="7">
        <f>IF($U171="","",F171*S171/100)</f>
        <v/>
      </c>
      <c r="H171">
        <f>IF($U171="","",INDEX('Per Line'!$O$2:$O$501,$U171)&amp;"")</f>
        <v/>
      </c>
      <c r="I171" s="11">
        <f>IF($U171="","",INDEX('Per Line'!$Q$2:$Q$501,$U171))</f>
        <v/>
      </c>
      <c r="J171">
        <f>IF($U171="","",INDEX('Per Line'!$R$2:$R$501,$U171)&amp;"")</f>
        <v/>
      </c>
      <c r="K171">
        <f>IF($U171="","",Settings!$C$7)</f>
        <v/>
      </c>
      <c r="L171" s="7">
        <f>IF($U171="","",SUMIFS('Per Line'!$N$2:$N$501,'Per Line'!$A$2:$A$501,$A171,'Per Line'!$W$2:$W$501,0))</f>
        <v/>
      </c>
      <c r="M171" s="7">
        <f>IF($U171="","",L171*K171)</f>
        <v/>
      </c>
      <c r="N171">
        <f>IF($U171="","",Settings!$C$6)</f>
        <v/>
      </c>
      <c r="O171" s="7">
        <f>IF($U171="","",SUMIFS('Per Line'!$N$2:$N$501,'Per Line'!$A$2:$A$501,$A171,'Per Line'!$W$2:$W$501,1))</f>
        <v/>
      </c>
      <c r="P171" s="7">
        <f>IF($U171="","",O171*N171)</f>
        <v/>
      </c>
      <c r="Q171" s="7">
        <f>IF($U171="","",P171+M171)</f>
        <v/>
      </c>
      <c r="R171" s="7">
        <f>IF($U171="","",S171-Q171)</f>
        <v/>
      </c>
      <c r="S171" s="7">
        <f>IF($U171="","",L171+O171)</f>
        <v/>
      </c>
      <c r="T171" s="7">
        <f>IF($U171="","",S171-Q171-G171)</f>
        <v/>
      </c>
      <c r="U171" s="13">
        <f>IF(ROWS($U$2:$U171)&lt;=MAX('Per Line'!$V$2:$V$501),MATCH(ROWS($U$2:$U171),'Per Line'!$V$2:$V$501,0),"")</f>
        <v/>
      </c>
    </row>
    <row r="172">
      <c r="A172">
        <f>IF($U172="","",INDEX('Per Line'!$A$2:$A$501,$U172)&amp;"")</f>
        <v/>
      </c>
      <c r="B172" s="12" t="n"/>
      <c r="C172">
        <f>IF($U172="","",INDEX('Per Line'!$B$2:$B$501,$U172)&amp;"")</f>
        <v/>
      </c>
      <c r="D172">
        <f>IF($U172="","",INDEX('Per Line'!$C$2:$C$501,$U172)&amp;"")</f>
        <v/>
      </c>
      <c r="E172">
        <f>IF($U172="","",INDEX('Per Line'!$D$2:$D$501,$U172)&amp;"")</f>
        <v/>
      </c>
      <c r="F172">
        <f>IF($U172="","",INDEX('Per Line'!$E$2:$E$501,$U172))</f>
        <v/>
      </c>
      <c r="G172" s="7">
        <f>IF($U172="","",F172*S172/100)</f>
        <v/>
      </c>
      <c r="H172">
        <f>IF($U172="","",INDEX('Per Line'!$O$2:$O$501,$U172)&amp;"")</f>
        <v/>
      </c>
      <c r="I172" s="11">
        <f>IF($U172="","",INDEX('Per Line'!$Q$2:$Q$501,$U172))</f>
        <v/>
      </c>
      <c r="J172">
        <f>IF($U172="","",INDEX('Per Line'!$R$2:$R$501,$U172)&amp;"")</f>
        <v/>
      </c>
      <c r="K172">
        <f>IF($U172="","",Settings!$C$7)</f>
        <v/>
      </c>
      <c r="L172" s="7">
        <f>IF($U172="","",SUMIFS('Per Line'!$N$2:$N$501,'Per Line'!$A$2:$A$501,$A172,'Per Line'!$W$2:$W$501,0))</f>
        <v/>
      </c>
      <c r="M172" s="7">
        <f>IF($U172="","",L172*K172)</f>
        <v/>
      </c>
      <c r="N172">
        <f>IF($U172="","",Settings!$C$6)</f>
        <v/>
      </c>
      <c r="O172" s="7">
        <f>IF($U172="","",SUMIFS('Per Line'!$N$2:$N$501,'Per Line'!$A$2:$A$501,$A172,'Per Line'!$W$2:$W$501,1))</f>
        <v/>
      </c>
      <c r="P172" s="7">
        <f>IF($U172="","",O172*N172)</f>
        <v/>
      </c>
      <c r="Q172" s="7">
        <f>IF($U172="","",P172+M172)</f>
        <v/>
      </c>
      <c r="R172" s="7">
        <f>IF($U172="","",S172-Q172)</f>
        <v/>
      </c>
      <c r="S172" s="7">
        <f>IF($U172="","",L172+O172)</f>
        <v/>
      </c>
      <c r="T172" s="7">
        <f>IF($U172="","",S172-Q172-G172)</f>
        <v/>
      </c>
      <c r="U172" s="13">
        <f>IF(ROWS($U$2:$U172)&lt;=MAX('Per Line'!$V$2:$V$501),MATCH(ROWS($U$2:$U172),'Per Line'!$V$2:$V$501,0),"")</f>
        <v/>
      </c>
    </row>
    <row r="173">
      <c r="A173">
        <f>IF($U173="","",INDEX('Per Line'!$A$2:$A$501,$U173)&amp;"")</f>
        <v/>
      </c>
      <c r="B173" s="12" t="n"/>
      <c r="C173">
        <f>IF($U173="","",INDEX('Per Line'!$B$2:$B$501,$U173)&amp;"")</f>
        <v/>
      </c>
      <c r="D173">
        <f>IF($U173="","",INDEX('Per Line'!$C$2:$C$501,$U173)&amp;"")</f>
        <v/>
      </c>
      <c r="E173">
        <f>IF($U173="","",INDEX('Per Line'!$D$2:$D$501,$U173)&amp;"")</f>
        <v/>
      </c>
      <c r="F173">
        <f>IF($U173="","",INDEX('Per Line'!$E$2:$E$501,$U173))</f>
        <v/>
      </c>
      <c r="G173" s="7">
        <f>IF($U173="","",F173*S173/100)</f>
        <v/>
      </c>
      <c r="H173">
        <f>IF($U173="","",INDEX('Per Line'!$O$2:$O$501,$U173)&amp;"")</f>
        <v/>
      </c>
      <c r="I173" s="11">
        <f>IF($U173="","",INDEX('Per Line'!$Q$2:$Q$501,$U173))</f>
        <v/>
      </c>
      <c r="J173">
        <f>IF($U173="","",INDEX('Per Line'!$R$2:$R$501,$U173)&amp;"")</f>
        <v/>
      </c>
      <c r="K173">
        <f>IF($U173="","",Settings!$C$7)</f>
        <v/>
      </c>
      <c r="L173" s="7">
        <f>IF($U173="","",SUMIFS('Per Line'!$N$2:$N$501,'Per Line'!$A$2:$A$501,$A173,'Per Line'!$W$2:$W$501,0))</f>
        <v/>
      </c>
      <c r="M173" s="7">
        <f>IF($U173="","",L173*K173)</f>
        <v/>
      </c>
      <c r="N173">
        <f>IF($U173="","",Settings!$C$6)</f>
        <v/>
      </c>
      <c r="O173" s="7">
        <f>IF($U173="","",SUMIFS('Per Line'!$N$2:$N$501,'Per Line'!$A$2:$A$501,$A173,'Per Line'!$W$2:$W$501,1))</f>
        <v/>
      </c>
      <c r="P173" s="7">
        <f>IF($U173="","",O173*N173)</f>
        <v/>
      </c>
      <c r="Q173" s="7">
        <f>IF($U173="","",P173+M173)</f>
        <v/>
      </c>
      <c r="R173" s="7">
        <f>IF($U173="","",S173-Q173)</f>
        <v/>
      </c>
      <c r="S173" s="7">
        <f>IF($U173="","",L173+O173)</f>
        <v/>
      </c>
      <c r="T173" s="7">
        <f>IF($U173="","",S173-Q173-G173)</f>
        <v/>
      </c>
      <c r="U173" s="13">
        <f>IF(ROWS($U$2:$U173)&lt;=MAX('Per Line'!$V$2:$V$501),MATCH(ROWS($U$2:$U173),'Per Line'!$V$2:$V$501,0),"")</f>
        <v/>
      </c>
    </row>
    <row r="174">
      <c r="A174">
        <f>IF($U174="","",INDEX('Per Line'!$A$2:$A$501,$U174)&amp;"")</f>
        <v/>
      </c>
      <c r="B174" s="12" t="n"/>
      <c r="C174">
        <f>IF($U174="","",INDEX('Per Line'!$B$2:$B$501,$U174)&amp;"")</f>
        <v/>
      </c>
      <c r="D174">
        <f>IF($U174="","",INDEX('Per Line'!$C$2:$C$501,$U174)&amp;"")</f>
        <v/>
      </c>
      <c r="E174">
        <f>IF($U174="","",INDEX('Per Line'!$D$2:$D$501,$U174)&amp;"")</f>
        <v/>
      </c>
      <c r="F174">
        <f>IF($U174="","",INDEX('Per Line'!$E$2:$E$501,$U174))</f>
        <v/>
      </c>
      <c r="G174" s="7">
        <f>IF($U174="","",F174*S174/100)</f>
        <v/>
      </c>
      <c r="H174">
        <f>IF($U174="","",INDEX('Per Line'!$O$2:$O$501,$U174)&amp;"")</f>
        <v/>
      </c>
      <c r="I174" s="11">
        <f>IF($U174="","",INDEX('Per Line'!$Q$2:$Q$501,$U174))</f>
        <v/>
      </c>
      <c r="J174">
        <f>IF($U174="","",INDEX('Per Line'!$R$2:$R$501,$U174)&amp;"")</f>
        <v/>
      </c>
      <c r="K174">
        <f>IF($U174="","",Settings!$C$7)</f>
        <v/>
      </c>
      <c r="L174" s="7">
        <f>IF($U174="","",SUMIFS('Per Line'!$N$2:$N$501,'Per Line'!$A$2:$A$501,$A174,'Per Line'!$W$2:$W$501,0))</f>
        <v/>
      </c>
      <c r="M174" s="7">
        <f>IF($U174="","",L174*K174)</f>
        <v/>
      </c>
      <c r="N174">
        <f>IF($U174="","",Settings!$C$6)</f>
        <v/>
      </c>
      <c r="O174" s="7">
        <f>IF($U174="","",SUMIFS('Per Line'!$N$2:$N$501,'Per Line'!$A$2:$A$501,$A174,'Per Line'!$W$2:$W$501,1))</f>
        <v/>
      </c>
      <c r="P174" s="7">
        <f>IF($U174="","",O174*N174)</f>
        <v/>
      </c>
      <c r="Q174" s="7">
        <f>IF($U174="","",P174+M174)</f>
        <v/>
      </c>
      <c r="R174" s="7">
        <f>IF($U174="","",S174-Q174)</f>
        <v/>
      </c>
      <c r="S174" s="7">
        <f>IF($U174="","",L174+O174)</f>
        <v/>
      </c>
      <c r="T174" s="7">
        <f>IF($U174="","",S174-Q174-G174)</f>
        <v/>
      </c>
      <c r="U174" s="13">
        <f>IF(ROWS($U$2:$U174)&lt;=MAX('Per Line'!$V$2:$V$501),MATCH(ROWS($U$2:$U174),'Per Line'!$V$2:$V$501,0),"")</f>
        <v/>
      </c>
    </row>
    <row r="175">
      <c r="A175">
        <f>IF($U175="","",INDEX('Per Line'!$A$2:$A$501,$U175)&amp;"")</f>
        <v/>
      </c>
      <c r="B175" s="12" t="n"/>
      <c r="C175">
        <f>IF($U175="","",INDEX('Per Line'!$B$2:$B$501,$U175)&amp;"")</f>
        <v/>
      </c>
      <c r="D175">
        <f>IF($U175="","",INDEX('Per Line'!$C$2:$C$501,$U175)&amp;"")</f>
        <v/>
      </c>
      <c r="E175">
        <f>IF($U175="","",INDEX('Per Line'!$D$2:$D$501,$U175)&amp;"")</f>
        <v/>
      </c>
      <c r="F175">
        <f>IF($U175="","",INDEX('Per Line'!$E$2:$E$501,$U175))</f>
        <v/>
      </c>
      <c r="G175" s="7">
        <f>IF($U175="","",F175*S175/100)</f>
        <v/>
      </c>
      <c r="H175">
        <f>IF($U175="","",INDEX('Per Line'!$O$2:$O$501,$U175)&amp;"")</f>
        <v/>
      </c>
      <c r="I175" s="11">
        <f>IF($U175="","",INDEX('Per Line'!$Q$2:$Q$501,$U175))</f>
        <v/>
      </c>
      <c r="J175">
        <f>IF($U175="","",INDEX('Per Line'!$R$2:$R$501,$U175)&amp;"")</f>
        <v/>
      </c>
      <c r="K175">
        <f>IF($U175="","",Settings!$C$7)</f>
        <v/>
      </c>
      <c r="L175" s="7">
        <f>IF($U175="","",SUMIFS('Per Line'!$N$2:$N$501,'Per Line'!$A$2:$A$501,$A175,'Per Line'!$W$2:$W$501,0))</f>
        <v/>
      </c>
      <c r="M175" s="7">
        <f>IF($U175="","",L175*K175)</f>
        <v/>
      </c>
      <c r="N175">
        <f>IF($U175="","",Settings!$C$6)</f>
        <v/>
      </c>
      <c r="O175" s="7">
        <f>IF($U175="","",SUMIFS('Per Line'!$N$2:$N$501,'Per Line'!$A$2:$A$501,$A175,'Per Line'!$W$2:$W$501,1))</f>
        <v/>
      </c>
      <c r="P175" s="7">
        <f>IF($U175="","",O175*N175)</f>
        <v/>
      </c>
      <c r="Q175" s="7">
        <f>IF($U175="","",P175+M175)</f>
        <v/>
      </c>
      <c r="R175" s="7">
        <f>IF($U175="","",S175-Q175)</f>
        <v/>
      </c>
      <c r="S175" s="7">
        <f>IF($U175="","",L175+O175)</f>
        <v/>
      </c>
      <c r="T175" s="7">
        <f>IF($U175="","",S175-Q175-G175)</f>
        <v/>
      </c>
      <c r="U175" s="13">
        <f>IF(ROWS($U$2:$U175)&lt;=MAX('Per Line'!$V$2:$V$501),MATCH(ROWS($U$2:$U175),'Per Line'!$V$2:$V$501,0),"")</f>
        <v/>
      </c>
    </row>
    <row r="176">
      <c r="A176">
        <f>IF($U176="","",INDEX('Per Line'!$A$2:$A$501,$U176)&amp;"")</f>
        <v/>
      </c>
      <c r="B176" s="12" t="n"/>
      <c r="C176">
        <f>IF($U176="","",INDEX('Per Line'!$B$2:$B$501,$U176)&amp;"")</f>
        <v/>
      </c>
      <c r="D176">
        <f>IF($U176="","",INDEX('Per Line'!$C$2:$C$501,$U176)&amp;"")</f>
        <v/>
      </c>
      <c r="E176">
        <f>IF($U176="","",INDEX('Per Line'!$D$2:$D$501,$U176)&amp;"")</f>
        <v/>
      </c>
      <c r="F176">
        <f>IF($U176="","",INDEX('Per Line'!$E$2:$E$501,$U176))</f>
        <v/>
      </c>
      <c r="G176" s="7">
        <f>IF($U176="","",F176*S176/100)</f>
        <v/>
      </c>
      <c r="H176">
        <f>IF($U176="","",INDEX('Per Line'!$O$2:$O$501,$U176)&amp;"")</f>
        <v/>
      </c>
      <c r="I176" s="11">
        <f>IF($U176="","",INDEX('Per Line'!$Q$2:$Q$501,$U176))</f>
        <v/>
      </c>
      <c r="J176">
        <f>IF($U176="","",INDEX('Per Line'!$R$2:$R$501,$U176)&amp;"")</f>
        <v/>
      </c>
      <c r="K176">
        <f>IF($U176="","",Settings!$C$7)</f>
        <v/>
      </c>
      <c r="L176" s="7">
        <f>IF($U176="","",SUMIFS('Per Line'!$N$2:$N$501,'Per Line'!$A$2:$A$501,$A176,'Per Line'!$W$2:$W$501,0))</f>
        <v/>
      </c>
      <c r="M176" s="7">
        <f>IF($U176="","",L176*K176)</f>
        <v/>
      </c>
      <c r="N176">
        <f>IF($U176="","",Settings!$C$6)</f>
        <v/>
      </c>
      <c r="O176" s="7">
        <f>IF($U176="","",SUMIFS('Per Line'!$N$2:$N$501,'Per Line'!$A$2:$A$501,$A176,'Per Line'!$W$2:$W$501,1))</f>
        <v/>
      </c>
      <c r="P176" s="7">
        <f>IF($U176="","",O176*N176)</f>
        <v/>
      </c>
      <c r="Q176" s="7">
        <f>IF($U176="","",P176+M176)</f>
        <v/>
      </c>
      <c r="R176" s="7">
        <f>IF($U176="","",S176-Q176)</f>
        <v/>
      </c>
      <c r="S176" s="7">
        <f>IF($U176="","",L176+O176)</f>
        <v/>
      </c>
      <c r="T176" s="7">
        <f>IF($U176="","",S176-Q176-G176)</f>
        <v/>
      </c>
      <c r="U176" s="13">
        <f>IF(ROWS($U$2:$U176)&lt;=MAX('Per Line'!$V$2:$V$501),MATCH(ROWS($U$2:$U176),'Per Line'!$V$2:$V$501,0),"")</f>
        <v/>
      </c>
    </row>
    <row r="177">
      <c r="A177">
        <f>IF($U177="","",INDEX('Per Line'!$A$2:$A$501,$U177)&amp;"")</f>
        <v/>
      </c>
      <c r="B177" s="12" t="n"/>
      <c r="C177">
        <f>IF($U177="","",INDEX('Per Line'!$B$2:$B$501,$U177)&amp;"")</f>
        <v/>
      </c>
      <c r="D177">
        <f>IF($U177="","",INDEX('Per Line'!$C$2:$C$501,$U177)&amp;"")</f>
        <v/>
      </c>
      <c r="E177">
        <f>IF($U177="","",INDEX('Per Line'!$D$2:$D$501,$U177)&amp;"")</f>
        <v/>
      </c>
      <c r="F177">
        <f>IF($U177="","",INDEX('Per Line'!$E$2:$E$501,$U177))</f>
        <v/>
      </c>
      <c r="G177" s="7">
        <f>IF($U177="","",F177*S177/100)</f>
        <v/>
      </c>
      <c r="H177">
        <f>IF($U177="","",INDEX('Per Line'!$O$2:$O$501,$U177)&amp;"")</f>
        <v/>
      </c>
      <c r="I177" s="11">
        <f>IF($U177="","",INDEX('Per Line'!$Q$2:$Q$501,$U177))</f>
        <v/>
      </c>
      <c r="J177">
        <f>IF($U177="","",INDEX('Per Line'!$R$2:$R$501,$U177)&amp;"")</f>
        <v/>
      </c>
      <c r="K177">
        <f>IF($U177="","",Settings!$C$7)</f>
        <v/>
      </c>
      <c r="L177" s="7">
        <f>IF($U177="","",SUMIFS('Per Line'!$N$2:$N$501,'Per Line'!$A$2:$A$501,$A177,'Per Line'!$W$2:$W$501,0))</f>
        <v/>
      </c>
      <c r="M177" s="7">
        <f>IF($U177="","",L177*K177)</f>
        <v/>
      </c>
      <c r="N177">
        <f>IF($U177="","",Settings!$C$6)</f>
        <v/>
      </c>
      <c r="O177" s="7">
        <f>IF($U177="","",SUMIFS('Per Line'!$N$2:$N$501,'Per Line'!$A$2:$A$501,$A177,'Per Line'!$W$2:$W$501,1))</f>
        <v/>
      </c>
      <c r="P177" s="7">
        <f>IF($U177="","",O177*N177)</f>
        <v/>
      </c>
      <c r="Q177" s="7">
        <f>IF($U177="","",P177+M177)</f>
        <v/>
      </c>
      <c r="R177" s="7">
        <f>IF($U177="","",S177-Q177)</f>
        <v/>
      </c>
      <c r="S177" s="7">
        <f>IF($U177="","",L177+O177)</f>
        <v/>
      </c>
      <c r="T177" s="7">
        <f>IF($U177="","",S177-Q177-G177)</f>
        <v/>
      </c>
      <c r="U177" s="13">
        <f>IF(ROWS($U$2:$U177)&lt;=MAX('Per Line'!$V$2:$V$501),MATCH(ROWS($U$2:$U177),'Per Line'!$V$2:$V$501,0),"")</f>
        <v/>
      </c>
    </row>
    <row r="178">
      <c r="A178">
        <f>IF($U178="","",INDEX('Per Line'!$A$2:$A$501,$U178)&amp;"")</f>
        <v/>
      </c>
      <c r="B178" s="12" t="n"/>
      <c r="C178">
        <f>IF($U178="","",INDEX('Per Line'!$B$2:$B$501,$U178)&amp;"")</f>
        <v/>
      </c>
      <c r="D178">
        <f>IF($U178="","",INDEX('Per Line'!$C$2:$C$501,$U178)&amp;"")</f>
        <v/>
      </c>
      <c r="E178">
        <f>IF($U178="","",INDEX('Per Line'!$D$2:$D$501,$U178)&amp;"")</f>
        <v/>
      </c>
      <c r="F178">
        <f>IF($U178="","",INDEX('Per Line'!$E$2:$E$501,$U178))</f>
        <v/>
      </c>
      <c r="G178" s="7">
        <f>IF($U178="","",F178*S178/100)</f>
        <v/>
      </c>
      <c r="H178">
        <f>IF($U178="","",INDEX('Per Line'!$O$2:$O$501,$U178)&amp;"")</f>
        <v/>
      </c>
      <c r="I178" s="11">
        <f>IF($U178="","",INDEX('Per Line'!$Q$2:$Q$501,$U178))</f>
        <v/>
      </c>
      <c r="J178">
        <f>IF($U178="","",INDEX('Per Line'!$R$2:$R$501,$U178)&amp;"")</f>
        <v/>
      </c>
      <c r="K178">
        <f>IF($U178="","",Settings!$C$7)</f>
        <v/>
      </c>
      <c r="L178" s="7">
        <f>IF($U178="","",SUMIFS('Per Line'!$N$2:$N$501,'Per Line'!$A$2:$A$501,$A178,'Per Line'!$W$2:$W$501,0))</f>
        <v/>
      </c>
      <c r="M178" s="7">
        <f>IF($U178="","",L178*K178)</f>
        <v/>
      </c>
      <c r="N178">
        <f>IF($U178="","",Settings!$C$6)</f>
        <v/>
      </c>
      <c r="O178" s="7">
        <f>IF($U178="","",SUMIFS('Per Line'!$N$2:$N$501,'Per Line'!$A$2:$A$501,$A178,'Per Line'!$W$2:$W$501,1))</f>
        <v/>
      </c>
      <c r="P178" s="7">
        <f>IF($U178="","",O178*N178)</f>
        <v/>
      </c>
      <c r="Q178" s="7">
        <f>IF($U178="","",P178+M178)</f>
        <v/>
      </c>
      <c r="R178" s="7">
        <f>IF($U178="","",S178-Q178)</f>
        <v/>
      </c>
      <c r="S178" s="7">
        <f>IF($U178="","",L178+O178)</f>
        <v/>
      </c>
      <c r="T178" s="7">
        <f>IF($U178="","",S178-Q178-G178)</f>
        <v/>
      </c>
      <c r="U178" s="13">
        <f>IF(ROWS($U$2:$U178)&lt;=MAX('Per Line'!$V$2:$V$501),MATCH(ROWS($U$2:$U178),'Per Line'!$V$2:$V$501,0),"")</f>
        <v/>
      </c>
    </row>
    <row r="179">
      <c r="A179">
        <f>IF($U179="","",INDEX('Per Line'!$A$2:$A$501,$U179)&amp;"")</f>
        <v/>
      </c>
      <c r="B179" s="12" t="n"/>
      <c r="C179">
        <f>IF($U179="","",INDEX('Per Line'!$B$2:$B$501,$U179)&amp;"")</f>
        <v/>
      </c>
      <c r="D179">
        <f>IF($U179="","",INDEX('Per Line'!$C$2:$C$501,$U179)&amp;"")</f>
        <v/>
      </c>
      <c r="E179">
        <f>IF($U179="","",INDEX('Per Line'!$D$2:$D$501,$U179)&amp;"")</f>
        <v/>
      </c>
      <c r="F179">
        <f>IF($U179="","",INDEX('Per Line'!$E$2:$E$501,$U179))</f>
        <v/>
      </c>
      <c r="G179" s="7">
        <f>IF($U179="","",F179*S179/100)</f>
        <v/>
      </c>
      <c r="H179">
        <f>IF($U179="","",INDEX('Per Line'!$O$2:$O$501,$U179)&amp;"")</f>
        <v/>
      </c>
      <c r="I179" s="11">
        <f>IF($U179="","",INDEX('Per Line'!$Q$2:$Q$501,$U179))</f>
        <v/>
      </c>
      <c r="J179">
        <f>IF($U179="","",INDEX('Per Line'!$R$2:$R$501,$U179)&amp;"")</f>
        <v/>
      </c>
      <c r="K179">
        <f>IF($U179="","",Settings!$C$7)</f>
        <v/>
      </c>
      <c r="L179" s="7">
        <f>IF($U179="","",SUMIFS('Per Line'!$N$2:$N$501,'Per Line'!$A$2:$A$501,$A179,'Per Line'!$W$2:$W$501,0))</f>
        <v/>
      </c>
      <c r="M179" s="7">
        <f>IF($U179="","",L179*K179)</f>
        <v/>
      </c>
      <c r="N179">
        <f>IF($U179="","",Settings!$C$6)</f>
        <v/>
      </c>
      <c r="O179" s="7">
        <f>IF($U179="","",SUMIFS('Per Line'!$N$2:$N$501,'Per Line'!$A$2:$A$501,$A179,'Per Line'!$W$2:$W$501,1))</f>
        <v/>
      </c>
      <c r="P179" s="7">
        <f>IF($U179="","",O179*N179)</f>
        <v/>
      </c>
      <c r="Q179" s="7">
        <f>IF($U179="","",P179+M179)</f>
        <v/>
      </c>
      <c r="R179" s="7">
        <f>IF($U179="","",S179-Q179)</f>
        <v/>
      </c>
      <c r="S179" s="7">
        <f>IF($U179="","",L179+O179)</f>
        <v/>
      </c>
      <c r="T179" s="7">
        <f>IF($U179="","",S179-Q179-G179)</f>
        <v/>
      </c>
      <c r="U179" s="13">
        <f>IF(ROWS($U$2:$U179)&lt;=MAX('Per Line'!$V$2:$V$501),MATCH(ROWS($U$2:$U179),'Per Line'!$V$2:$V$501,0),"")</f>
        <v/>
      </c>
    </row>
    <row r="180">
      <c r="A180">
        <f>IF($U180="","",INDEX('Per Line'!$A$2:$A$501,$U180)&amp;"")</f>
        <v/>
      </c>
      <c r="B180" s="12" t="n"/>
      <c r="C180">
        <f>IF($U180="","",INDEX('Per Line'!$B$2:$B$501,$U180)&amp;"")</f>
        <v/>
      </c>
      <c r="D180">
        <f>IF($U180="","",INDEX('Per Line'!$C$2:$C$501,$U180)&amp;"")</f>
        <v/>
      </c>
      <c r="E180">
        <f>IF($U180="","",INDEX('Per Line'!$D$2:$D$501,$U180)&amp;"")</f>
        <v/>
      </c>
      <c r="F180">
        <f>IF($U180="","",INDEX('Per Line'!$E$2:$E$501,$U180))</f>
        <v/>
      </c>
      <c r="G180" s="7">
        <f>IF($U180="","",F180*S180/100)</f>
        <v/>
      </c>
      <c r="H180">
        <f>IF($U180="","",INDEX('Per Line'!$O$2:$O$501,$U180)&amp;"")</f>
        <v/>
      </c>
      <c r="I180" s="11">
        <f>IF($U180="","",INDEX('Per Line'!$Q$2:$Q$501,$U180))</f>
        <v/>
      </c>
      <c r="J180">
        <f>IF($U180="","",INDEX('Per Line'!$R$2:$R$501,$U180)&amp;"")</f>
        <v/>
      </c>
      <c r="K180">
        <f>IF($U180="","",Settings!$C$7)</f>
        <v/>
      </c>
      <c r="L180" s="7">
        <f>IF($U180="","",SUMIFS('Per Line'!$N$2:$N$501,'Per Line'!$A$2:$A$501,$A180,'Per Line'!$W$2:$W$501,0))</f>
        <v/>
      </c>
      <c r="M180" s="7">
        <f>IF($U180="","",L180*K180)</f>
        <v/>
      </c>
      <c r="N180">
        <f>IF($U180="","",Settings!$C$6)</f>
        <v/>
      </c>
      <c r="O180" s="7">
        <f>IF($U180="","",SUMIFS('Per Line'!$N$2:$N$501,'Per Line'!$A$2:$A$501,$A180,'Per Line'!$W$2:$W$501,1))</f>
        <v/>
      </c>
      <c r="P180" s="7">
        <f>IF($U180="","",O180*N180)</f>
        <v/>
      </c>
      <c r="Q180" s="7">
        <f>IF($U180="","",P180+M180)</f>
        <v/>
      </c>
      <c r="R180" s="7">
        <f>IF($U180="","",S180-Q180)</f>
        <v/>
      </c>
      <c r="S180" s="7">
        <f>IF($U180="","",L180+O180)</f>
        <v/>
      </c>
      <c r="T180" s="7">
        <f>IF($U180="","",S180-Q180-G180)</f>
        <v/>
      </c>
      <c r="U180" s="13">
        <f>IF(ROWS($U$2:$U180)&lt;=MAX('Per Line'!$V$2:$V$501),MATCH(ROWS($U$2:$U180),'Per Line'!$V$2:$V$501,0),"")</f>
        <v/>
      </c>
    </row>
    <row r="181">
      <c r="A181">
        <f>IF($U181="","",INDEX('Per Line'!$A$2:$A$501,$U181)&amp;"")</f>
        <v/>
      </c>
      <c r="B181" s="12" t="n"/>
      <c r="C181">
        <f>IF($U181="","",INDEX('Per Line'!$B$2:$B$501,$U181)&amp;"")</f>
        <v/>
      </c>
      <c r="D181">
        <f>IF($U181="","",INDEX('Per Line'!$C$2:$C$501,$U181)&amp;"")</f>
        <v/>
      </c>
      <c r="E181">
        <f>IF($U181="","",INDEX('Per Line'!$D$2:$D$501,$U181)&amp;"")</f>
        <v/>
      </c>
      <c r="F181">
        <f>IF($U181="","",INDEX('Per Line'!$E$2:$E$501,$U181))</f>
        <v/>
      </c>
      <c r="G181" s="7">
        <f>IF($U181="","",F181*S181/100)</f>
        <v/>
      </c>
      <c r="H181">
        <f>IF($U181="","",INDEX('Per Line'!$O$2:$O$501,$U181)&amp;"")</f>
        <v/>
      </c>
      <c r="I181" s="11">
        <f>IF($U181="","",INDEX('Per Line'!$Q$2:$Q$501,$U181))</f>
        <v/>
      </c>
      <c r="J181">
        <f>IF($U181="","",INDEX('Per Line'!$R$2:$R$501,$U181)&amp;"")</f>
        <v/>
      </c>
      <c r="K181">
        <f>IF($U181="","",Settings!$C$7)</f>
        <v/>
      </c>
      <c r="L181" s="7">
        <f>IF($U181="","",SUMIFS('Per Line'!$N$2:$N$501,'Per Line'!$A$2:$A$501,$A181,'Per Line'!$W$2:$W$501,0))</f>
        <v/>
      </c>
      <c r="M181" s="7">
        <f>IF($U181="","",L181*K181)</f>
        <v/>
      </c>
      <c r="N181">
        <f>IF($U181="","",Settings!$C$6)</f>
        <v/>
      </c>
      <c r="O181" s="7">
        <f>IF($U181="","",SUMIFS('Per Line'!$N$2:$N$501,'Per Line'!$A$2:$A$501,$A181,'Per Line'!$W$2:$W$501,1))</f>
        <v/>
      </c>
      <c r="P181" s="7">
        <f>IF($U181="","",O181*N181)</f>
        <v/>
      </c>
      <c r="Q181" s="7">
        <f>IF($U181="","",P181+M181)</f>
        <v/>
      </c>
      <c r="R181" s="7">
        <f>IF($U181="","",S181-Q181)</f>
        <v/>
      </c>
      <c r="S181" s="7">
        <f>IF($U181="","",L181+O181)</f>
        <v/>
      </c>
      <c r="T181" s="7">
        <f>IF($U181="","",S181-Q181-G181)</f>
        <v/>
      </c>
      <c r="U181" s="13">
        <f>IF(ROWS($U$2:$U181)&lt;=MAX('Per Line'!$V$2:$V$501),MATCH(ROWS($U$2:$U181),'Per Line'!$V$2:$V$501,0),"")</f>
        <v/>
      </c>
    </row>
    <row r="182">
      <c r="A182">
        <f>IF($U182="","",INDEX('Per Line'!$A$2:$A$501,$U182)&amp;"")</f>
        <v/>
      </c>
      <c r="B182" s="12" t="n"/>
      <c r="C182">
        <f>IF($U182="","",INDEX('Per Line'!$B$2:$B$501,$U182)&amp;"")</f>
        <v/>
      </c>
      <c r="D182">
        <f>IF($U182="","",INDEX('Per Line'!$C$2:$C$501,$U182)&amp;"")</f>
        <v/>
      </c>
      <c r="E182">
        <f>IF($U182="","",INDEX('Per Line'!$D$2:$D$501,$U182)&amp;"")</f>
        <v/>
      </c>
      <c r="F182">
        <f>IF($U182="","",INDEX('Per Line'!$E$2:$E$501,$U182))</f>
        <v/>
      </c>
      <c r="G182" s="7">
        <f>IF($U182="","",F182*S182/100)</f>
        <v/>
      </c>
      <c r="H182">
        <f>IF($U182="","",INDEX('Per Line'!$O$2:$O$501,$U182)&amp;"")</f>
        <v/>
      </c>
      <c r="I182" s="11">
        <f>IF($U182="","",INDEX('Per Line'!$Q$2:$Q$501,$U182))</f>
        <v/>
      </c>
      <c r="J182">
        <f>IF($U182="","",INDEX('Per Line'!$R$2:$R$501,$U182)&amp;"")</f>
        <v/>
      </c>
      <c r="K182">
        <f>IF($U182="","",Settings!$C$7)</f>
        <v/>
      </c>
      <c r="L182" s="7">
        <f>IF($U182="","",SUMIFS('Per Line'!$N$2:$N$501,'Per Line'!$A$2:$A$501,$A182,'Per Line'!$W$2:$W$501,0))</f>
        <v/>
      </c>
      <c r="M182" s="7">
        <f>IF($U182="","",L182*K182)</f>
        <v/>
      </c>
      <c r="N182">
        <f>IF($U182="","",Settings!$C$6)</f>
        <v/>
      </c>
      <c r="O182" s="7">
        <f>IF($U182="","",SUMIFS('Per Line'!$N$2:$N$501,'Per Line'!$A$2:$A$501,$A182,'Per Line'!$W$2:$W$501,1))</f>
        <v/>
      </c>
      <c r="P182" s="7">
        <f>IF($U182="","",O182*N182)</f>
        <v/>
      </c>
      <c r="Q182" s="7">
        <f>IF($U182="","",P182+M182)</f>
        <v/>
      </c>
      <c r="R182" s="7">
        <f>IF($U182="","",S182-Q182)</f>
        <v/>
      </c>
      <c r="S182" s="7">
        <f>IF($U182="","",L182+O182)</f>
        <v/>
      </c>
      <c r="T182" s="7">
        <f>IF($U182="","",S182-Q182-G182)</f>
        <v/>
      </c>
      <c r="U182" s="13">
        <f>IF(ROWS($U$2:$U182)&lt;=MAX('Per Line'!$V$2:$V$501),MATCH(ROWS($U$2:$U182),'Per Line'!$V$2:$V$501,0),"")</f>
        <v/>
      </c>
    </row>
    <row r="183">
      <c r="A183">
        <f>IF($U183="","",INDEX('Per Line'!$A$2:$A$501,$U183)&amp;"")</f>
        <v/>
      </c>
      <c r="B183" s="12" t="n"/>
      <c r="C183">
        <f>IF($U183="","",INDEX('Per Line'!$B$2:$B$501,$U183)&amp;"")</f>
        <v/>
      </c>
      <c r="D183">
        <f>IF($U183="","",INDEX('Per Line'!$C$2:$C$501,$U183)&amp;"")</f>
        <v/>
      </c>
      <c r="E183">
        <f>IF($U183="","",INDEX('Per Line'!$D$2:$D$501,$U183)&amp;"")</f>
        <v/>
      </c>
      <c r="F183">
        <f>IF($U183="","",INDEX('Per Line'!$E$2:$E$501,$U183))</f>
        <v/>
      </c>
      <c r="G183" s="7">
        <f>IF($U183="","",F183*S183/100)</f>
        <v/>
      </c>
      <c r="H183">
        <f>IF($U183="","",INDEX('Per Line'!$O$2:$O$501,$U183)&amp;"")</f>
        <v/>
      </c>
      <c r="I183" s="11">
        <f>IF($U183="","",INDEX('Per Line'!$Q$2:$Q$501,$U183))</f>
        <v/>
      </c>
      <c r="J183">
        <f>IF($U183="","",INDEX('Per Line'!$R$2:$R$501,$U183)&amp;"")</f>
        <v/>
      </c>
      <c r="K183">
        <f>IF($U183="","",Settings!$C$7)</f>
        <v/>
      </c>
      <c r="L183" s="7">
        <f>IF($U183="","",SUMIFS('Per Line'!$N$2:$N$501,'Per Line'!$A$2:$A$501,$A183,'Per Line'!$W$2:$W$501,0))</f>
        <v/>
      </c>
      <c r="M183" s="7">
        <f>IF($U183="","",L183*K183)</f>
        <v/>
      </c>
      <c r="N183">
        <f>IF($U183="","",Settings!$C$6)</f>
        <v/>
      </c>
      <c r="O183" s="7">
        <f>IF($U183="","",SUMIFS('Per Line'!$N$2:$N$501,'Per Line'!$A$2:$A$501,$A183,'Per Line'!$W$2:$W$501,1))</f>
        <v/>
      </c>
      <c r="P183" s="7">
        <f>IF($U183="","",O183*N183)</f>
        <v/>
      </c>
      <c r="Q183" s="7">
        <f>IF($U183="","",P183+M183)</f>
        <v/>
      </c>
      <c r="R183" s="7">
        <f>IF($U183="","",S183-Q183)</f>
        <v/>
      </c>
      <c r="S183" s="7">
        <f>IF($U183="","",L183+O183)</f>
        <v/>
      </c>
      <c r="T183" s="7">
        <f>IF($U183="","",S183-Q183-G183)</f>
        <v/>
      </c>
      <c r="U183" s="13">
        <f>IF(ROWS($U$2:$U183)&lt;=MAX('Per Line'!$V$2:$V$501),MATCH(ROWS($U$2:$U183),'Per Line'!$V$2:$V$501,0),"")</f>
        <v/>
      </c>
    </row>
    <row r="184">
      <c r="A184">
        <f>IF($U184="","",INDEX('Per Line'!$A$2:$A$501,$U184)&amp;"")</f>
        <v/>
      </c>
      <c r="B184" s="12" t="n"/>
      <c r="C184">
        <f>IF($U184="","",INDEX('Per Line'!$B$2:$B$501,$U184)&amp;"")</f>
        <v/>
      </c>
      <c r="D184">
        <f>IF($U184="","",INDEX('Per Line'!$C$2:$C$501,$U184)&amp;"")</f>
        <v/>
      </c>
      <c r="E184">
        <f>IF($U184="","",INDEX('Per Line'!$D$2:$D$501,$U184)&amp;"")</f>
        <v/>
      </c>
      <c r="F184">
        <f>IF($U184="","",INDEX('Per Line'!$E$2:$E$501,$U184))</f>
        <v/>
      </c>
      <c r="G184" s="7">
        <f>IF($U184="","",F184*S184/100)</f>
        <v/>
      </c>
      <c r="H184">
        <f>IF($U184="","",INDEX('Per Line'!$O$2:$O$501,$U184)&amp;"")</f>
        <v/>
      </c>
      <c r="I184" s="11">
        <f>IF($U184="","",INDEX('Per Line'!$Q$2:$Q$501,$U184))</f>
        <v/>
      </c>
      <c r="J184">
        <f>IF($U184="","",INDEX('Per Line'!$R$2:$R$501,$U184)&amp;"")</f>
        <v/>
      </c>
      <c r="K184">
        <f>IF($U184="","",Settings!$C$7)</f>
        <v/>
      </c>
      <c r="L184" s="7">
        <f>IF($U184="","",SUMIFS('Per Line'!$N$2:$N$501,'Per Line'!$A$2:$A$501,$A184,'Per Line'!$W$2:$W$501,0))</f>
        <v/>
      </c>
      <c r="M184" s="7">
        <f>IF($U184="","",L184*K184)</f>
        <v/>
      </c>
      <c r="N184">
        <f>IF($U184="","",Settings!$C$6)</f>
        <v/>
      </c>
      <c r="O184" s="7">
        <f>IF($U184="","",SUMIFS('Per Line'!$N$2:$N$501,'Per Line'!$A$2:$A$501,$A184,'Per Line'!$W$2:$W$501,1))</f>
        <v/>
      </c>
      <c r="P184" s="7">
        <f>IF($U184="","",O184*N184)</f>
        <v/>
      </c>
      <c r="Q184" s="7">
        <f>IF($U184="","",P184+M184)</f>
        <v/>
      </c>
      <c r="R184" s="7">
        <f>IF($U184="","",S184-Q184)</f>
        <v/>
      </c>
      <c r="S184" s="7">
        <f>IF($U184="","",L184+O184)</f>
        <v/>
      </c>
      <c r="T184" s="7">
        <f>IF($U184="","",S184-Q184-G184)</f>
        <v/>
      </c>
      <c r="U184" s="13">
        <f>IF(ROWS($U$2:$U184)&lt;=MAX('Per Line'!$V$2:$V$501),MATCH(ROWS($U$2:$U184),'Per Line'!$V$2:$V$501,0),"")</f>
        <v/>
      </c>
    </row>
    <row r="185">
      <c r="A185">
        <f>IF($U185="","",INDEX('Per Line'!$A$2:$A$501,$U185)&amp;"")</f>
        <v/>
      </c>
      <c r="B185" s="12" t="n"/>
      <c r="C185">
        <f>IF($U185="","",INDEX('Per Line'!$B$2:$B$501,$U185)&amp;"")</f>
        <v/>
      </c>
      <c r="D185">
        <f>IF($U185="","",INDEX('Per Line'!$C$2:$C$501,$U185)&amp;"")</f>
        <v/>
      </c>
      <c r="E185">
        <f>IF($U185="","",INDEX('Per Line'!$D$2:$D$501,$U185)&amp;"")</f>
        <v/>
      </c>
      <c r="F185">
        <f>IF($U185="","",INDEX('Per Line'!$E$2:$E$501,$U185))</f>
        <v/>
      </c>
      <c r="G185" s="7">
        <f>IF($U185="","",F185*S185/100)</f>
        <v/>
      </c>
      <c r="H185">
        <f>IF($U185="","",INDEX('Per Line'!$O$2:$O$501,$U185)&amp;"")</f>
        <v/>
      </c>
      <c r="I185" s="11">
        <f>IF($U185="","",INDEX('Per Line'!$Q$2:$Q$501,$U185))</f>
        <v/>
      </c>
      <c r="J185">
        <f>IF($U185="","",INDEX('Per Line'!$R$2:$R$501,$U185)&amp;"")</f>
        <v/>
      </c>
      <c r="K185">
        <f>IF($U185="","",Settings!$C$7)</f>
        <v/>
      </c>
      <c r="L185" s="7">
        <f>IF($U185="","",SUMIFS('Per Line'!$N$2:$N$501,'Per Line'!$A$2:$A$501,$A185,'Per Line'!$W$2:$W$501,0))</f>
        <v/>
      </c>
      <c r="M185" s="7">
        <f>IF($U185="","",L185*K185)</f>
        <v/>
      </c>
      <c r="N185">
        <f>IF($U185="","",Settings!$C$6)</f>
        <v/>
      </c>
      <c r="O185" s="7">
        <f>IF($U185="","",SUMIFS('Per Line'!$N$2:$N$501,'Per Line'!$A$2:$A$501,$A185,'Per Line'!$W$2:$W$501,1))</f>
        <v/>
      </c>
      <c r="P185" s="7">
        <f>IF($U185="","",O185*N185)</f>
        <v/>
      </c>
      <c r="Q185" s="7">
        <f>IF($U185="","",P185+M185)</f>
        <v/>
      </c>
      <c r="R185" s="7">
        <f>IF($U185="","",S185-Q185)</f>
        <v/>
      </c>
      <c r="S185" s="7">
        <f>IF($U185="","",L185+O185)</f>
        <v/>
      </c>
      <c r="T185" s="7">
        <f>IF($U185="","",S185-Q185-G185)</f>
        <v/>
      </c>
      <c r="U185" s="13">
        <f>IF(ROWS($U$2:$U185)&lt;=MAX('Per Line'!$V$2:$V$501),MATCH(ROWS($U$2:$U185),'Per Line'!$V$2:$V$501,0),"")</f>
        <v/>
      </c>
    </row>
    <row r="186">
      <c r="A186">
        <f>IF($U186="","",INDEX('Per Line'!$A$2:$A$501,$U186)&amp;"")</f>
        <v/>
      </c>
      <c r="B186" s="12" t="n"/>
      <c r="C186">
        <f>IF($U186="","",INDEX('Per Line'!$B$2:$B$501,$U186)&amp;"")</f>
        <v/>
      </c>
      <c r="D186">
        <f>IF($U186="","",INDEX('Per Line'!$C$2:$C$501,$U186)&amp;"")</f>
        <v/>
      </c>
      <c r="E186">
        <f>IF($U186="","",INDEX('Per Line'!$D$2:$D$501,$U186)&amp;"")</f>
        <v/>
      </c>
      <c r="F186">
        <f>IF($U186="","",INDEX('Per Line'!$E$2:$E$501,$U186))</f>
        <v/>
      </c>
      <c r="G186" s="7">
        <f>IF($U186="","",F186*S186/100)</f>
        <v/>
      </c>
      <c r="H186">
        <f>IF($U186="","",INDEX('Per Line'!$O$2:$O$501,$U186)&amp;"")</f>
        <v/>
      </c>
      <c r="I186" s="11">
        <f>IF($U186="","",INDEX('Per Line'!$Q$2:$Q$501,$U186))</f>
        <v/>
      </c>
      <c r="J186">
        <f>IF($U186="","",INDEX('Per Line'!$R$2:$R$501,$U186)&amp;"")</f>
        <v/>
      </c>
      <c r="K186">
        <f>IF($U186="","",Settings!$C$7)</f>
        <v/>
      </c>
      <c r="L186" s="7">
        <f>IF($U186="","",SUMIFS('Per Line'!$N$2:$N$501,'Per Line'!$A$2:$A$501,$A186,'Per Line'!$W$2:$W$501,0))</f>
        <v/>
      </c>
      <c r="M186" s="7">
        <f>IF($U186="","",L186*K186)</f>
        <v/>
      </c>
      <c r="N186">
        <f>IF($U186="","",Settings!$C$6)</f>
        <v/>
      </c>
      <c r="O186" s="7">
        <f>IF($U186="","",SUMIFS('Per Line'!$N$2:$N$501,'Per Line'!$A$2:$A$501,$A186,'Per Line'!$W$2:$W$501,1))</f>
        <v/>
      </c>
      <c r="P186" s="7">
        <f>IF($U186="","",O186*N186)</f>
        <v/>
      </c>
      <c r="Q186" s="7">
        <f>IF($U186="","",P186+M186)</f>
        <v/>
      </c>
      <c r="R186" s="7">
        <f>IF($U186="","",S186-Q186)</f>
        <v/>
      </c>
      <c r="S186" s="7">
        <f>IF($U186="","",L186+O186)</f>
        <v/>
      </c>
      <c r="T186" s="7">
        <f>IF($U186="","",S186-Q186-G186)</f>
        <v/>
      </c>
      <c r="U186" s="13">
        <f>IF(ROWS($U$2:$U186)&lt;=MAX('Per Line'!$V$2:$V$501),MATCH(ROWS($U$2:$U186),'Per Line'!$V$2:$V$501,0),"")</f>
        <v/>
      </c>
    </row>
    <row r="187">
      <c r="A187">
        <f>IF($U187="","",INDEX('Per Line'!$A$2:$A$501,$U187)&amp;"")</f>
        <v/>
      </c>
      <c r="B187" s="12" t="n"/>
      <c r="C187">
        <f>IF($U187="","",INDEX('Per Line'!$B$2:$B$501,$U187)&amp;"")</f>
        <v/>
      </c>
      <c r="D187">
        <f>IF($U187="","",INDEX('Per Line'!$C$2:$C$501,$U187)&amp;"")</f>
        <v/>
      </c>
      <c r="E187">
        <f>IF($U187="","",INDEX('Per Line'!$D$2:$D$501,$U187)&amp;"")</f>
        <v/>
      </c>
      <c r="F187">
        <f>IF($U187="","",INDEX('Per Line'!$E$2:$E$501,$U187))</f>
        <v/>
      </c>
      <c r="G187" s="7">
        <f>IF($U187="","",F187*S187/100)</f>
        <v/>
      </c>
      <c r="H187">
        <f>IF($U187="","",INDEX('Per Line'!$O$2:$O$501,$U187)&amp;"")</f>
        <v/>
      </c>
      <c r="I187" s="11">
        <f>IF($U187="","",INDEX('Per Line'!$Q$2:$Q$501,$U187))</f>
        <v/>
      </c>
      <c r="J187">
        <f>IF($U187="","",INDEX('Per Line'!$R$2:$R$501,$U187)&amp;"")</f>
        <v/>
      </c>
      <c r="K187">
        <f>IF($U187="","",Settings!$C$7)</f>
        <v/>
      </c>
      <c r="L187" s="7">
        <f>IF($U187="","",SUMIFS('Per Line'!$N$2:$N$501,'Per Line'!$A$2:$A$501,$A187,'Per Line'!$W$2:$W$501,0))</f>
        <v/>
      </c>
      <c r="M187" s="7">
        <f>IF($U187="","",L187*K187)</f>
        <v/>
      </c>
      <c r="N187">
        <f>IF($U187="","",Settings!$C$6)</f>
        <v/>
      </c>
      <c r="O187" s="7">
        <f>IF($U187="","",SUMIFS('Per Line'!$N$2:$N$501,'Per Line'!$A$2:$A$501,$A187,'Per Line'!$W$2:$W$501,1))</f>
        <v/>
      </c>
      <c r="P187" s="7">
        <f>IF($U187="","",O187*N187)</f>
        <v/>
      </c>
      <c r="Q187" s="7">
        <f>IF($U187="","",P187+M187)</f>
        <v/>
      </c>
      <c r="R187" s="7">
        <f>IF($U187="","",S187-Q187)</f>
        <v/>
      </c>
      <c r="S187" s="7">
        <f>IF($U187="","",L187+O187)</f>
        <v/>
      </c>
      <c r="T187" s="7">
        <f>IF($U187="","",S187-Q187-G187)</f>
        <v/>
      </c>
      <c r="U187" s="13">
        <f>IF(ROWS($U$2:$U187)&lt;=MAX('Per Line'!$V$2:$V$501),MATCH(ROWS($U$2:$U187),'Per Line'!$V$2:$V$501,0),"")</f>
        <v/>
      </c>
    </row>
    <row r="188">
      <c r="A188">
        <f>IF($U188="","",INDEX('Per Line'!$A$2:$A$501,$U188)&amp;"")</f>
        <v/>
      </c>
      <c r="B188" s="12" t="n"/>
      <c r="C188">
        <f>IF($U188="","",INDEX('Per Line'!$B$2:$B$501,$U188)&amp;"")</f>
        <v/>
      </c>
      <c r="D188">
        <f>IF($U188="","",INDEX('Per Line'!$C$2:$C$501,$U188)&amp;"")</f>
        <v/>
      </c>
      <c r="E188">
        <f>IF($U188="","",INDEX('Per Line'!$D$2:$D$501,$U188)&amp;"")</f>
        <v/>
      </c>
      <c r="F188">
        <f>IF($U188="","",INDEX('Per Line'!$E$2:$E$501,$U188))</f>
        <v/>
      </c>
      <c r="G188" s="7">
        <f>IF($U188="","",F188*S188/100)</f>
        <v/>
      </c>
      <c r="H188">
        <f>IF($U188="","",INDEX('Per Line'!$O$2:$O$501,$U188)&amp;"")</f>
        <v/>
      </c>
      <c r="I188" s="11">
        <f>IF($U188="","",INDEX('Per Line'!$Q$2:$Q$501,$U188))</f>
        <v/>
      </c>
      <c r="J188">
        <f>IF($U188="","",INDEX('Per Line'!$R$2:$R$501,$U188)&amp;"")</f>
        <v/>
      </c>
      <c r="K188">
        <f>IF($U188="","",Settings!$C$7)</f>
        <v/>
      </c>
      <c r="L188" s="7">
        <f>IF($U188="","",SUMIFS('Per Line'!$N$2:$N$501,'Per Line'!$A$2:$A$501,$A188,'Per Line'!$W$2:$W$501,0))</f>
        <v/>
      </c>
      <c r="M188" s="7">
        <f>IF($U188="","",L188*K188)</f>
        <v/>
      </c>
      <c r="N188">
        <f>IF($U188="","",Settings!$C$6)</f>
        <v/>
      </c>
      <c r="O188" s="7">
        <f>IF($U188="","",SUMIFS('Per Line'!$N$2:$N$501,'Per Line'!$A$2:$A$501,$A188,'Per Line'!$W$2:$W$501,1))</f>
        <v/>
      </c>
      <c r="P188" s="7">
        <f>IF($U188="","",O188*N188)</f>
        <v/>
      </c>
      <c r="Q188" s="7">
        <f>IF($U188="","",P188+M188)</f>
        <v/>
      </c>
      <c r="R188" s="7">
        <f>IF($U188="","",S188-Q188)</f>
        <v/>
      </c>
      <c r="S188" s="7">
        <f>IF($U188="","",L188+O188)</f>
        <v/>
      </c>
      <c r="T188" s="7">
        <f>IF($U188="","",S188-Q188-G188)</f>
        <v/>
      </c>
      <c r="U188" s="13">
        <f>IF(ROWS($U$2:$U188)&lt;=MAX('Per Line'!$V$2:$V$501),MATCH(ROWS($U$2:$U188),'Per Line'!$V$2:$V$501,0),"")</f>
        <v/>
      </c>
    </row>
    <row r="189">
      <c r="A189">
        <f>IF($U189="","",INDEX('Per Line'!$A$2:$A$501,$U189)&amp;"")</f>
        <v/>
      </c>
      <c r="B189" s="12" t="n"/>
      <c r="C189">
        <f>IF($U189="","",INDEX('Per Line'!$B$2:$B$501,$U189)&amp;"")</f>
        <v/>
      </c>
      <c r="D189">
        <f>IF($U189="","",INDEX('Per Line'!$C$2:$C$501,$U189)&amp;"")</f>
        <v/>
      </c>
      <c r="E189">
        <f>IF($U189="","",INDEX('Per Line'!$D$2:$D$501,$U189)&amp;"")</f>
        <v/>
      </c>
      <c r="F189">
        <f>IF($U189="","",INDEX('Per Line'!$E$2:$E$501,$U189))</f>
        <v/>
      </c>
      <c r="G189" s="7">
        <f>IF($U189="","",F189*S189/100)</f>
        <v/>
      </c>
      <c r="H189">
        <f>IF($U189="","",INDEX('Per Line'!$O$2:$O$501,$U189)&amp;"")</f>
        <v/>
      </c>
      <c r="I189" s="11">
        <f>IF($U189="","",INDEX('Per Line'!$Q$2:$Q$501,$U189))</f>
        <v/>
      </c>
      <c r="J189">
        <f>IF($U189="","",INDEX('Per Line'!$R$2:$R$501,$U189)&amp;"")</f>
        <v/>
      </c>
      <c r="K189">
        <f>IF($U189="","",Settings!$C$7)</f>
        <v/>
      </c>
      <c r="L189" s="7">
        <f>IF($U189="","",SUMIFS('Per Line'!$N$2:$N$501,'Per Line'!$A$2:$A$501,$A189,'Per Line'!$W$2:$W$501,0))</f>
        <v/>
      </c>
      <c r="M189" s="7">
        <f>IF($U189="","",L189*K189)</f>
        <v/>
      </c>
      <c r="N189">
        <f>IF($U189="","",Settings!$C$6)</f>
        <v/>
      </c>
      <c r="O189" s="7">
        <f>IF($U189="","",SUMIFS('Per Line'!$N$2:$N$501,'Per Line'!$A$2:$A$501,$A189,'Per Line'!$W$2:$W$501,1))</f>
        <v/>
      </c>
      <c r="P189" s="7">
        <f>IF($U189="","",O189*N189)</f>
        <v/>
      </c>
      <c r="Q189" s="7">
        <f>IF($U189="","",P189+M189)</f>
        <v/>
      </c>
      <c r="R189" s="7">
        <f>IF($U189="","",S189-Q189)</f>
        <v/>
      </c>
      <c r="S189" s="7">
        <f>IF($U189="","",L189+O189)</f>
        <v/>
      </c>
      <c r="T189" s="7">
        <f>IF($U189="","",S189-Q189-G189)</f>
        <v/>
      </c>
      <c r="U189" s="13">
        <f>IF(ROWS($U$2:$U189)&lt;=MAX('Per Line'!$V$2:$V$501),MATCH(ROWS($U$2:$U189),'Per Line'!$V$2:$V$501,0),"")</f>
        <v/>
      </c>
    </row>
    <row r="190">
      <c r="A190">
        <f>IF($U190="","",INDEX('Per Line'!$A$2:$A$501,$U190)&amp;"")</f>
        <v/>
      </c>
      <c r="B190" s="12" t="n"/>
      <c r="C190">
        <f>IF($U190="","",INDEX('Per Line'!$B$2:$B$501,$U190)&amp;"")</f>
        <v/>
      </c>
      <c r="D190">
        <f>IF($U190="","",INDEX('Per Line'!$C$2:$C$501,$U190)&amp;"")</f>
        <v/>
      </c>
      <c r="E190">
        <f>IF($U190="","",INDEX('Per Line'!$D$2:$D$501,$U190)&amp;"")</f>
        <v/>
      </c>
      <c r="F190">
        <f>IF($U190="","",INDEX('Per Line'!$E$2:$E$501,$U190))</f>
        <v/>
      </c>
      <c r="G190" s="7">
        <f>IF($U190="","",F190*S190/100)</f>
        <v/>
      </c>
      <c r="H190">
        <f>IF($U190="","",INDEX('Per Line'!$O$2:$O$501,$U190)&amp;"")</f>
        <v/>
      </c>
      <c r="I190" s="11">
        <f>IF($U190="","",INDEX('Per Line'!$Q$2:$Q$501,$U190))</f>
        <v/>
      </c>
      <c r="J190">
        <f>IF($U190="","",INDEX('Per Line'!$R$2:$R$501,$U190)&amp;"")</f>
        <v/>
      </c>
      <c r="K190">
        <f>IF($U190="","",Settings!$C$7)</f>
        <v/>
      </c>
      <c r="L190" s="7">
        <f>IF($U190="","",SUMIFS('Per Line'!$N$2:$N$501,'Per Line'!$A$2:$A$501,$A190,'Per Line'!$W$2:$W$501,0))</f>
        <v/>
      </c>
      <c r="M190" s="7">
        <f>IF($U190="","",L190*K190)</f>
        <v/>
      </c>
      <c r="N190">
        <f>IF($U190="","",Settings!$C$6)</f>
        <v/>
      </c>
      <c r="O190" s="7">
        <f>IF($U190="","",SUMIFS('Per Line'!$N$2:$N$501,'Per Line'!$A$2:$A$501,$A190,'Per Line'!$W$2:$W$501,1))</f>
        <v/>
      </c>
      <c r="P190" s="7">
        <f>IF($U190="","",O190*N190)</f>
        <v/>
      </c>
      <c r="Q190" s="7">
        <f>IF($U190="","",P190+M190)</f>
        <v/>
      </c>
      <c r="R190" s="7">
        <f>IF($U190="","",S190-Q190)</f>
        <v/>
      </c>
      <c r="S190" s="7">
        <f>IF($U190="","",L190+O190)</f>
        <v/>
      </c>
      <c r="T190" s="7">
        <f>IF($U190="","",S190-Q190-G190)</f>
        <v/>
      </c>
      <c r="U190" s="13">
        <f>IF(ROWS($U$2:$U190)&lt;=MAX('Per Line'!$V$2:$V$501),MATCH(ROWS($U$2:$U190),'Per Line'!$V$2:$V$501,0),"")</f>
        <v/>
      </c>
    </row>
    <row r="191">
      <c r="A191">
        <f>IF($U191="","",INDEX('Per Line'!$A$2:$A$501,$U191)&amp;"")</f>
        <v/>
      </c>
      <c r="B191" s="12" t="n"/>
      <c r="C191">
        <f>IF($U191="","",INDEX('Per Line'!$B$2:$B$501,$U191)&amp;"")</f>
        <v/>
      </c>
      <c r="D191">
        <f>IF($U191="","",INDEX('Per Line'!$C$2:$C$501,$U191)&amp;"")</f>
        <v/>
      </c>
      <c r="E191">
        <f>IF($U191="","",INDEX('Per Line'!$D$2:$D$501,$U191)&amp;"")</f>
        <v/>
      </c>
      <c r="F191">
        <f>IF($U191="","",INDEX('Per Line'!$E$2:$E$501,$U191))</f>
        <v/>
      </c>
      <c r="G191" s="7">
        <f>IF($U191="","",F191*S191/100)</f>
        <v/>
      </c>
      <c r="H191">
        <f>IF($U191="","",INDEX('Per Line'!$O$2:$O$501,$U191)&amp;"")</f>
        <v/>
      </c>
      <c r="I191" s="11">
        <f>IF($U191="","",INDEX('Per Line'!$Q$2:$Q$501,$U191))</f>
        <v/>
      </c>
      <c r="J191">
        <f>IF($U191="","",INDEX('Per Line'!$R$2:$R$501,$U191)&amp;"")</f>
        <v/>
      </c>
      <c r="K191">
        <f>IF($U191="","",Settings!$C$7)</f>
        <v/>
      </c>
      <c r="L191" s="7">
        <f>IF($U191="","",SUMIFS('Per Line'!$N$2:$N$501,'Per Line'!$A$2:$A$501,$A191,'Per Line'!$W$2:$W$501,0))</f>
        <v/>
      </c>
      <c r="M191" s="7">
        <f>IF($U191="","",L191*K191)</f>
        <v/>
      </c>
      <c r="N191">
        <f>IF($U191="","",Settings!$C$6)</f>
        <v/>
      </c>
      <c r="O191" s="7">
        <f>IF($U191="","",SUMIFS('Per Line'!$N$2:$N$501,'Per Line'!$A$2:$A$501,$A191,'Per Line'!$W$2:$W$501,1))</f>
        <v/>
      </c>
      <c r="P191" s="7">
        <f>IF($U191="","",O191*N191)</f>
        <v/>
      </c>
      <c r="Q191" s="7">
        <f>IF($U191="","",P191+M191)</f>
        <v/>
      </c>
      <c r="R191" s="7">
        <f>IF($U191="","",S191-Q191)</f>
        <v/>
      </c>
      <c r="S191" s="7">
        <f>IF($U191="","",L191+O191)</f>
        <v/>
      </c>
      <c r="T191" s="7">
        <f>IF($U191="","",S191-Q191-G191)</f>
        <v/>
      </c>
      <c r="U191" s="13">
        <f>IF(ROWS($U$2:$U191)&lt;=MAX('Per Line'!$V$2:$V$501),MATCH(ROWS($U$2:$U191),'Per Line'!$V$2:$V$501,0),"")</f>
        <v/>
      </c>
    </row>
    <row r="192">
      <c r="A192">
        <f>IF($U192="","",INDEX('Per Line'!$A$2:$A$501,$U192)&amp;"")</f>
        <v/>
      </c>
      <c r="B192" s="12" t="n"/>
      <c r="C192">
        <f>IF($U192="","",INDEX('Per Line'!$B$2:$B$501,$U192)&amp;"")</f>
        <v/>
      </c>
      <c r="D192">
        <f>IF($U192="","",INDEX('Per Line'!$C$2:$C$501,$U192)&amp;"")</f>
        <v/>
      </c>
      <c r="E192">
        <f>IF($U192="","",INDEX('Per Line'!$D$2:$D$501,$U192)&amp;"")</f>
        <v/>
      </c>
      <c r="F192">
        <f>IF($U192="","",INDEX('Per Line'!$E$2:$E$501,$U192))</f>
        <v/>
      </c>
      <c r="G192" s="7">
        <f>IF($U192="","",F192*S192/100)</f>
        <v/>
      </c>
      <c r="H192">
        <f>IF($U192="","",INDEX('Per Line'!$O$2:$O$501,$U192)&amp;"")</f>
        <v/>
      </c>
      <c r="I192" s="11">
        <f>IF($U192="","",INDEX('Per Line'!$Q$2:$Q$501,$U192))</f>
        <v/>
      </c>
      <c r="J192">
        <f>IF($U192="","",INDEX('Per Line'!$R$2:$R$501,$U192)&amp;"")</f>
        <v/>
      </c>
      <c r="K192">
        <f>IF($U192="","",Settings!$C$7)</f>
        <v/>
      </c>
      <c r="L192" s="7">
        <f>IF($U192="","",SUMIFS('Per Line'!$N$2:$N$501,'Per Line'!$A$2:$A$501,$A192,'Per Line'!$W$2:$W$501,0))</f>
        <v/>
      </c>
      <c r="M192" s="7">
        <f>IF($U192="","",L192*K192)</f>
        <v/>
      </c>
      <c r="N192">
        <f>IF($U192="","",Settings!$C$6)</f>
        <v/>
      </c>
      <c r="O192" s="7">
        <f>IF($U192="","",SUMIFS('Per Line'!$N$2:$N$501,'Per Line'!$A$2:$A$501,$A192,'Per Line'!$W$2:$W$501,1))</f>
        <v/>
      </c>
      <c r="P192" s="7">
        <f>IF($U192="","",O192*N192)</f>
        <v/>
      </c>
      <c r="Q192" s="7">
        <f>IF($U192="","",P192+M192)</f>
        <v/>
      </c>
      <c r="R192" s="7">
        <f>IF($U192="","",S192-Q192)</f>
        <v/>
      </c>
      <c r="S192" s="7">
        <f>IF($U192="","",L192+O192)</f>
        <v/>
      </c>
      <c r="T192" s="7">
        <f>IF($U192="","",S192-Q192-G192)</f>
        <v/>
      </c>
      <c r="U192" s="13">
        <f>IF(ROWS($U$2:$U192)&lt;=MAX('Per Line'!$V$2:$V$501),MATCH(ROWS($U$2:$U192),'Per Line'!$V$2:$V$501,0),"")</f>
        <v/>
      </c>
    </row>
    <row r="193">
      <c r="A193">
        <f>IF($U193="","",INDEX('Per Line'!$A$2:$A$501,$U193)&amp;"")</f>
        <v/>
      </c>
      <c r="B193" s="12" t="n"/>
      <c r="C193">
        <f>IF($U193="","",INDEX('Per Line'!$B$2:$B$501,$U193)&amp;"")</f>
        <v/>
      </c>
      <c r="D193">
        <f>IF($U193="","",INDEX('Per Line'!$C$2:$C$501,$U193)&amp;"")</f>
        <v/>
      </c>
      <c r="E193">
        <f>IF($U193="","",INDEX('Per Line'!$D$2:$D$501,$U193)&amp;"")</f>
        <v/>
      </c>
      <c r="F193">
        <f>IF($U193="","",INDEX('Per Line'!$E$2:$E$501,$U193))</f>
        <v/>
      </c>
      <c r="G193" s="7">
        <f>IF($U193="","",F193*S193/100)</f>
        <v/>
      </c>
      <c r="H193">
        <f>IF($U193="","",INDEX('Per Line'!$O$2:$O$501,$U193)&amp;"")</f>
        <v/>
      </c>
      <c r="I193" s="11">
        <f>IF($U193="","",INDEX('Per Line'!$Q$2:$Q$501,$U193))</f>
        <v/>
      </c>
      <c r="J193">
        <f>IF($U193="","",INDEX('Per Line'!$R$2:$R$501,$U193)&amp;"")</f>
        <v/>
      </c>
      <c r="K193">
        <f>IF($U193="","",Settings!$C$7)</f>
        <v/>
      </c>
      <c r="L193" s="7">
        <f>IF($U193="","",SUMIFS('Per Line'!$N$2:$N$501,'Per Line'!$A$2:$A$501,$A193,'Per Line'!$W$2:$W$501,0))</f>
        <v/>
      </c>
      <c r="M193" s="7">
        <f>IF($U193="","",L193*K193)</f>
        <v/>
      </c>
      <c r="N193">
        <f>IF($U193="","",Settings!$C$6)</f>
        <v/>
      </c>
      <c r="O193" s="7">
        <f>IF($U193="","",SUMIFS('Per Line'!$N$2:$N$501,'Per Line'!$A$2:$A$501,$A193,'Per Line'!$W$2:$W$501,1))</f>
        <v/>
      </c>
      <c r="P193" s="7">
        <f>IF($U193="","",O193*N193)</f>
        <v/>
      </c>
      <c r="Q193" s="7">
        <f>IF($U193="","",P193+M193)</f>
        <v/>
      </c>
      <c r="R193" s="7">
        <f>IF($U193="","",S193-Q193)</f>
        <v/>
      </c>
      <c r="S193" s="7">
        <f>IF($U193="","",L193+O193)</f>
        <v/>
      </c>
      <c r="T193" s="7">
        <f>IF($U193="","",S193-Q193-G193)</f>
        <v/>
      </c>
      <c r="U193" s="13">
        <f>IF(ROWS($U$2:$U193)&lt;=MAX('Per Line'!$V$2:$V$501),MATCH(ROWS($U$2:$U193),'Per Line'!$V$2:$V$501,0),"")</f>
        <v/>
      </c>
    </row>
    <row r="194">
      <c r="A194">
        <f>IF($U194="","",INDEX('Per Line'!$A$2:$A$501,$U194)&amp;"")</f>
        <v/>
      </c>
      <c r="B194" s="12" t="n"/>
      <c r="C194">
        <f>IF($U194="","",INDEX('Per Line'!$B$2:$B$501,$U194)&amp;"")</f>
        <v/>
      </c>
      <c r="D194">
        <f>IF($U194="","",INDEX('Per Line'!$C$2:$C$501,$U194)&amp;"")</f>
        <v/>
      </c>
      <c r="E194">
        <f>IF($U194="","",INDEX('Per Line'!$D$2:$D$501,$U194)&amp;"")</f>
        <v/>
      </c>
      <c r="F194">
        <f>IF($U194="","",INDEX('Per Line'!$E$2:$E$501,$U194))</f>
        <v/>
      </c>
      <c r="G194" s="7">
        <f>IF($U194="","",F194*S194/100)</f>
        <v/>
      </c>
      <c r="H194">
        <f>IF($U194="","",INDEX('Per Line'!$O$2:$O$501,$U194)&amp;"")</f>
        <v/>
      </c>
      <c r="I194" s="11">
        <f>IF($U194="","",INDEX('Per Line'!$Q$2:$Q$501,$U194))</f>
        <v/>
      </c>
      <c r="J194">
        <f>IF($U194="","",INDEX('Per Line'!$R$2:$R$501,$U194)&amp;"")</f>
        <v/>
      </c>
      <c r="K194">
        <f>IF($U194="","",Settings!$C$7)</f>
        <v/>
      </c>
      <c r="L194" s="7">
        <f>IF($U194="","",SUMIFS('Per Line'!$N$2:$N$501,'Per Line'!$A$2:$A$501,$A194,'Per Line'!$W$2:$W$501,0))</f>
        <v/>
      </c>
      <c r="M194" s="7">
        <f>IF($U194="","",L194*K194)</f>
        <v/>
      </c>
      <c r="N194">
        <f>IF($U194="","",Settings!$C$6)</f>
        <v/>
      </c>
      <c r="O194" s="7">
        <f>IF($U194="","",SUMIFS('Per Line'!$N$2:$N$501,'Per Line'!$A$2:$A$501,$A194,'Per Line'!$W$2:$W$501,1))</f>
        <v/>
      </c>
      <c r="P194" s="7">
        <f>IF($U194="","",O194*N194)</f>
        <v/>
      </c>
      <c r="Q194" s="7">
        <f>IF($U194="","",P194+M194)</f>
        <v/>
      </c>
      <c r="R194" s="7">
        <f>IF($U194="","",S194-Q194)</f>
        <v/>
      </c>
      <c r="S194" s="7">
        <f>IF($U194="","",L194+O194)</f>
        <v/>
      </c>
      <c r="T194" s="7">
        <f>IF($U194="","",S194-Q194-G194)</f>
        <v/>
      </c>
      <c r="U194" s="13">
        <f>IF(ROWS($U$2:$U194)&lt;=MAX('Per Line'!$V$2:$V$501),MATCH(ROWS($U$2:$U194),'Per Line'!$V$2:$V$501,0),"")</f>
        <v/>
      </c>
    </row>
    <row r="195">
      <c r="A195">
        <f>IF($U195="","",INDEX('Per Line'!$A$2:$A$501,$U195)&amp;"")</f>
        <v/>
      </c>
      <c r="B195" s="12" t="n"/>
      <c r="C195">
        <f>IF($U195="","",INDEX('Per Line'!$B$2:$B$501,$U195)&amp;"")</f>
        <v/>
      </c>
      <c r="D195">
        <f>IF($U195="","",INDEX('Per Line'!$C$2:$C$501,$U195)&amp;"")</f>
        <v/>
      </c>
      <c r="E195">
        <f>IF($U195="","",INDEX('Per Line'!$D$2:$D$501,$U195)&amp;"")</f>
        <v/>
      </c>
      <c r="F195">
        <f>IF($U195="","",INDEX('Per Line'!$E$2:$E$501,$U195))</f>
        <v/>
      </c>
      <c r="G195" s="7">
        <f>IF($U195="","",F195*S195/100)</f>
        <v/>
      </c>
      <c r="H195">
        <f>IF($U195="","",INDEX('Per Line'!$O$2:$O$501,$U195)&amp;"")</f>
        <v/>
      </c>
      <c r="I195" s="11">
        <f>IF($U195="","",INDEX('Per Line'!$Q$2:$Q$501,$U195))</f>
        <v/>
      </c>
      <c r="J195">
        <f>IF($U195="","",INDEX('Per Line'!$R$2:$R$501,$U195)&amp;"")</f>
        <v/>
      </c>
      <c r="K195">
        <f>IF($U195="","",Settings!$C$7)</f>
        <v/>
      </c>
      <c r="L195" s="7">
        <f>IF($U195="","",SUMIFS('Per Line'!$N$2:$N$501,'Per Line'!$A$2:$A$501,$A195,'Per Line'!$W$2:$W$501,0))</f>
        <v/>
      </c>
      <c r="M195" s="7">
        <f>IF($U195="","",L195*K195)</f>
        <v/>
      </c>
      <c r="N195">
        <f>IF($U195="","",Settings!$C$6)</f>
        <v/>
      </c>
      <c r="O195" s="7">
        <f>IF($U195="","",SUMIFS('Per Line'!$N$2:$N$501,'Per Line'!$A$2:$A$501,$A195,'Per Line'!$W$2:$W$501,1))</f>
        <v/>
      </c>
      <c r="P195" s="7">
        <f>IF($U195="","",O195*N195)</f>
        <v/>
      </c>
      <c r="Q195" s="7">
        <f>IF($U195="","",P195+M195)</f>
        <v/>
      </c>
      <c r="R195" s="7">
        <f>IF($U195="","",S195-Q195)</f>
        <v/>
      </c>
      <c r="S195" s="7">
        <f>IF($U195="","",L195+O195)</f>
        <v/>
      </c>
      <c r="T195" s="7">
        <f>IF($U195="","",S195-Q195-G195)</f>
        <v/>
      </c>
      <c r="U195" s="13">
        <f>IF(ROWS($U$2:$U195)&lt;=MAX('Per Line'!$V$2:$V$501),MATCH(ROWS($U$2:$U195),'Per Line'!$V$2:$V$501,0),"")</f>
        <v/>
      </c>
    </row>
    <row r="196">
      <c r="A196">
        <f>IF($U196="","",INDEX('Per Line'!$A$2:$A$501,$U196)&amp;"")</f>
        <v/>
      </c>
      <c r="B196" s="12" t="n"/>
      <c r="C196">
        <f>IF($U196="","",INDEX('Per Line'!$B$2:$B$501,$U196)&amp;"")</f>
        <v/>
      </c>
      <c r="D196">
        <f>IF($U196="","",INDEX('Per Line'!$C$2:$C$501,$U196)&amp;"")</f>
        <v/>
      </c>
      <c r="E196">
        <f>IF($U196="","",INDEX('Per Line'!$D$2:$D$501,$U196)&amp;"")</f>
        <v/>
      </c>
      <c r="F196">
        <f>IF($U196="","",INDEX('Per Line'!$E$2:$E$501,$U196))</f>
        <v/>
      </c>
      <c r="G196" s="7">
        <f>IF($U196="","",F196*S196/100)</f>
        <v/>
      </c>
      <c r="H196">
        <f>IF($U196="","",INDEX('Per Line'!$O$2:$O$501,$U196)&amp;"")</f>
        <v/>
      </c>
      <c r="I196" s="11">
        <f>IF($U196="","",INDEX('Per Line'!$Q$2:$Q$501,$U196))</f>
        <v/>
      </c>
      <c r="J196">
        <f>IF($U196="","",INDEX('Per Line'!$R$2:$R$501,$U196)&amp;"")</f>
        <v/>
      </c>
      <c r="K196">
        <f>IF($U196="","",Settings!$C$7)</f>
        <v/>
      </c>
      <c r="L196" s="7">
        <f>IF($U196="","",SUMIFS('Per Line'!$N$2:$N$501,'Per Line'!$A$2:$A$501,$A196,'Per Line'!$W$2:$W$501,0))</f>
        <v/>
      </c>
      <c r="M196" s="7">
        <f>IF($U196="","",L196*K196)</f>
        <v/>
      </c>
      <c r="N196">
        <f>IF($U196="","",Settings!$C$6)</f>
        <v/>
      </c>
      <c r="O196" s="7">
        <f>IF($U196="","",SUMIFS('Per Line'!$N$2:$N$501,'Per Line'!$A$2:$A$501,$A196,'Per Line'!$W$2:$W$501,1))</f>
        <v/>
      </c>
      <c r="P196" s="7">
        <f>IF($U196="","",O196*N196)</f>
        <v/>
      </c>
      <c r="Q196" s="7">
        <f>IF($U196="","",P196+M196)</f>
        <v/>
      </c>
      <c r="R196" s="7">
        <f>IF($U196="","",S196-Q196)</f>
        <v/>
      </c>
      <c r="S196" s="7">
        <f>IF($U196="","",L196+O196)</f>
        <v/>
      </c>
      <c r="T196" s="7">
        <f>IF($U196="","",S196-Q196-G196)</f>
        <v/>
      </c>
      <c r="U196" s="13">
        <f>IF(ROWS($U$2:$U196)&lt;=MAX('Per Line'!$V$2:$V$501),MATCH(ROWS($U$2:$U196),'Per Line'!$V$2:$V$501,0),"")</f>
        <v/>
      </c>
    </row>
    <row r="197">
      <c r="A197">
        <f>IF($U197="","",INDEX('Per Line'!$A$2:$A$501,$U197)&amp;"")</f>
        <v/>
      </c>
      <c r="B197" s="12" t="n"/>
      <c r="C197">
        <f>IF($U197="","",INDEX('Per Line'!$B$2:$B$501,$U197)&amp;"")</f>
        <v/>
      </c>
      <c r="D197">
        <f>IF($U197="","",INDEX('Per Line'!$C$2:$C$501,$U197)&amp;"")</f>
        <v/>
      </c>
      <c r="E197">
        <f>IF($U197="","",INDEX('Per Line'!$D$2:$D$501,$U197)&amp;"")</f>
        <v/>
      </c>
      <c r="F197">
        <f>IF($U197="","",INDEX('Per Line'!$E$2:$E$501,$U197))</f>
        <v/>
      </c>
      <c r="G197" s="7">
        <f>IF($U197="","",F197*S197/100)</f>
        <v/>
      </c>
      <c r="H197">
        <f>IF($U197="","",INDEX('Per Line'!$O$2:$O$501,$U197)&amp;"")</f>
        <v/>
      </c>
      <c r="I197" s="11">
        <f>IF($U197="","",INDEX('Per Line'!$Q$2:$Q$501,$U197))</f>
        <v/>
      </c>
      <c r="J197">
        <f>IF($U197="","",INDEX('Per Line'!$R$2:$R$501,$U197)&amp;"")</f>
        <v/>
      </c>
      <c r="K197">
        <f>IF($U197="","",Settings!$C$7)</f>
        <v/>
      </c>
      <c r="L197" s="7">
        <f>IF($U197="","",SUMIFS('Per Line'!$N$2:$N$501,'Per Line'!$A$2:$A$501,$A197,'Per Line'!$W$2:$W$501,0))</f>
        <v/>
      </c>
      <c r="M197" s="7">
        <f>IF($U197="","",L197*K197)</f>
        <v/>
      </c>
      <c r="N197">
        <f>IF($U197="","",Settings!$C$6)</f>
        <v/>
      </c>
      <c r="O197" s="7">
        <f>IF($U197="","",SUMIFS('Per Line'!$N$2:$N$501,'Per Line'!$A$2:$A$501,$A197,'Per Line'!$W$2:$W$501,1))</f>
        <v/>
      </c>
      <c r="P197" s="7">
        <f>IF($U197="","",O197*N197)</f>
        <v/>
      </c>
      <c r="Q197" s="7">
        <f>IF($U197="","",P197+M197)</f>
        <v/>
      </c>
      <c r="R197" s="7">
        <f>IF($U197="","",S197-Q197)</f>
        <v/>
      </c>
      <c r="S197" s="7">
        <f>IF($U197="","",L197+O197)</f>
        <v/>
      </c>
      <c r="T197" s="7">
        <f>IF($U197="","",S197-Q197-G197)</f>
        <v/>
      </c>
      <c r="U197" s="13">
        <f>IF(ROWS($U$2:$U197)&lt;=MAX('Per Line'!$V$2:$V$501),MATCH(ROWS($U$2:$U197),'Per Line'!$V$2:$V$501,0),"")</f>
        <v/>
      </c>
    </row>
    <row r="198">
      <c r="A198">
        <f>IF($U198="","",INDEX('Per Line'!$A$2:$A$501,$U198)&amp;"")</f>
        <v/>
      </c>
      <c r="B198" s="12" t="n"/>
      <c r="C198">
        <f>IF($U198="","",INDEX('Per Line'!$B$2:$B$501,$U198)&amp;"")</f>
        <v/>
      </c>
      <c r="D198">
        <f>IF($U198="","",INDEX('Per Line'!$C$2:$C$501,$U198)&amp;"")</f>
        <v/>
      </c>
      <c r="E198">
        <f>IF($U198="","",INDEX('Per Line'!$D$2:$D$501,$U198)&amp;"")</f>
        <v/>
      </c>
      <c r="F198">
        <f>IF($U198="","",INDEX('Per Line'!$E$2:$E$501,$U198))</f>
        <v/>
      </c>
      <c r="G198" s="7">
        <f>IF($U198="","",F198*S198/100)</f>
        <v/>
      </c>
      <c r="H198">
        <f>IF($U198="","",INDEX('Per Line'!$O$2:$O$501,$U198)&amp;"")</f>
        <v/>
      </c>
      <c r="I198" s="11">
        <f>IF($U198="","",INDEX('Per Line'!$Q$2:$Q$501,$U198))</f>
        <v/>
      </c>
      <c r="J198">
        <f>IF($U198="","",INDEX('Per Line'!$R$2:$R$501,$U198)&amp;"")</f>
        <v/>
      </c>
      <c r="K198">
        <f>IF($U198="","",Settings!$C$7)</f>
        <v/>
      </c>
      <c r="L198" s="7">
        <f>IF($U198="","",SUMIFS('Per Line'!$N$2:$N$501,'Per Line'!$A$2:$A$501,$A198,'Per Line'!$W$2:$W$501,0))</f>
        <v/>
      </c>
      <c r="M198" s="7">
        <f>IF($U198="","",L198*K198)</f>
        <v/>
      </c>
      <c r="N198">
        <f>IF($U198="","",Settings!$C$6)</f>
        <v/>
      </c>
      <c r="O198" s="7">
        <f>IF($U198="","",SUMIFS('Per Line'!$N$2:$N$501,'Per Line'!$A$2:$A$501,$A198,'Per Line'!$W$2:$W$501,1))</f>
        <v/>
      </c>
      <c r="P198" s="7">
        <f>IF($U198="","",O198*N198)</f>
        <v/>
      </c>
      <c r="Q198" s="7">
        <f>IF($U198="","",P198+M198)</f>
        <v/>
      </c>
      <c r="R198" s="7">
        <f>IF($U198="","",S198-Q198)</f>
        <v/>
      </c>
      <c r="S198" s="7">
        <f>IF($U198="","",L198+O198)</f>
        <v/>
      </c>
      <c r="T198" s="7">
        <f>IF($U198="","",S198-Q198-G198)</f>
        <v/>
      </c>
      <c r="U198" s="13">
        <f>IF(ROWS($U$2:$U198)&lt;=MAX('Per Line'!$V$2:$V$501),MATCH(ROWS($U$2:$U198),'Per Line'!$V$2:$V$501,0),"")</f>
        <v/>
      </c>
    </row>
    <row r="199">
      <c r="A199">
        <f>IF($U199="","",INDEX('Per Line'!$A$2:$A$501,$U199)&amp;"")</f>
        <v/>
      </c>
      <c r="B199" s="12" t="n"/>
      <c r="C199">
        <f>IF($U199="","",INDEX('Per Line'!$B$2:$B$501,$U199)&amp;"")</f>
        <v/>
      </c>
      <c r="D199">
        <f>IF($U199="","",INDEX('Per Line'!$C$2:$C$501,$U199)&amp;"")</f>
        <v/>
      </c>
      <c r="E199">
        <f>IF($U199="","",INDEX('Per Line'!$D$2:$D$501,$U199)&amp;"")</f>
        <v/>
      </c>
      <c r="F199">
        <f>IF($U199="","",INDEX('Per Line'!$E$2:$E$501,$U199))</f>
        <v/>
      </c>
      <c r="G199" s="7">
        <f>IF($U199="","",F199*S199/100)</f>
        <v/>
      </c>
      <c r="H199">
        <f>IF($U199="","",INDEX('Per Line'!$O$2:$O$501,$U199)&amp;"")</f>
        <v/>
      </c>
      <c r="I199" s="11">
        <f>IF($U199="","",INDEX('Per Line'!$Q$2:$Q$501,$U199))</f>
        <v/>
      </c>
      <c r="J199">
        <f>IF($U199="","",INDEX('Per Line'!$R$2:$R$501,$U199)&amp;"")</f>
        <v/>
      </c>
      <c r="K199">
        <f>IF($U199="","",Settings!$C$7)</f>
        <v/>
      </c>
      <c r="L199" s="7">
        <f>IF($U199="","",SUMIFS('Per Line'!$N$2:$N$501,'Per Line'!$A$2:$A$501,$A199,'Per Line'!$W$2:$W$501,0))</f>
        <v/>
      </c>
      <c r="M199" s="7">
        <f>IF($U199="","",L199*K199)</f>
        <v/>
      </c>
      <c r="N199">
        <f>IF($U199="","",Settings!$C$6)</f>
        <v/>
      </c>
      <c r="O199" s="7">
        <f>IF($U199="","",SUMIFS('Per Line'!$N$2:$N$501,'Per Line'!$A$2:$A$501,$A199,'Per Line'!$W$2:$W$501,1))</f>
        <v/>
      </c>
      <c r="P199" s="7">
        <f>IF($U199="","",O199*N199)</f>
        <v/>
      </c>
      <c r="Q199" s="7">
        <f>IF($U199="","",P199+M199)</f>
        <v/>
      </c>
      <c r="R199" s="7">
        <f>IF($U199="","",S199-Q199)</f>
        <v/>
      </c>
      <c r="S199" s="7">
        <f>IF($U199="","",L199+O199)</f>
        <v/>
      </c>
      <c r="T199" s="7">
        <f>IF($U199="","",S199-Q199-G199)</f>
        <v/>
      </c>
      <c r="U199" s="13">
        <f>IF(ROWS($U$2:$U199)&lt;=MAX('Per Line'!$V$2:$V$501),MATCH(ROWS($U$2:$U199),'Per Line'!$V$2:$V$501,0),"")</f>
        <v/>
      </c>
    </row>
    <row r="200">
      <c r="A200">
        <f>IF($U200="","",INDEX('Per Line'!$A$2:$A$501,$U200)&amp;"")</f>
        <v/>
      </c>
      <c r="B200" s="12" t="n"/>
      <c r="C200">
        <f>IF($U200="","",INDEX('Per Line'!$B$2:$B$501,$U200)&amp;"")</f>
        <v/>
      </c>
      <c r="D200">
        <f>IF($U200="","",INDEX('Per Line'!$C$2:$C$501,$U200)&amp;"")</f>
        <v/>
      </c>
      <c r="E200">
        <f>IF($U200="","",INDEX('Per Line'!$D$2:$D$501,$U200)&amp;"")</f>
        <v/>
      </c>
      <c r="F200">
        <f>IF($U200="","",INDEX('Per Line'!$E$2:$E$501,$U200))</f>
        <v/>
      </c>
      <c r="G200" s="7">
        <f>IF($U200="","",F200*S200/100)</f>
        <v/>
      </c>
      <c r="H200">
        <f>IF($U200="","",INDEX('Per Line'!$O$2:$O$501,$U200)&amp;"")</f>
        <v/>
      </c>
      <c r="I200" s="11">
        <f>IF($U200="","",INDEX('Per Line'!$Q$2:$Q$501,$U200))</f>
        <v/>
      </c>
      <c r="J200">
        <f>IF($U200="","",INDEX('Per Line'!$R$2:$R$501,$U200)&amp;"")</f>
        <v/>
      </c>
      <c r="K200">
        <f>IF($U200="","",Settings!$C$7)</f>
        <v/>
      </c>
      <c r="L200" s="7">
        <f>IF($U200="","",SUMIFS('Per Line'!$N$2:$N$501,'Per Line'!$A$2:$A$501,$A200,'Per Line'!$W$2:$W$501,0))</f>
        <v/>
      </c>
      <c r="M200" s="7">
        <f>IF($U200="","",L200*K200)</f>
        <v/>
      </c>
      <c r="N200">
        <f>IF($U200="","",Settings!$C$6)</f>
        <v/>
      </c>
      <c r="O200" s="7">
        <f>IF($U200="","",SUMIFS('Per Line'!$N$2:$N$501,'Per Line'!$A$2:$A$501,$A200,'Per Line'!$W$2:$W$501,1))</f>
        <v/>
      </c>
      <c r="P200" s="7">
        <f>IF($U200="","",O200*N200)</f>
        <v/>
      </c>
      <c r="Q200" s="7">
        <f>IF($U200="","",P200+M200)</f>
        <v/>
      </c>
      <c r="R200" s="7">
        <f>IF($U200="","",S200-Q200)</f>
        <v/>
      </c>
      <c r="S200" s="7">
        <f>IF($U200="","",L200+O200)</f>
        <v/>
      </c>
      <c r="T200" s="7">
        <f>IF($U200="","",S200-Q200-G200)</f>
        <v/>
      </c>
      <c r="U200" s="13">
        <f>IF(ROWS($U$2:$U200)&lt;=MAX('Per Line'!$V$2:$V$501),MATCH(ROWS($U$2:$U200),'Per Line'!$V$2:$V$501,0),"")</f>
        <v/>
      </c>
    </row>
    <row r="201">
      <c r="A201">
        <f>IF($U201="","",INDEX('Per Line'!$A$2:$A$501,$U201)&amp;"")</f>
        <v/>
      </c>
      <c r="B201" s="12" t="n"/>
      <c r="C201">
        <f>IF($U201="","",INDEX('Per Line'!$B$2:$B$501,$U201)&amp;"")</f>
        <v/>
      </c>
      <c r="D201">
        <f>IF($U201="","",INDEX('Per Line'!$C$2:$C$501,$U201)&amp;"")</f>
        <v/>
      </c>
      <c r="E201">
        <f>IF($U201="","",INDEX('Per Line'!$D$2:$D$501,$U201)&amp;"")</f>
        <v/>
      </c>
      <c r="F201">
        <f>IF($U201="","",INDEX('Per Line'!$E$2:$E$501,$U201))</f>
        <v/>
      </c>
      <c r="G201" s="7">
        <f>IF($U201="","",F201*S201/100)</f>
        <v/>
      </c>
      <c r="H201">
        <f>IF($U201="","",INDEX('Per Line'!$O$2:$O$501,$U201)&amp;"")</f>
        <v/>
      </c>
      <c r="I201" s="11">
        <f>IF($U201="","",INDEX('Per Line'!$Q$2:$Q$501,$U201))</f>
        <v/>
      </c>
      <c r="J201">
        <f>IF($U201="","",INDEX('Per Line'!$R$2:$R$501,$U201)&amp;"")</f>
        <v/>
      </c>
      <c r="K201">
        <f>IF($U201="","",Settings!$C$7)</f>
        <v/>
      </c>
      <c r="L201" s="7">
        <f>IF($U201="","",SUMIFS('Per Line'!$N$2:$N$501,'Per Line'!$A$2:$A$501,$A201,'Per Line'!$W$2:$W$501,0))</f>
        <v/>
      </c>
      <c r="M201" s="7">
        <f>IF($U201="","",L201*K201)</f>
        <v/>
      </c>
      <c r="N201">
        <f>IF($U201="","",Settings!$C$6)</f>
        <v/>
      </c>
      <c r="O201" s="7">
        <f>IF($U201="","",SUMIFS('Per Line'!$N$2:$N$501,'Per Line'!$A$2:$A$501,$A201,'Per Line'!$W$2:$W$501,1))</f>
        <v/>
      </c>
      <c r="P201" s="7">
        <f>IF($U201="","",O201*N201)</f>
        <v/>
      </c>
      <c r="Q201" s="7">
        <f>IF($U201="","",P201+M201)</f>
        <v/>
      </c>
      <c r="R201" s="7">
        <f>IF($U201="","",S201-Q201)</f>
        <v/>
      </c>
      <c r="S201" s="7">
        <f>IF($U201="","",L201+O201)</f>
        <v/>
      </c>
      <c r="T201" s="7">
        <f>IF($U201="","",S201-Q201-G201)</f>
        <v/>
      </c>
      <c r="U201" s="13">
        <f>IF(ROWS($U$2:$U201)&lt;=MAX('Per Line'!$V$2:$V$501),MATCH(ROWS($U$2:$U201),'Per Line'!$V$2:$V$501,0),"")</f>
        <v/>
      </c>
    </row>
  </sheetData>
  <autoFilter ref="A1:U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2" customHeight="1">
      <c r="A1" s="9" t="inlineStr">
        <is>
          <t>م</t>
        </is>
      </c>
      <c r="B1" s="9" t="inlineStr">
        <is>
          <t>التاريخ</t>
        </is>
      </c>
      <c r="C1" s="9" t="inlineStr">
        <is>
          <t>كود الموظف</t>
        </is>
      </c>
      <c r="D1" s="9" t="inlineStr">
        <is>
          <t>الاسم</t>
        </is>
      </c>
      <c r="E1" s="9" t="inlineStr">
        <is>
          <t>الفرع</t>
        </is>
      </c>
      <c r="F1" s="9" t="inlineStr">
        <is>
          <t>محلي</t>
        </is>
      </c>
      <c r="G1" s="9" t="inlineStr">
        <is>
          <t>خصم محلي</t>
        </is>
      </c>
      <c r="H1" s="9" t="inlineStr">
        <is>
          <t>مستورد</t>
        </is>
      </c>
      <c r="I1" s="9" t="inlineStr">
        <is>
          <t>خصم مستورد</t>
        </is>
      </c>
      <c r="J1" s="9" t="inlineStr">
        <is>
          <t>بدون خصم</t>
        </is>
      </c>
      <c r="K1" s="9" t="inlineStr">
        <is>
          <t>اجمالي الفاتورة</t>
        </is>
      </c>
      <c r="L1" s="9" t="inlineStr">
        <is>
          <t>الاجمالي بعد الخصم</t>
        </is>
      </c>
      <c r="M1" s="8" t="inlineStr">
        <is>
          <t>ضريبة</t>
        </is>
      </c>
      <c r="N1" s="8" t="inlineStr">
        <is>
          <t>القيمه بعد الخصم</t>
        </is>
      </c>
      <c r="O1" s="8" t="inlineStr">
        <is>
          <t>القسم</t>
        </is>
      </c>
      <c r="P1" s="8" t="inlineStr">
        <is>
          <t>خصم 20%</t>
        </is>
      </c>
      <c r="Q1" s="8" t="inlineStr">
        <is>
          <t>بعد خصم 20%</t>
        </is>
      </c>
    </row>
    <row r="2">
      <c r="A2" s="6" t="inlineStr">
        <is>
          <t>Total</t>
        </is>
      </c>
      <c r="F2" s="14">
        <f>SUM(F3:F202)</f>
        <v/>
      </c>
      <c r="G2" s="14">
        <f>SUM(G3:G202)</f>
        <v/>
      </c>
      <c r="H2" s="14">
        <f>SUM(H3:H202)</f>
        <v/>
      </c>
      <c r="I2" s="14">
        <f>SUM(I3:I202)</f>
        <v/>
      </c>
      <c r="K2" s="14">
        <f>SUM(K3:K202)</f>
        <v/>
      </c>
      <c r="L2" s="14">
        <f>SUM(L3:L202)</f>
        <v/>
      </c>
    </row>
    <row r="3">
      <c r="A3">
        <f>IF('Per Invoice'!$U2="","",ROWS($A$3:A3))</f>
        <v/>
      </c>
      <c r="B3" s="11">
        <f>IF('Per Invoice'!$U2="","",'Per Invoice'!I2)</f>
        <v/>
      </c>
      <c r="C3">
        <f>IF('Per Invoice'!$U2="","",'Per Invoice'!E2)</f>
        <v/>
      </c>
      <c r="D3">
        <f>IF('Per Invoice'!$U2="","",'Per Invoice'!D2)</f>
        <v/>
      </c>
      <c r="E3">
        <f>IF('Per Invoice'!$U2="","",'Per Invoice'!C2)</f>
        <v/>
      </c>
      <c r="F3" s="7">
        <f>IF('Per Invoice'!$U2="","",'Per Invoice'!O2)</f>
        <v/>
      </c>
      <c r="G3" s="7">
        <f>IF('Per Invoice'!$U2="","",'Per Invoice'!P2)</f>
        <v/>
      </c>
      <c r="H3" s="7">
        <f>IF('Per Invoice'!$U2="","",'Per Invoice'!L2)</f>
        <v/>
      </c>
      <c r="I3" s="7">
        <f>IF('Per Invoice'!$U2="","",'Per Invoice'!M2)</f>
        <v/>
      </c>
      <c r="K3" s="7">
        <f>IF('Per Invoice'!$U2="","",'Per Invoice'!S2)</f>
        <v/>
      </c>
      <c r="L3" s="7">
        <f>IF('Per Invoice'!$U2="","",'Per Invoice'!R2)</f>
        <v/>
      </c>
    </row>
    <row r="4">
      <c r="A4">
        <f>IF('Per Invoice'!$U3="","",ROWS($A$3:A4))</f>
        <v/>
      </c>
      <c r="B4" s="11">
        <f>IF('Per Invoice'!$U3="","",'Per Invoice'!I3)</f>
        <v/>
      </c>
      <c r="C4">
        <f>IF('Per Invoice'!$U3="","",'Per Invoice'!E3)</f>
        <v/>
      </c>
      <c r="D4">
        <f>IF('Per Invoice'!$U3="","",'Per Invoice'!D3)</f>
        <v/>
      </c>
      <c r="E4">
        <f>IF('Per Invoice'!$U3="","",'Per Invoice'!C3)</f>
        <v/>
      </c>
      <c r="F4" s="7">
        <f>IF('Per Invoice'!$U3="","",'Per Invoice'!O3)</f>
        <v/>
      </c>
      <c r="G4" s="7">
        <f>IF('Per Invoice'!$U3="","",'Per Invoice'!P3)</f>
        <v/>
      </c>
      <c r="H4" s="7">
        <f>IF('Per Invoice'!$U3="","",'Per Invoice'!L3)</f>
        <v/>
      </c>
      <c r="I4" s="7">
        <f>IF('Per Invoice'!$U3="","",'Per Invoice'!M3)</f>
        <v/>
      </c>
      <c r="K4" s="7">
        <f>IF('Per Invoice'!$U3="","",'Per Invoice'!S3)</f>
        <v/>
      </c>
      <c r="L4" s="7">
        <f>IF('Per Invoice'!$U3="","",'Per Invoice'!R3)</f>
        <v/>
      </c>
    </row>
    <row r="5">
      <c r="A5">
        <f>IF('Per Invoice'!$U4="","",ROWS($A$3:A5))</f>
        <v/>
      </c>
      <c r="B5" s="11">
        <f>IF('Per Invoice'!$U4="","",'Per Invoice'!I4)</f>
        <v/>
      </c>
      <c r="C5">
        <f>IF('Per Invoice'!$U4="","",'Per Invoice'!E4)</f>
        <v/>
      </c>
      <c r="D5">
        <f>IF('Per Invoice'!$U4="","",'Per Invoice'!D4)</f>
        <v/>
      </c>
      <c r="E5">
        <f>IF('Per Invoice'!$U4="","",'Per Invoice'!C4)</f>
        <v/>
      </c>
      <c r="F5" s="7">
        <f>IF('Per Invoice'!$U4="","",'Per Invoice'!O4)</f>
        <v/>
      </c>
      <c r="G5" s="7">
        <f>IF('Per Invoice'!$U4="","",'Per Invoice'!P4)</f>
        <v/>
      </c>
      <c r="H5" s="7">
        <f>IF('Per Invoice'!$U4="","",'Per Invoice'!L4)</f>
        <v/>
      </c>
      <c r="I5" s="7">
        <f>IF('Per Invoice'!$U4="","",'Per Invoice'!M4)</f>
        <v/>
      </c>
      <c r="K5" s="7">
        <f>IF('Per Invoice'!$U4="","",'Per Invoice'!S4)</f>
        <v/>
      </c>
      <c r="L5" s="7">
        <f>IF('Per Invoice'!$U4="","",'Per Invoice'!R4)</f>
        <v/>
      </c>
    </row>
    <row r="6">
      <c r="A6">
        <f>IF('Per Invoice'!$U5="","",ROWS($A$3:A6))</f>
        <v/>
      </c>
      <c r="B6" s="11">
        <f>IF('Per Invoice'!$U5="","",'Per Invoice'!I5)</f>
        <v/>
      </c>
      <c r="C6">
        <f>IF('Per Invoice'!$U5="","",'Per Invoice'!E5)</f>
        <v/>
      </c>
      <c r="D6">
        <f>IF('Per Invoice'!$U5="","",'Per Invoice'!D5)</f>
        <v/>
      </c>
      <c r="E6">
        <f>IF('Per Invoice'!$U5="","",'Per Invoice'!C5)</f>
        <v/>
      </c>
      <c r="F6" s="7">
        <f>IF('Per Invoice'!$U5="","",'Per Invoice'!O5)</f>
        <v/>
      </c>
      <c r="G6" s="7">
        <f>IF('Per Invoice'!$U5="","",'Per Invoice'!P5)</f>
        <v/>
      </c>
      <c r="H6" s="7">
        <f>IF('Per Invoice'!$U5="","",'Per Invoice'!L5)</f>
        <v/>
      </c>
      <c r="I6" s="7">
        <f>IF('Per Invoice'!$U5="","",'Per Invoice'!M5)</f>
        <v/>
      </c>
      <c r="K6" s="7">
        <f>IF('Per Invoice'!$U5="","",'Per Invoice'!S5)</f>
        <v/>
      </c>
      <c r="L6" s="7">
        <f>IF('Per Invoice'!$U5="","",'Per Invoice'!R5)</f>
        <v/>
      </c>
    </row>
    <row r="7">
      <c r="A7">
        <f>IF('Per Invoice'!$U6="","",ROWS($A$3:A7))</f>
        <v/>
      </c>
      <c r="B7" s="11">
        <f>IF('Per Invoice'!$U6="","",'Per Invoice'!I6)</f>
        <v/>
      </c>
      <c r="C7">
        <f>IF('Per Invoice'!$U6="","",'Per Invoice'!E6)</f>
        <v/>
      </c>
      <c r="D7">
        <f>IF('Per Invoice'!$U6="","",'Per Invoice'!D6)</f>
        <v/>
      </c>
      <c r="E7">
        <f>IF('Per Invoice'!$U6="","",'Per Invoice'!C6)</f>
        <v/>
      </c>
      <c r="F7" s="7">
        <f>IF('Per Invoice'!$U6="","",'Per Invoice'!O6)</f>
        <v/>
      </c>
      <c r="G7" s="7">
        <f>IF('Per Invoice'!$U6="","",'Per Invoice'!P6)</f>
        <v/>
      </c>
      <c r="H7" s="7">
        <f>IF('Per Invoice'!$U6="","",'Per Invoice'!L6)</f>
        <v/>
      </c>
      <c r="I7" s="7">
        <f>IF('Per Invoice'!$U6="","",'Per Invoice'!M6)</f>
        <v/>
      </c>
      <c r="K7" s="7">
        <f>IF('Per Invoice'!$U6="","",'Per Invoice'!S6)</f>
        <v/>
      </c>
      <c r="L7" s="7">
        <f>IF('Per Invoice'!$U6="","",'Per Invoice'!R6)</f>
        <v/>
      </c>
    </row>
    <row r="8">
      <c r="A8">
        <f>IF('Per Invoice'!$U7="","",ROWS($A$3:A8))</f>
        <v/>
      </c>
      <c r="B8" s="11">
        <f>IF('Per Invoice'!$U7="","",'Per Invoice'!I7)</f>
        <v/>
      </c>
      <c r="C8">
        <f>IF('Per Invoice'!$U7="","",'Per Invoice'!E7)</f>
        <v/>
      </c>
      <c r="D8">
        <f>IF('Per Invoice'!$U7="","",'Per Invoice'!D7)</f>
        <v/>
      </c>
      <c r="E8">
        <f>IF('Per Invoice'!$U7="","",'Per Invoice'!C7)</f>
        <v/>
      </c>
      <c r="F8" s="7">
        <f>IF('Per Invoice'!$U7="","",'Per Invoice'!O7)</f>
        <v/>
      </c>
      <c r="G8" s="7">
        <f>IF('Per Invoice'!$U7="","",'Per Invoice'!P7)</f>
        <v/>
      </c>
      <c r="H8" s="7">
        <f>IF('Per Invoice'!$U7="","",'Per Invoice'!L7)</f>
        <v/>
      </c>
      <c r="I8" s="7">
        <f>IF('Per Invoice'!$U7="","",'Per Invoice'!M7)</f>
        <v/>
      </c>
      <c r="K8" s="7">
        <f>IF('Per Invoice'!$U7="","",'Per Invoice'!S7)</f>
        <v/>
      </c>
      <c r="L8" s="7">
        <f>IF('Per Invoice'!$U7="","",'Per Invoice'!R7)</f>
        <v/>
      </c>
    </row>
    <row r="9">
      <c r="A9">
        <f>IF('Per Invoice'!$U8="","",ROWS($A$3:A9))</f>
        <v/>
      </c>
      <c r="B9" s="11">
        <f>IF('Per Invoice'!$U8="","",'Per Invoice'!I8)</f>
        <v/>
      </c>
      <c r="C9">
        <f>IF('Per Invoice'!$U8="","",'Per Invoice'!E8)</f>
        <v/>
      </c>
      <c r="D9">
        <f>IF('Per Invoice'!$U8="","",'Per Invoice'!D8)</f>
        <v/>
      </c>
      <c r="E9">
        <f>IF('Per Invoice'!$U8="","",'Per Invoice'!C8)</f>
        <v/>
      </c>
      <c r="F9" s="7">
        <f>IF('Per Invoice'!$U8="","",'Per Invoice'!O8)</f>
        <v/>
      </c>
      <c r="G9" s="7">
        <f>IF('Per Invoice'!$U8="","",'Per Invoice'!P8)</f>
        <v/>
      </c>
      <c r="H9" s="7">
        <f>IF('Per Invoice'!$U8="","",'Per Invoice'!L8)</f>
        <v/>
      </c>
      <c r="I9" s="7">
        <f>IF('Per Invoice'!$U8="","",'Per Invoice'!M8)</f>
        <v/>
      </c>
      <c r="K9" s="7">
        <f>IF('Per Invoice'!$U8="","",'Per Invoice'!S8)</f>
        <v/>
      </c>
      <c r="L9" s="7">
        <f>IF('Per Invoice'!$U8="","",'Per Invoice'!R8)</f>
        <v/>
      </c>
    </row>
    <row r="10">
      <c r="A10">
        <f>IF('Per Invoice'!$U9="","",ROWS($A$3:A10))</f>
        <v/>
      </c>
      <c r="B10" s="11">
        <f>IF('Per Invoice'!$U9="","",'Per Invoice'!I9)</f>
        <v/>
      </c>
      <c r="C10">
        <f>IF('Per Invoice'!$U9="","",'Per Invoice'!E9)</f>
        <v/>
      </c>
      <c r="D10">
        <f>IF('Per Invoice'!$U9="","",'Per Invoice'!D9)</f>
        <v/>
      </c>
      <c r="E10">
        <f>IF('Per Invoice'!$U9="","",'Per Invoice'!C9)</f>
        <v/>
      </c>
      <c r="F10" s="7">
        <f>IF('Per Invoice'!$U9="","",'Per Invoice'!O9)</f>
        <v/>
      </c>
      <c r="G10" s="7">
        <f>IF('Per Invoice'!$U9="","",'Per Invoice'!P9)</f>
        <v/>
      </c>
      <c r="H10" s="7">
        <f>IF('Per Invoice'!$U9="","",'Per Invoice'!L9)</f>
        <v/>
      </c>
      <c r="I10" s="7">
        <f>IF('Per Invoice'!$U9="","",'Per Invoice'!M9)</f>
        <v/>
      </c>
      <c r="K10" s="7">
        <f>IF('Per Invoice'!$U9="","",'Per Invoice'!S9)</f>
        <v/>
      </c>
      <c r="L10" s="7">
        <f>IF('Per Invoice'!$U9="","",'Per Invoice'!R9)</f>
        <v/>
      </c>
    </row>
    <row r="11">
      <c r="A11">
        <f>IF('Per Invoice'!$U10="","",ROWS($A$3:A11))</f>
        <v/>
      </c>
      <c r="B11" s="11">
        <f>IF('Per Invoice'!$U10="","",'Per Invoice'!I10)</f>
        <v/>
      </c>
      <c r="C11">
        <f>IF('Per Invoice'!$U10="","",'Per Invoice'!E10)</f>
        <v/>
      </c>
      <c r="D11">
        <f>IF('Per Invoice'!$U10="","",'Per Invoice'!D10)</f>
        <v/>
      </c>
      <c r="E11">
        <f>IF('Per Invoice'!$U10="","",'Per Invoice'!C10)</f>
        <v/>
      </c>
      <c r="F11" s="7">
        <f>IF('Per Invoice'!$U10="","",'Per Invoice'!O10)</f>
        <v/>
      </c>
      <c r="G11" s="7">
        <f>IF('Per Invoice'!$U10="","",'Per Invoice'!P10)</f>
        <v/>
      </c>
      <c r="H11" s="7">
        <f>IF('Per Invoice'!$U10="","",'Per Invoice'!L10)</f>
        <v/>
      </c>
      <c r="I11" s="7">
        <f>IF('Per Invoice'!$U10="","",'Per Invoice'!M10)</f>
        <v/>
      </c>
      <c r="K11" s="7">
        <f>IF('Per Invoice'!$U10="","",'Per Invoice'!S10)</f>
        <v/>
      </c>
      <c r="L11" s="7">
        <f>IF('Per Invoice'!$U10="","",'Per Invoice'!R10)</f>
        <v/>
      </c>
    </row>
    <row r="12">
      <c r="A12">
        <f>IF('Per Invoice'!$U11="","",ROWS($A$3:A12))</f>
        <v/>
      </c>
      <c r="B12" s="11">
        <f>IF('Per Invoice'!$U11="","",'Per Invoice'!I11)</f>
        <v/>
      </c>
      <c r="C12">
        <f>IF('Per Invoice'!$U11="","",'Per Invoice'!E11)</f>
        <v/>
      </c>
      <c r="D12">
        <f>IF('Per Invoice'!$U11="","",'Per Invoice'!D11)</f>
        <v/>
      </c>
      <c r="E12">
        <f>IF('Per Invoice'!$U11="","",'Per Invoice'!C11)</f>
        <v/>
      </c>
      <c r="F12" s="7">
        <f>IF('Per Invoice'!$U11="","",'Per Invoice'!O11)</f>
        <v/>
      </c>
      <c r="G12" s="7">
        <f>IF('Per Invoice'!$U11="","",'Per Invoice'!P11)</f>
        <v/>
      </c>
      <c r="H12" s="7">
        <f>IF('Per Invoice'!$U11="","",'Per Invoice'!L11)</f>
        <v/>
      </c>
      <c r="I12" s="7">
        <f>IF('Per Invoice'!$U11="","",'Per Invoice'!M11)</f>
        <v/>
      </c>
      <c r="K12" s="7">
        <f>IF('Per Invoice'!$U11="","",'Per Invoice'!S11)</f>
        <v/>
      </c>
      <c r="L12" s="7">
        <f>IF('Per Invoice'!$U11="","",'Per Invoice'!R11)</f>
        <v/>
      </c>
    </row>
    <row r="13">
      <c r="A13">
        <f>IF('Per Invoice'!$U12="","",ROWS($A$3:A13))</f>
        <v/>
      </c>
      <c r="B13" s="11">
        <f>IF('Per Invoice'!$U12="","",'Per Invoice'!I12)</f>
        <v/>
      </c>
      <c r="C13">
        <f>IF('Per Invoice'!$U12="","",'Per Invoice'!E12)</f>
        <v/>
      </c>
      <c r="D13">
        <f>IF('Per Invoice'!$U12="","",'Per Invoice'!D12)</f>
        <v/>
      </c>
      <c r="E13">
        <f>IF('Per Invoice'!$U12="","",'Per Invoice'!C12)</f>
        <v/>
      </c>
      <c r="F13" s="7">
        <f>IF('Per Invoice'!$U12="","",'Per Invoice'!O12)</f>
        <v/>
      </c>
      <c r="G13" s="7">
        <f>IF('Per Invoice'!$U12="","",'Per Invoice'!P12)</f>
        <v/>
      </c>
      <c r="H13" s="7">
        <f>IF('Per Invoice'!$U12="","",'Per Invoice'!L12)</f>
        <v/>
      </c>
      <c r="I13" s="7">
        <f>IF('Per Invoice'!$U12="","",'Per Invoice'!M12)</f>
        <v/>
      </c>
      <c r="K13" s="7">
        <f>IF('Per Invoice'!$U12="","",'Per Invoice'!S12)</f>
        <v/>
      </c>
      <c r="L13" s="7">
        <f>IF('Per Invoice'!$U12="","",'Per Invoice'!R12)</f>
        <v/>
      </c>
    </row>
    <row r="14">
      <c r="A14">
        <f>IF('Per Invoice'!$U13="","",ROWS($A$3:A14))</f>
        <v/>
      </c>
      <c r="B14" s="11">
        <f>IF('Per Invoice'!$U13="","",'Per Invoice'!I13)</f>
        <v/>
      </c>
      <c r="C14">
        <f>IF('Per Invoice'!$U13="","",'Per Invoice'!E13)</f>
        <v/>
      </c>
      <c r="D14">
        <f>IF('Per Invoice'!$U13="","",'Per Invoice'!D13)</f>
        <v/>
      </c>
      <c r="E14">
        <f>IF('Per Invoice'!$U13="","",'Per Invoice'!C13)</f>
        <v/>
      </c>
      <c r="F14" s="7">
        <f>IF('Per Invoice'!$U13="","",'Per Invoice'!O13)</f>
        <v/>
      </c>
      <c r="G14" s="7">
        <f>IF('Per Invoice'!$U13="","",'Per Invoice'!P13)</f>
        <v/>
      </c>
      <c r="H14" s="7">
        <f>IF('Per Invoice'!$U13="","",'Per Invoice'!L13)</f>
        <v/>
      </c>
      <c r="I14" s="7">
        <f>IF('Per Invoice'!$U13="","",'Per Invoice'!M13)</f>
        <v/>
      </c>
      <c r="K14" s="7">
        <f>IF('Per Invoice'!$U13="","",'Per Invoice'!S13)</f>
        <v/>
      </c>
      <c r="L14" s="7">
        <f>IF('Per Invoice'!$U13="","",'Per Invoice'!R13)</f>
        <v/>
      </c>
    </row>
    <row r="15">
      <c r="A15">
        <f>IF('Per Invoice'!$U14="","",ROWS($A$3:A15))</f>
        <v/>
      </c>
      <c r="B15" s="11">
        <f>IF('Per Invoice'!$U14="","",'Per Invoice'!I14)</f>
        <v/>
      </c>
      <c r="C15">
        <f>IF('Per Invoice'!$U14="","",'Per Invoice'!E14)</f>
        <v/>
      </c>
      <c r="D15">
        <f>IF('Per Invoice'!$U14="","",'Per Invoice'!D14)</f>
        <v/>
      </c>
      <c r="E15">
        <f>IF('Per Invoice'!$U14="","",'Per Invoice'!C14)</f>
        <v/>
      </c>
      <c r="F15" s="7">
        <f>IF('Per Invoice'!$U14="","",'Per Invoice'!O14)</f>
        <v/>
      </c>
      <c r="G15" s="7">
        <f>IF('Per Invoice'!$U14="","",'Per Invoice'!P14)</f>
        <v/>
      </c>
      <c r="H15" s="7">
        <f>IF('Per Invoice'!$U14="","",'Per Invoice'!L14)</f>
        <v/>
      </c>
      <c r="I15" s="7">
        <f>IF('Per Invoice'!$U14="","",'Per Invoice'!M14)</f>
        <v/>
      </c>
      <c r="K15" s="7">
        <f>IF('Per Invoice'!$U14="","",'Per Invoice'!S14)</f>
        <v/>
      </c>
      <c r="L15" s="7">
        <f>IF('Per Invoice'!$U14="","",'Per Invoice'!R14)</f>
        <v/>
      </c>
    </row>
    <row r="16">
      <c r="A16">
        <f>IF('Per Invoice'!$U15="","",ROWS($A$3:A16))</f>
        <v/>
      </c>
      <c r="B16" s="11">
        <f>IF('Per Invoice'!$U15="","",'Per Invoice'!I15)</f>
        <v/>
      </c>
      <c r="C16">
        <f>IF('Per Invoice'!$U15="","",'Per Invoice'!E15)</f>
        <v/>
      </c>
      <c r="D16">
        <f>IF('Per Invoice'!$U15="","",'Per Invoice'!D15)</f>
        <v/>
      </c>
      <c r="E16">
        <f>IF('Per Invoice'!$U15="","",'Per Invoice'!C15)</f>
        <v/>
      </c>
      <c r="F16" s="7">
        <f>IF('Per Invoice'!$U15="","",'Per Invoice'!O15)</f>
        <v/>
      </c>
      <c r="G16" s="7">
        <f>IF('Per Invoice'!$U15="","",'Per Invoice'!P15)</f>
        <v/>
      </c>
      <c r="H16" s="7">
        <f>IF('Per Invoice'!$U15="","",'Per Invoice'!L15)</f>
        <v/>
      </c>
      <c r="I16" s="7">
        <f>IF('Per Invoice'!$U15="","",'Per Invoice'!M15)</f>
        <v/>
      </c>
      <c r="K16" s="7">
        <f>IF('Per Invoice'!$U15="","",'Per Invoice'!S15)</f>
        <v/>
      </c>
      <c r="L16" s="7">
        <f>IF('Per Invoice'!$U15="","",'Per Invoice'!R15)</f>
        <v/>
      </c>
    </row>
    <row r="17">
      <c r="A17">
        <f>IF('Per Invoice'!$U16="","",ROWS($A$3:A17))</f>
        <v/>
      </c>
      <c r="B17" s="11">
        <f>IF('Per Invoice'!$U16="","",'Per Invoice'!I16)</f>
        <v/>
      </c>
      <c r="C17">
        <f>IF('Per Invoice'!$U16="","",'Per Invoice'!E16)</f>
        <v/>
      </c>
      <c r="D17">
        <f>IF('Per Invoice'!$U16="","",'Per Invoice'!D16)</f>
        <v/>
      </c>
      <c r="E17">
        <f>IF('Per Invoice'!$U16="","",'Per Invoice'!C16)</f>
        <v/>
      </c>
      <c r="F17" s="7">
        <f>IF('Per Invoice'!$U16="","",'Per Invoice'!O16)</f>
        <v/>
      </c>
      <c r="G17" s="7">
        <f>IF('Per Invoice'!$U16="","",'Per Invoice'!P16)</f>
        <v/>
      </c>
      <c r="H17" s="7">
        <f>IF('Per Invoice'!$U16="","",'Per Invoice'!L16)</f>
        <v/>
      </c>
      <c r="I17" s="7">
        <f>IF('Per Invoice'!$U16="","",'Per Invoice'!M16)</f>
        <v/>
      </c>
      <c r="K17" s="7">
        <f>IF('Per Invoice'!$U16="","",'Per Invoice'!S16)</f>
        <v/>
      </c>
      <c r="L17" s="7">
        <f>IF('Per Invoice'!$U16="","",'Per Invoice'!R16)</f>
        <v/>
      </c>
    </row>
    <row r="18">
      <c r="A18">
        <f>IF('Per Invoice'!$U17="","",ROWS($A$3:A18))</f>
        <v/>
      </c>
      <c r="B18" s="11">
        <f>IF('Per Invoice'!$U17="","",'Per Invoice'!I17)</f>
        <v/>
      </c>
      <c r="C18">
        <f>IF('Per Invoice'!$U17="","",'Per Invoice'!E17)</f>
        <v/>
      </c>
      <c r="D18">
        <f>IF('Per Invoice'!$U17="","",'Per Invoice'!D17)</f>
        <v/>
      </c>
      <c r="E18">
        <f>IF('Per Invoice'!$U17="","",'Per Invoice'!C17)</f>
        <v/>
      </c>
      <c r="F18" s="7">
        <f>IF('Per Invoice'!$U17="","",'Per Invoice'!O17)</f>
        <v/>
      </c>
      <c r="G18" s="7">
        <f>IF('Per Invoice'!$U17="","",'Per Invoice'!P17)</f>
        <v/>
      </c>
      <c r="H18" s="7">
        <f>IF('Per Invoice'!$U17="","",'Per Invoice'!L17)</f>
        <v/>
      </c>
      <c r="I18" s="7">
        <f>IF('Per Invoice'!$U17="","",'Per Invoice'!M17)</f>
        <v/>
      </c>
      <c r="K18" s="7">
        <f>IF('Per Invoice'!$U17="","",'Per Invoice'!S17)</f>
        <v/>
      </c>
      <c r="L18" s="7">
        <f>IF('Per Invoice'!$U17="","",'Per Invoice'!R17)</f>
        <v/>
      </c>
    </row>
    <row r="19">
      <c r="A19">
        <f>IF('Per Invoice'!$U18="","",ROWS($A$3:A19))</f>
        <v/>
      </c>
      <c r="B19" s="11">
        <f>IF('Per Invoice'!$U18="","",'Per Invoice'!I18)</f>
        <v/>
      </c>
      <c r="C19">
        <f>IF('Per Invoice'!$U18="","",'Per Invoice'!E18)</f>
        <v/>
      </c>
      <c r="D19">
        <f>IF('Per Invoice'!$U18="","",'Per Invoice'!D18)</f>
        <v/>
      </c>
      <c r="E19">
        <f>IF('Per Invoice'!$U18="","",'Per Invoice'!C18)</f>
        <v/>
      </c>
      <c r="F19" s="7">
        <f>IF('Per Invoice'!$U18="","",'Per Invoice'!O18)</f>
        <v/>
      </c>
      <c r="G19" s="7">
        <f>IF('Per Invoice'!$U18="","",'Per Invoice'!P18)</f>
        <v/>
      </c>
      <c r="H19" s="7">
        <f>IF('Per Invoice'!$U18="","",'Per Invoice'!L18)</f>
        <v/>
      </c>
      <c r="I19" s="7">
        <f>IF('Per Invoice'!$U18="","",'Per Invoice'!M18)</f>
        <v/>
      </c>
      <c r="K19" s="7">
        <f>IF('Per Invoice'!$U18="","",'Per Invoice'!S18)</f>
        <v/>
      </c>
      <c r="L19" s="7">
        <f>IF('Per Invoice'!$U18="","",'Per Invoice'!R18)</f>
        <v/>
      </c>
    </row>
    <row r="20">
      <c r="A20">
        <f>IF('Per Invoice'!$U19="","",ROWS($A$3:A20))</f>
        <v/>
      </c>
      <c r="B20" s="11">
        <f>IF('Per Invoice'!$U19="","",'Per Invoice'!I19)</f>
        <v/>
      </c>
      <c r="C20">
        <f>IF('Per Invoice'!$U19="","",'Per Invoice'!E19)</f>
        <v/>
      </c>
      <c r="D20">
        <f>IF('Per Invoice'!$U19="","",'Per Invoice'!D19)</f>
        <v/>
      </c>
      <c r="E20">
        <f>IF('Per Invoice'!$U19="","",'Per Invoice'!C19)</f>
        <v/>
      </c>
      <c r="F20" s="7">
        <f>IF('Per Invoice'!$U19="","",'Per Invoice'!O19)</f>
        <v/>
      </c>
      <c r="G20" s="7">
        <f>IF('Per Invoice'!$U19="","",'Per Invoice'!P19)</f>
        <v/>
      </c>
      <c r="H20" s="7">
        <f>IF('Per Invoice'!$U19="","",'Per Invoice'!L19)</f>
        <v/>
      </c>
      <c r="I20" s="7">
        <f>IF('Per Invoice'!$U19="","",'Per Invoice'!M19)</f>
        <v/>
      </c>
      <c r="K20" s="7">
        <f>IF('Per Invoice'!$U19="","",'Per Invoice'!S19)</f>
        <v/>
      </c>
      <c r="L20" s="7">
        <f>IF('Per Invoice'!$U19="","",'Per Invoice'!R19)</f>
        <v/>
      </c>
    </row>
    <row r="21">
      <c r="A21">
        <f>IF('Per Invoice'!$U20="","",ROWS($A$3:A21))</f>
        <v/>
      </c>
      <c r="B21" s="11">
        <f>IF('Per Invoice'!$U20="","",'Per Invoice'!I20)</f>
        <v/>
      </c>
      <c r="C21">
        <f>IF('Per Invoice'!$U20="","",'Per Invoice'!E20)</f>
        <v/>
      </c>
      <c r="D21">
        <f>IF('Per Invoice'!$U20="","",'Per Invoice'!D20)</f>
        <v/>
      </c>
      <c r="E21">
        <f>IF('Per Invoice'!$U20="","",'Per Invoice'!C20)</f>
        <v/>
      </c>
      <c r="F21" s="7">
        <f>IF('Per Invoice'!$U20="","",'Per Invoice'!O20)</f>
        <v/>
      </c>
      <c r="G21" s="7">
        <f>IF('Per Invoice'!$U20="","",'Per Invoice'!P20)</f>
        <v/>
      </c>
      <c r="H21" s="7">
        <f>IF('Per Invoice'!$U20="","",'Per Invoice'!L20)</f>
        <v/>
      </c>
      <c r="I21" s="7">
        <f>IF('Per Invoice'!$U20="","",'Per Invoice'!M20)</f>
        <v/>
      </c>
      <c r="K21" s="7">
        <f>IF('Per Invoice'!$U20="","",'Per Invoice'!S20)</f>
        <v/>
      </c>
      <c r="L21" s="7">
        <f>IF('Per Invoice'!$U20="","",'Per Invoice'!R20)</f>
        <v/>
      </c>
    </row>
    <row r="22">
      <c r="A22">
        <f>IF('Per Invoice'!$U21="","",ROWS($A$3:A22))</f>
        <v/>
      </c>
      <c r="B22" s="11">
        <f>IF('Per Invoice'!$U21="","",'Per Invoice'!I21)</f>
        <v/>
      </c>
      <c r="C22">
        <f>IF('Per Invoice'!$U21="","",'Per Invoice'!E21)</f>
        <v/>
      </c>
      <c r="D22">
        <f>IF('Per Invoice'!$U21="","",'Per Invoice'!D21)</f>
        <v/>
      </c>
      <c r="E22">
        <f>IF('Per Invoice'!$U21="","",'Per Invoice'!C21)</f>
        <v/>
      </c>
      <c r="F22" s="7">
        <f>IF('Per Invoice'!$U21="","",'Per Invoice'!O21)</f>
        <v/>
      </c>
      <c r="G22" s="7">
        <f>IF('Per Invoice'!$U21="","",'Per Invoice'!P21)</f>
        <v/>
      </c>
      <c r="H22" s="7">
        <f>IF('Per Invoice'!$U21="","",'Per Invoice'!L21)</f>
        <v/>
      </c>
      <c r="I22" s="7">
        <f>IF('Per Invoice'!$U21="","",'Per Invoice'!M21)</f>
        <v/>
      </c>
      <c r="K22" s="7">
        <f>IF('Per Invoice'!$U21="","",'Per Invoice'!S21)</f>
        <v/>
      </c>
      <c r="L22" s="7">
        <f>IF('Per Invoice'!$U21="","",'Per Invoice'!R21)</f>
        <v/>
      </c>
    </row>
    <row r="23">
      <c r="A23">
        <f>IF('Per Invoice'!$U22="","",ROWS($A$3:A23))</f>
        <v/>
      </c>
      <c r="B23" s="11">
        <f>IF('Per Invoice'!$U22="","",'Per Invoice'!I22)</f>
        <v/>
      </c>
      <c r="C23">
        <f>IF('Per Invoice'!$U22="","",'Per Invoice'!E22)</f>
        <v/>
      </c>
      <c r="D23">
        <f>IF('Per Invoice'!$U22="","",'Per Invoice'!D22)</f>
        <v/>
      </c>
      <c r="E23">
        <f>IF('Per Invoice'!$U22="","",'Per Invoice'!C22)</f>
        <v/>
      </c>
      <c r="F23" s="7">
        <f>IF('Per Invoice'!$U22="","",'Per Invoice'!O22)</f>
        <v/>
      </c>
      <c r="G23" s="7">
        <f>IF('Per Invoice'!$U22="","",'Per Invoice'!P22)</f>
        <v/>
      </c>
      <c r="H23" s="7">
        <f>IF('Per Invoice'!$U22="","",'Per Invoice'!L22)</f>
        <v/>
      </c>
      <c r="I23" s="7">
        <f>IF('Per Invoice'!$U22="","",'Per Invoice'!M22)</f>
        <v/>
      </c>
      <c r="K23" s="7">
        <f>IF('Per Invoice'!$U22="","",'Per Invoice'!S22)</f>
        <v/>
      </c>
      <c r="L23" s="7">
        <f>IF('Per Invoice'!$U22="","",'Per Invoice'!R22)</f>
        <v/>
      </c>
    </row>
    <row r="24">
      <c r="A24">
        <f>IF('Per Invoice'!$U23="","",ROWS($A$3:A24))</f>
        <v/>
      </c>
      <c r="B24" s="11">
        <f>IF('Per Invoice'!$U23="","",'Per Invoice'!I23)</f>
        <v/>
      </c>
      <c r="C24">
        <f>IF('Per Invoice'!$U23="","",'Per Invoice'!E23)</f>
        <v/>
      </c>
      <c r="D24">
        <f>IF('Per Invoice'!$U23="","",'Per Invoice'!D23)</f>
        <v/>
      </c>
      <c r="E24">
        <f>IF('Per Invoice'!$U23="","",'Per Invoice'!C23)</f>
        <v/>
      </c>
      <c r="F24" s="7">
        <f>IF('Per Invoice'!$U23="","",'Per Invoice'!O23)</f>
        <v/>
      </c>
      <c r="G24" s="7">
        <f>IF('Per Invoice'!$U23="","",'Per Invoice'!P23)</f>
        <v/>
      </c>
      <c r="H24" s="7">
        <f>IF('Per Invoice'!$U23="","",'Per Invoice'!L23)</f>
        <v/>
      </c>
      <c r="I24" s="7">
        <f>IF('Per Invoice'!$U23="","",'Per Invoice'!M23)</f>
        <v/>
      </c>
      <c r="K24" s="7">
        <f>IF('Per Invoice'!$U23="","",'Per Invoice'!S23)</f>
        <v/>
      </c>
      <c r="L24" s="7">
        <f>IF('Per Invoice'!$U23="","",'Per Invoice'!R23)</f>
        <v/>
      </c>
    </row>
    <row r="25">
      <c r="A25">
        <f>IF('Per Invoice'!$U24="","",ROWS($A$3:A25))</f>
        <v/>
      </c>
      <c r="B25" s="11">
        <f>IF('Per Invoice'!$U24="","",'Per Invoice'!I24)</f>
        <v/>
      </c>
      <c r="C25">
        <f>IF('Per Invoice'!$U24="","",'Per Invoice'!E24)</f>
        <v/>
      </c>
      <c r="D25">
        <f>IF('Per Invoice'!$U24="","",'Per Invoice'!D24)</f>
        <v/>
      </c>
      <c r="E25">
        <f>IF('Per Invoice'!$U24="","",'Per Invoice'!C24)</f>
        <v/>
      </c>
      <c r="F25" s="7">
        <f>IF('Per Invoice'!$U24="","",'Per Invoice'!O24)</f>
        <v/>
      </c>
      <c r="G25" s="7">
        <f>IF('Per Invoice'!$U24="","",'Per Invoice'!P24)</f>
        <v/>
      </c>
      <c r="H25" s="7">
        <f>IF('Per Invoice'!$U24="","",'Per Invoice'!L24)</f>
        <v/>
      </c>
      <c r="I25" s="7">
        <f>IF('Per Invoice'!$U24="","",'Per Invoice'!M24)</f>
        <v/>
      </c>
      <c r="K25" s="7">
        <f>IF('Per Invoice'!$U24="","",'Per Invoice'!S24)</f>
        <v/>
      </c>
      <c r="L25" s="7">
        <f>IF('Per Invoice'!$U24="","",'Per Invoice'!R24)</f>
        <v/>
      </c>
    </row>
    <row r="26">
      <c r="A26">
        <f>IF('Per Invoice'!$U25="","",ROWS($A$3:A26))</f>
        <v/>
      </c>
      <c r="B26" s="11">
        <f>IF('Per Invoice'!$U25="","",'Per Invoice'!I25)</f>
        <v/>
      </c>
      <c r="C26">
        <f>IF('Per Invoice'!$U25="","",'Per Invoice'!E25)</f>
        <v/>
      </c>
      <c r="D26">
        <f>IF('Per Invoice'!$U25="","",'Per Invoice'!D25)</f>
        <v/>
      </c>
      <c r="E26">
        <f>IF('Per Invoice'!$U25="","",'Per Invoice'!C25)</f>
        <v/>
      </c>
      <c r="F26" s="7">
        <f>IF('Per Invoice'!$U25="","",'Per Invoice'!O25)</f>
        <v/>
      </c>
      <c r="G26" s="7">
        <f>IF('Per Invoice'!$U25="","",'Per Invoice'!P25)</f>
        <v/>
      </c>
      <c r="H26" s="7">
        <f>IF('Per Invoice'!$U25="","",'Per Invoice'!L25)</f>
        <v/>
      </c>
      <c r="I26" s="7">
        <f>IF('Per Invoice'!$U25="","",'Per Invoice'!M25)</f>
        <v/>
      </c>
      <c r="K26" s="7">
        <f>IF('Per Invoice'!$U25="","",'Per Invoice'!S25)</f>
        <v/>
      </c>
      <c r="L26" s="7">
        <f>IF('Per Invoice'!$U25="","",'Per Invoice'!R25)</f>
        <v/>
      </c>
    </row>
    <row r="27">
      <c r="A27">
        <f>IF('Per Invoice'!$U26="","",ROWS($A$3:A27))</f>
        <v/>
      </c>
      <c r="B27" s="11">
        <f>IF('Per Invoice'!$U26="","",'Per Invoice'!I26)</f>
        <v/>
      </c>
      <c r="C27">
        <f>IF('Per Invoice'!$U26="","",'Per Invoice'!E26)</f>
        <v/>
      </c>
      <c r="D27">
        <f>IF('Per Invoice'!$U26="","",'Per Invoice'!D26)</f>
        <v/>
      </c>
      <c r="E27">
        <f>IF('Per Invoice'!$U26="","",'Per Invoice'!C26)</f>
        <v/>
      </c>
      <c r="F27" s="7">
        <f>IF('Per Invoice'!$U26="","",'Per Invoice'!O26)</f>
        <v/>
      </c>
      <c r="G27" s="7">
        <f>IF('Per Invoice'!$U26="","",'Per Invoice'!P26)</f>
        <v/>
      </c>
      <c r="H27" s="7">
        <f>IF('Per Invoice'!$U26="","",'Per Invoice'!L26)</f>
        <v/>
      </c>
      <c r="I27" s="7">
        <f>IF('Per Invoice'!$U26="","",'Per Invoice'!M26)</f>
        <v/>
      </c>
      <c r="K27" s="7">
        <f>IF('Per Invoice'!$U26="","",'Per Invoice'!S26)</f>
        <v/>
      </c>
      <c r="L27" s="7">
        <f>IF('Per Invoice'!$U26="","",'Per Invoice'!R26)</f>
        <v/>
      </c>
    </row>
    <row r="28">
      <c r="A28">
        <f>IF('Per Invoice'!$U27="","",ROWS($A$3:A28))</f>
        <v/>
      </c>
      <c r="B28" s="11">
        <f>IF('Per Invoice'!$U27="","",'Per Invoice'!I27)</f>
        <v/>
      </c>
      <c r="C28">
        <f>IF('Per Invoice'!$U27="","",'Per Invoice'!E27)</f>
        <v/>
      </c>
      <c r="D28">
        <f>IF('Per Invoice'!$U27="","",'Per Invoice'!D27)</f>
        <v/>
      </c>
      <c r="E28">
        <f>IF('Per Invoice'!$U27="","",'Per Invoice'!C27)</f>
        <v/>
      </c>
      <c r="F28" s="7">
        <f>IF('Per Invoice'!$U27="","",'Per Invoice'!O27)</f>
        <v/>
      </c>
      <c r="G28" s="7">
        <f>IF('Per Invoice'!$U27="","",'Per Invoice'!P27)</f>
        <v/>
      </c>
      <c r="H28" s="7">
        <f>IF('Per Invoice'!$U27="","",'Per Invoice'!L27)</f>
        <v/>
      </c>
      <c r="I28" s="7">
        <f>IF('Per Invoice'!$U27="","",'Per Invoice'!M27)</f>
        <v/>
      </c>
      <c r="K28" s="7">
        <f>IF('Per Invoice'!$U27="","",'Per Invoice'!S27)</f>
        <v/>
      </c>
      <c r="L28" s="7">
        <f>IF('Per Invoice'!$U27="","",'Per Invoice'!R27)</f>
        <v/>
      </c>
    </row>
    <row r="29">
      <c r="A29">
        <f>IF('Per Invoice'!$U28="","",ROWS($A$3:A29))</f>
        <v/>
      </c>
      <c r="B29" s="11">
        <f>IF('Per Invoice'!$U28="","",'Per Invoice'!I28)</f>
        <v/>
      </c>
      <c r="C29">
        <f>IF('Per Invoice'!$U28="","",'Per Invoice'!E28)</f>
        <v/>
      </c>
      <c r="D29">
        <f>IF('Per Invoice'!$U28="","",'Per Invoice'!D28)</f>
        <v/>
      </c>
      <c r="E29">
        <f>IF('Per Invoice'!$U28="","",'Per Invoice'!C28)</f>
        <v/>
      </c>
      <c r="F29" s="7">
        <f>IF('Per Invoice'!$U28="","",'Per Invoice'!O28)</f>
        <v/>
      </c>
      <c r="G29" s="7">
        <f>IF('Per Invoice'!$U28="","",'Per Invoice'!P28)</f>
        <v/>
      </c>
      <c r="H29" s="7">
        <f>IF('Per Invoice'!$U28="","",'Per Invoice'!L28)</f>
        <v/>
      </c>
      <c r="I29" s="7">
        <f>IF('Per Invoice'!$U28="","",'Per Invoice'!M28)</f>
        <v/>
      </c>
      <c r="K29" s="7">
        <f>IF('Per Invoice'!$U28="","",'Per Invoice'!S28)</f>
        <v/>
      </c>
      <c r="L29" s="7">
        <f>IF('Per Invoice'!$U28="","",'Per Invoice'!R28)</f>
        <v/>
      </c>
    </row>
    <row r="30">
      <c r="A30">
        <f>IF('Per Invoice'!$U29="","",ROWS($A$3:A30))</f>
        <v/>
      </c>
      <c r="B30" s="11">
        <f>IF('Per Invoice'!$U29="","",'Per Invoice'!I29)</f>
        <v/>
      </c>
      <c r="C30">
        <f>IF('Per Invoice'!$U29="","",'Per Invoice'!E29)</f>
        <v/>
      </c>
      <c r="D30">
        <f>IF('Per Invoice'!$U29="","",'Per Invoice'!D29)</f>
        <v/>
      </c>
      <c r="E30">
        <f>IF('Per Invoice'!$U29="","",'Per Invoice'!C29)</f>
        <v/>
      </c>
      <c r="F30" s="7">
        <f>IF('Per Invoice'!$U29="","",'Per Invoice'!O29)</f>
        <v/>
      </c>
      <c r="G30" s="7">
        <f>IF('Per Invoice'!$U29="","",'Per Invoice'!P29)</f>
        <v/>
      </c>
      <c r="H30" s="7">
        <f>IF('Per Invoice'!$U29="","",'Per Invoice'!L29)</f>
        <v/>
      </c>
      <c r="I30" s="7">
        <f>IF('Per Invoice'!$U29="","",'Per Invoice'!M29)</f>
        <v/>
      </c>
      <c r="K30" s="7">
        <f>IF('Per Invoice'!$U29="","",'Per Invoice'!S29)</f>
        <v/>
      </c>
      <c r="L30" s="7">
        <f>IF('Per Invoice'!$U29="","",'Per Invoice'!R29)</f>
        <v/>
      </c>
    </row>
    <row r="31">
      <c r="A31">
        <f>IF('Per Invoice'!$U30="","",ROWS($A$3:A31))</f>
        <v/>
      </c>
      <c r="B31" s="11">
        <f>IF('Per Invoice'!$U30="","",'Per Invoice'!I30)</f>
        <v/>
      </c>
      <c r="C31">
        <f>IF('Per Invoice'!$U30="","",'Per Invoice'!E30)</f>
        <v/>
      </c>
      <c r="D31">
        <f>IF('Per Invoice'!$U30="","",'Per Invoice'!D30)</f>
        <v/>
      </c>
      <c r="E31">
        <f>IF('Per Invoice'!$U30="","",'Per Invoice'!C30)</f>
        <v/>
      </c>
      <c r="F31" s="7">
        <f>IF('Per Invoice'!$U30="","",'Per Invoice'!O30)</f>
        <v/>
      </c>
      <c r="G31" s="7">
        <f>IF('Per Invoice'!$U30="","",'Per Invoice'!P30)</f>
        <v/>
      </c>
      <c r="H31" s="7">
        <f>IF('Per Invoice'!$U30="","",'Per Invoice'!L30)</f>
        <v/>
      </c>
      <c r="I31" s="7">
        <f>IF('Per Invoice'!$U30="","",'Per Invoice'!M30)</f>
        <v/>
      </c>
      <c r="K31" s="7">
        <f>IF('Per Invoice'!$U30="","",'Per Invoice'!S30)</f>
        <v/>
      </c>
      <c r="L31" s="7">
        <f>IF('Per Invoice'!$U30="","",'Per Invoice'!R30)</f>
        <v/>
      </c>
    </row>
    <row r="32">
      <c r="A32">
        <f>IF('Per Invoice'!$U31="","",ROWS($A$3:A32))</f>
        <v/>
      </c>
      <c r="B32" s="11">
        <f>IF('Per Invoice'!$U31="","",'Per Invoice'!I31)</f>
        <v/>
      </c>
      <c r="C32">
        <f>IF('Per Invoice'!$U31="","",'Per Invoice'!E31)</f>
        <v/>
      </c>
      <c r="D32">
        <f>IF('Per Invoice'!$U31="","",'Per Invoice'!D31)</f>
        <v/>
      </c>
      <c r="E32">
        <f>IF('Per Invoice'!$U31="","",'Per Invoice'!C31)</f>
        <v/>
      </c>
      <c r="F32" s="7">
        <f>IF('Per Invoice'!$U31="","",'Per Invoice'!O31)</f>
        <v/>
      </c>
      <c r="G32" s="7">
        <f>IF('Per Invoice'!$U31="","",'Per Invoice'!P31)</f>
        <v/>
      </c>
      <c r="H32" s="7">
        <f>IF('Per Invoice'!$U31="","",'Per Invoice'!L31)</f>
        <v/>
      </c>
      <c r="I32" s="7">
        <f>IF('Per Invoice'!$U31="","",'Per Invoice'!M31)</f>
        <v/>
      </c>
      <c r="K32" s="7">
        <f>IF('Per Invoice'!$U31="","",'Per Invoice'!S31)</f>
        <v/>
      </c>
      <c r="L32" s="7">
        <f>IF('Per Invoice'!$U31="","",'Per Invoice'!R31)</f>
        <v/>
      </c>
    </row>
    <row r="33">
      <c r="A33">
        <f>IF('Per Invoice'!$U32="","",ROWS($A$3:A33))</f>
        <v/>
      </c>
      <c r="B33" s="11">
        <f>IF('Per Invoice'!$U32="","",'Per Invoice'!I32)</f>
        <v/>
      </c>
      <c r="C33">
        <f>IF('Per Invoice'!$U32="","",'Per Invoice'!E32)</f>
        <v/>
      </c>
      <c r="D33">
        <f>IF('Per Invoice'!$U32="","",'Per Invoice'!D32)</f>
        <v/>
      </c>
      <c r="E33">
        <f>IF('Per Invoice'!$U32="","",'Per Invoice'!C32)</f>
        <v/>
      </c>
      <c r="F33" s="7">
        <f>IF('Per Invoice'!$U32="","",'Per Invoice'!O32)</f>
        <v/>
      </c>
      <c r="G33" s="7">
        <f>IF('Per Invoice'!$U32="","",'Per Invoice'!P32)</f>
        <v/>
      </c>
      <c r="H33" s="7">
        <f>IF('Per Invoice'!$U32="","",'Per Invoice'!L32)</f>
        <v/>
      </c>
      <c r="I33" s="7">
        <f>IF('Per Invoice'!$U32="","",'Per Invoice'!M32)</f>
        <v/>
      </c>
      <c r="K33" s="7">
        <f>IF('Per Invoice'!$U32="","",'Per Invoice'!S32)</f>
        <v/>
      </c>
      <c r="L33" s="7">
        <f>IF('Per Invoice'!$U32="","",'Per Invoice'!R32)</f>
        <v/>
      </c>
    </row>
    <row r="34">
      <c r="A34">
        <f>IF('Per Invoice'!$U33="","",ROWS($A$3:A34))</f>
        <v/>
      </c>
      <c r="B34" s="11">
        <f>IF('Per Invoice'!$U33="","",'Per Invoice'!I33)</f>
        <v/>
      </c>
      <c r="C34">
        <f>IF('Per Invoice'!$U33="","",'Per Invoice'!E33)</f>
        <v/>
      </c>
      <c r="D34">
        <f>IF('Per Invoice'!$U33="","",'Per Invoice'!D33)</f>
        <v/>
      </c>
      <c r="E34">
        <f>IF('Per Invoice'!$U33="","",'Per Invoice'!C33)</f>
        <v/>
      </c>
      <c r="F34" s="7">
        <f>IF('Per Invoice'!$U33="","",'Per Invoice'!O33)</f>
        <v/>
      </c>
      <c r="G34" s="7">
        <f>IF('Per Invoice'!$U33="","",'Per Invoice'!P33)</f>
        <v/>
      </c>
      <c r="H34" s="7">
        <f>IF('Per Invoice'!$U33="","",'Per Invoice'!L33)</f>
        <v/>
      </c>
      <c r="I34" s="7">
        <f>IF('Per Invoice'!$U33="","",'Per Invoice'!M33)</f>
        <v/>
      </c>
      <c r="K34" s="7">
        <f>IF('Per Invoice'!$U33="","",'Per Invoice'!S33)</f>
        <v/>
      </c>
      <c r="L34" s="7">
        <f>IF('Per Invoice'!$U33="","",'Per Invoice'!R33)</f>
        <v/>
      </c>
    </row>
    <row r="35">
      <c r="A35">
        <f>IF('Per Invoice'!$U34="","",ROWS($A$3:A35))</f>
        <v/>
      </c>
      <c r="B35" s="11">
        <f>IF('Per Invoice'!$U34="","",'Per Invoice'!I34)</f>
        <v/>
      </c>
      <c r="C35">
        <f>IF('Per Invoice'!$U34="","",'Per Invoice'!E34)</f>
        <v/>
      </c>
      <c r="D35">
        <f>IF('Per Invoice'!$U34="","",'Per Invoice'!D34)</f>
        <v/>
      </c>
      <c r="E35">
        <f>IF('Per Invoice'!$U34="","",'Per Invoice'!C34)</f>
        <v/>
      </c>
      <c r="F35" s="7">
        <f>IF('Per Invoice'!$U34="","",'Per Invoice'!O34)</f>
        <v/>
      </c>
      <c r="G35" s="7">
        <f>IF('Per Invoice'!$U34="","",'Per Invoice'!P34)</f>
        <v/>
      </c>
      <c r="H35" s="7">
        <f>IF('Per Invoice'!$U34="","",'Per Invoice'!L34)</f>
        <v/>
      </c>
      <c r="I35" s="7">
        <f>IF('Per Invoice'!$U34="","",'Per Invoice'!M34)</f>
        <v/>
      </c>
      <c r="K35" s="7">
        <f>IF('Per Invoice'!$U34="","",'Per Invoice'!S34)</f>
        <v/>
      </c>
      <c r="L35" s="7">
        <f>IF('Per Invoice'!$U34="","",'Per Invoice'!R34)</f>
        <v/>
      </c>
    </row>
    <row r="36">
      <c r="A36">
        <f>IF('Per Invoice'!$U35="","",ROWS($A$3:A36))</f>
        <v/>
      </c>
      <c r="B36" s="11">
        <f>IF('Per Invoice'!$U35="","",'Per Invoice'!I35)</f>
        <v/>
      </c>
      <c r="C36">
        <f>IF('Per Invoice'!$U35="","",'Per Invoice'!E35)</f>
        <v/>
      </c>
      <c r="D36">
        <f>IF('Per Invoice'!$U35="","",'Per Invoice'!D35)</f>
        <v/>
      </c>
      <c r="E36">
        <f>IF('Per Invoice'!$U35="","",'Per Invoice'!C35)</f>
        <v/>
      </c>
      <c r="F36" s="7">
        <f>IF('Per Invoice'!$U35="","",'Per Invoice'!O35)</f>
        <v/>
      </c>
      <c r="G36" s="7">
        <f>IF('Per Invoice'!$U35="","",'Per Invoice'!P35)</f>
        <v/>
      </c>
      <c r="H36" s="7">
        <f>IF('Per Invoice'!$U35="","",'Per Invoice'!L35)</f>
        <v/>
      </c>
      <c r="I36" s="7">
        <f>IF('Per Invoice'!$U35="","",'Per Invoice'!M35)</f>
        <v/>
      </c>
      <c r="K36" s="7">
        <f>IF('Per Invoice'!$U35="","",'Per Invoice'!S35)</f>
        <v/>
      </c>
      <c r="L36" s="7">
        <f>IF('Per Invoice'!$U35="","",'Per Invoice'!R35)</f>
        <v/>
      </c>
    </row>
    <row r="37">
      <c r="A37">
        <f>IF('Per Invoice'!$U36="","",ROWS($A$3:A37))</f>
        <v/>
      </c>
      <c r="B37" s="11">
        <f>IF('Per Invoice'!$U36="","",'Per Invoice'!I36)</f>
        <v/>
      </c>
      <c r="C37">
        <f>IF('Per Invoice'!$U36="","",'Per Invoice'!E36)</f>
        <v/>
      </c>
      <c r="D37">
        <f>IF('Per Invoice'!$U36="","",'Per Invoice'!D36)</f>
        <v/>
      </c>
      <c r="E37">
        <f>IF('Per Invoice'!$U36="","",'Per Invoice'!C36)</f>
        <v/>
      </c>
      <c r="F37" s="7">
        <f>IF('Per Invoice'!$U36="","",'Per Invoice'!O36)</f>
        <v/>
      </c>
      <c r="G37" s="7">
        <f>IF('Per Invoice'!$U36="","",'Per Invoice'!P36)</f>
        <v/>
      </c>
      <c r="H37" s="7">
        <f>IF('Per Invoice'!$U36="","",'Per Invoice'!L36)</f>
        <v/>
      </c>
      <c r="I37" s="7">
        <f>IF('Per Invoice'!$U36="","",'Per Invoice'!M36)</f>
        <v/>
      </c>
      <c r="K37" s="7">
        <f>IF('Per Invoice'!$U36="","",'Per Invoice'!S36)</f>
        <v/>
      </c>
      <c r="L37" s="7">
        <f>IF('Per Invoice'!$U36="","",'Per Invoice'!R36)</f>
        <v/>
      </c>
    </row>
    <row r="38">
      <c r="A38">
        <f>IF('Per Invoice'!$U37="","",ROWS($A$3:A38))</f>
        <v/>
      </c>
      <c r="B38" s="11">
        <f>IF('Per Invoice'!$U37="","",'Per Invoice'!I37)</f>
        <v/>
      </c>
      <c r="C38">
        <f>IF('Per Invoice'!$U37="","",'Per Invoice'!E37)</f>
        <v/>
      </c>
      <c r="D38">
        <f>IF('Per Invoice'!$U37="","",'Per Invoice'!D37)</f>
        <v/>
      </c>
      <c r="E38">
        <f>IF('Per Invoice'!$U37="","",'Per Invoice'!C37)</f>
        <v/>
      </c>
      <c r="F38" s="7">
        <f>IF('Per Invoice'!$U37="","",'Per Invoice'!O37)</f>
        <v/>
      </c>
      <c r="G38" s="7">
        <f>IF('Per Invoice'!$U37="","",'Per Invoice'!P37)</f>
        <v/>
      </c>
      <c r="H38" s="7">
        <f>IF('Per Invoice'!$U37="","",'Per Invoice'!L37)</f>
        <v/>
      </c>
      <c r="I38" s="7">
        <f>IF('Per Invoice'!$U37="","",'Per Invoice'!M37)</f>
        <v/>
      </c>
      <c r="K38" s="7">
        <f>IF('Per Invoice'!$U37="","",'Per Invoice'!S37)</f>
        <v/>
      </c>
      <c r="L38" s="7">
        <f>IF('Per Invoice'!$U37="","",'Per Invoice'!R37)</f>
        <v/>
      </c>
    </row>
    <row r="39">
      <c r="A39">
        <f>IF('Per Invoice'!$U38="","",ROWS($A$3:A39))</f>
        <v/>
      </c>
      <c r="B39" s="11">
        <f>IF('Per Invoice'!$U38="","",'Per Invoice'!I38)</f>
        <v/>
      </c>
      <c r="C39">
        <f>IF('Per Invoice'!$U38="","",'Per Invoice'!E38)</f>
        <v/>
      </c>
      <c r="D39">
        <f>IF('Per Invoice'!$U38="","",'Per Invoice'!D38)</f>
        <v/>
      </c>
      <c r="E39">
        <f>IF('Per Invoice'!$U38="","",'Per Invoice'!C38)</f>
        <v/>
      </c>
      <c r="F39" s="7">
        <f>IF('Per Invoice'!$U38="","",'Per Invoice'!O38)</f>
        <v/>
      </c>
      <c r="G39" s="7">
        <f>IF('Per Invoice'!$U38="","",'Per Invoice'!P38)</f>
        <v/>
      </c>
      <c r="H39" s="7">
        <f>IF('Per Invoice'!$U38="","",'Per Invoice'!L38)</f>
        <v/>
      </c>
      <c r="I39" s="7">
        <f>IF('Per Invoice'!$U38="","",'Per Invoice'!M38)</f>
        <v/>
      </c>
      <c r="K39" s="7">
        <f>IF('Per Invoice'!$U38="","",'Per Invoice'!S38)</f>
        <v/>
      </c>
      <c r="L39" s="7">
        <f>IF('Per Invoice'!$U38="","",'Per Invoice'!R38)</f>
        <v/>
      </c>
    </row>
    <row r="40">
      <c r="A40">
        <f>IF('Per Invoice'!$U39="","",ROWS($A$3:A40))</f>
        <v/>
      </c>
      <c r="B40" s="11">
        <f>IF('Per Invoice'!$U39="","",'Per Invoice'!I39)</f>
        <v/>
      </c>
      <c r="C40">
        <f>IF('Per Invoice'!$U39="","",'Per Invoice'!E39)</f>
        <v/>
      </c>
      <c r="D40">
        <f>IF('Per Invoice'!$U39="","",'Per Invoice'!D39)</f>
        <v/>
      </c>
      <c r="E40">
        <f>IF('Per Invoice'!$U39="","",'Per Invoice'!C39)</f>
        <v/>
      </c>
      <c r="F40" s="7">
        <f>IF('Per Invoice'!$U39="","",'Per Invoice'!O39)</f>
        <v/>
      </c>
      <c r="G40" s="7">
        <f>IF('Per Invoice'!$U39="","",'Per Invoice'!P39)</f>
        <v/>
      </c>
      <c r="H40" s="7">
        <f>IF('Per Invoice'!$U39="","",'Per Invoice'!L39)</f>
        <v/>
      </c>
      <c r="I40" s="7">
        <f>IF('Per Invoice'!$U39="","",'Per Invoice'!M39)</f>
        <v/>
      </c>
      <c r="K40" s="7">
        <f>IF('Per Invoice'!$U39="","",'Per Invoice'!S39)</f>
        <v/>
      </c>
      <c r="L40" s="7">
        <f>IF('Per Invoice'!$U39="","",'Per Invoice'!R39)</f>
        <v/>
      </c>
    </row>
    <row r="41">
      <c r="A41">
        <f>IF('Per Invoice'!$U40="","",ROWS($A$3:A41))</f>
        <v/>
      </c>
      <c r="B41" s="11">
        <f>IF('Per Invoice'!$U40="","",'Per Invoice'!I40)</f>
        <v/>
      </c>
      <c r="C41">
        <f>IF('Per Invoice'!$U40="","",'Per Invoice'!E40)</f>
        <v/>
      </c>
      <c r="D41">
        <f>IF('Per Invoice'!$U40="","",'Per Invoice'!D40)</f>
        <v/>
      </c>
      <c r="E41">
        <f>IF('Per Invoice'!$U40="","",'Per Invoice'!C40)</f>
        <v/>
      </c>
      <c r="F41" s="7">
        <f>IF('Per Invoice'!$U40="","",'Per Invoice'!O40)</f>
        <v/>
      </c>
      <c r="G41" s="7">
        <f>IF('Per Invoice'!$U40="","",'Per Invoice'!P40)</f>
        <v/>
      </c>
      <c r="H41" s="7">
        <f>IF('Per Invoice'!$U40="","",'Per Invoice'!L40)</f>
        <v/>
      </c>
      <c r="I41" s="7">
        <f>IF('Per Invoice'!$U40="","",'Per Invoice'!M40)</f>
        <v/>
      </c>
      <c r="K41" s="7">
        <f>IF('Per Invoice'!$U40="","",'Per Invoice'!S40)</f>
        <v/>
      </c>
      <c r="L41" s="7">
        <f>IF('Per Invoice'!$U40="","",'Per Invoice'!R40)</f>
        <v/>
      </c>
    </row>
    <row r="42">
      <c r="A42">
        <f>IF('Per Invoice'!$U41="","",ROWS($A$3:A42))</f>
        <v/>
      </c>
      <c r="B42" s="11">
        <f>IF('Per Invoice'!$U41="","",'Per Invoice'!I41)</f>
        <v/>
      </c>
      <c r="C42">
        <f>IF('Per Invoice'!$U41="","",'Per Invoice'!E41)</f>
        <v/>
      </c>
      <c r="D42">
        <f>IF('Per Invoice'!$U41="","",'Per Invoice'!D41)</f>
        <v/>
      </c>
      <c r="E42">
        <f>IF('Per Invoice'!$U41="","",'Per Invoice'!C41)</f>
        <v/>
      </c>
      <c r="F42" s="7">
        <f>IF('Per Invoice'!$U41="","",'Per Invoice'!O41)</f>
        <v/>
      </c>
      <c r="G42" s="7">
        <f>IF('Per Invoice'!$U41="","",'Per Invoice'!P41)</f>
        <v/>
      </c>
      <c r="H42" s="7">
        <f>IF('Per Invoice'!$U41="","",'Per Invoice'!L41)</f>
        <v/>
      </c>
      <c r="I42" s="7">
        <f>IF('Per Invoice'!$U41="","",'Per Invoice'!M41)</f>
        <v/>
      </c>
      <c r="K42" s="7">
        <f>IF('Per Invoice'!$U41="","",'Per Invoice'!S41)</f>
        <v/>
      </c>
      <c r="L42" s="7">
        <f>IF('Per Invoice'!$U41="","",'Per Invoice'!R41)</f>
        <v/>
      </c>
    </row>
    <row r="43">
      <c r="A43">
        <f>IF('Per Invoice'!$U42="","",ROWS($A$3:A43))</f>
        <v/>
      </c>
      <c r="B43" s="11">
        <f>IF('Per Invoice'!$U42="","",'Per Invoice'!I42)</f>
        <v/>
      </c>
      <c r="C43">
        <f>IF('Per Invoice'!$U42="","",'Per Invoice'!E42)</f>
        <v/>
      </c>
      <c r="D43">
        <f>IF('Per Invoice'!$U42="","",'Per Invoice'!D42)</f>
        <v/>
      </c>
      <c r="E43">
        <f>IF('Per Invoice'!$U42="","",'Per Invoice'!C42)</f>
        <v/>
      </c>
      <c r="F43" s="7">
        <f>IF('Per Invoice'!$U42="","",'Per Invoice'!O42)</f>
        <v/>
      </c>
      <c r="G43" s="7">
        <f>IF('Per Invoice'!$U42="","",'Per Invoice'!P42)</f>
        <v/>
      </c>
      <c r="H43" s="7">
        <f>IF('Per Invoice'!$U42="","",'Per Invoice'!L42)</f>
        <v/>
      </c>
      <c r="I43" s="7">
        <f>IF('Per Invoice'!$U42="","",'Per Invoice'!M42)</f>
        <v/>
      </c>
      <c r="K43" s="7">
        <f>IF('Per Invoice'!$U42="","",'Per Invoice'!S42)</f>
        <v/>
      </c>
      <c r="L43" s="7">
        <f>IF('Per Invoice'!$U42="","",'Per Invoice'!R42)</f>
        <v/>
      </c>
    </row>
    <row r="44">
      <c r="A44">
        <f>IF('Per Invoice'!$U43="","",ROWS($A$3:A44))</f>
        <v/>
      </c>
      <c r="B44" s="11">
        <f>IF('Per Invoice'!$U43="","",'Per Invoice'!I43)</f>
        <v/>
      </c>
      <c r="C44">
        <f>IF('Per Invoice'!$U43="","",'Per Invoice'!E43)</f>
        <v/>
      </c>
      <c r="D44">
        <f>IF('Per Invoice'!$U43="","",'Per Invoice'!D43)</f>
        <v/>
      </c>
      <c r="E44">
        <f>IF('Per Invoice'!$U43="","",'Per Invoice'!C43)</f>
        <v/>
      </c>
      <c r="F44" s="7">
        <f>IF('Per Invoice'!$U43="","",'Per Invoice'!O43)</f>
        <v/>
      </c>
      <c r="G44" s="7">
        <f>IF('Per Invoice'!$U43="","",'Per Invoice'!P43)</f>
        <v/>
      </c>
      <c r="H44" s="7">
        <f>IF('Per Invoice'!$U43="","",'Per Invoice'!L43)</f>
        <v/>
      </c>
      <c r="I44" s="7">
        <f>IF('Per Invoice'!$U43="","",'Per Invoice'!M43)</f>
        <v/>
      </c>
      <c r="K44" s="7">
        <f>IF('Per Invoice'!$U43="","",'Per Invoice'!S43)</f>
        <v/>
      </c>
      <c r="L44" s="7">
        <f>IF('Per Invoice'!$U43="","",'Per Invoice'!R43)</f>
        <v/>
      </c>
    </row>
    <row r="45">
      <c r="A45">
        <f>IF('Per Invoice'!$U44="","",ROWS($A$3:A45))</f>
        <v/>
      </c>
      <c r="B45" s="11">
        <f>IF('Per Invoice'!$U44="","",'Per Invoice'!I44)</f>
        <v/>
      </c>
      <c r="C45">
        <f>IF('Per Invoice'!$U44="","",'Per Invoice'!E44)</f>
        <v/>
      </c>
      <c r="D45">
        <f>IF('Per Invoice'!$U44="","",'Per Invoice'!D44)</f>
        <v/>
      </c>
      <c r="E45">
        <f>IF('Per Invoice'!$U44="","",'Per Invoice'!C44)</f>
        <v/>
      </c>
      <c r="F45" s="7">
        <f>IF('Per Invoice'!$U44="","",'Per Invoice'!O44)</f>
        <v/>
      </c>
      <c r="G45" s="7">
        <f>IF('Per Invoice'!$U44="","",'Per Invoice'!P44)</f>
        <v/>
      </c>
      <c r="H45" s="7">
        <f>IF('Per Invoice'!$U44="","",'Per Invoice'!L44)</f>
        <v/>
      </c>
      <c r="I45" s="7">
        <f>IF('Per Invoice'!$U44="","",'Per Invoice'!M44)</f>
        <v/>
      </c>
      <c r="K45" s="7">
        <f>IF('Per Invoice'!$U44="","",'Per Invoice'!S44)</f>
        <v/>
      </c>
      <c r="L45" s="7">
        <f>IF('Per Invoice'!$U44="","",'Per Invoice'!R44)</f>
        <v/>
      </c>
    </row>
    <row r="46">
      <c r="A46">
        <f>IF('Per Invoice'!$U45="","",ROWS($A$3:A46))</f>
        <v/>
      </c>
      <c r="B46" s="11">
        <f>IF('Per Invoice'!$U45="","",'Per Invoice'!I45)</f>
        <v/>
      </c>
      <c r="C46">
        <f>IF('Per Invoice'!$U45="","",'Per Invoice'!E45)</f>
        <v/>
      </c>
      <c r="D46">
        <f>IF('Per Invoice'!$U45="","",'Per Invoice'!D45)</f>
        <v/>
      </c>
      <c r="E46">
        <f>IF('Per Invoice'!$U45="","",'Per Invoice'!C45)</f>
        <v/>
      </c>
      <c r="F46" s="7">
        <f>IF('Per Invoice'!$U45="","",'Per Invoice'!O45)</f>
        <v/>
      </c>
      <c r="G46" s="7">
        <f>IF('Per Invoice'!$U45="","",'Per Invoice'!P45)</f>
        <v/>
      </c>
      <c r="H46" s="7">
        <f>IF('Per Invoice'!$U45="","",'Per Invoice'!L45)</f>
        <v/>
      </c>
      <c r="I46" s="7">
        <f>IF('Per Invoice'!$U45="","",'Per Invoice'!M45)</f>
        <v/>
      </c>
      <c r="K46" s="7">
        <f>IF('Per Invoice'!$U45="","",'Per Invoice'!S45)</f>
        <v/>
      </c>
      <c r="L46" s="7">
        <f>IF('Per Invoice'!$U45="","",'Per Invoice'!R45)</f>
        <v/>
      </c>
    </row>
    <row r="47">
      <c r="A47">
        <f>IF('Per Invoice'!$U46="","",ROWS($A$3:A47))</f>
        <v/>
      </c>
      <c r="B47" s="11">
        <f>IF('Per Invoice'!$U46="","",'Per Invoice'!I46)</f>
        <v/>
      </c>
      <c r="C47">
        <f>IF('Per Invoice'!$U46="","",'Per Invoice'!E46)</f>
        <v/>
      </c>
      <c r="D47">
        <f>IF('Per Invoice'!$U46="","",'Per Invoice'!D46)</f>
        <v/>
      </c>
      <c r="E47">
        <f>IF('Per Invoice'!$U46="","",'Per Invoice'!C46)</f>
        <v/>
      </c>
      <c r="F47" s="7">
        <f>IF('Per Invoice'!$U46="","",'Per Invoice'!O46)</f>
        <v/>
      </c>
      <c r="G47" s="7">
        <f>IF('Per Invoice'!$U46="","",'Per Invoice'!P46)</f>
        <v/>
      </c>
      <c r="H47" s="7">
        <f>IF('Per Invoice'!$U46="","",'Per Invoice'!L46)</f>
        <v/>
      </c>
      <c r="I47" s="7">
        <f>IF('Per Invoice'!$U46="","",'Per Invoice'!M46)</f>
        <v/>
      </c>
      <c r="K47" s="7">
        <f>IF('Per Invoice'!$U46="","",'Per Invoice'!S46)</f>
        <v/>
      </c>
      <c r="L47" s="7">
        <f>IF('Per Invoice'!$U46="","",'Per Invoice'!R46)</f>
        <v/>
      </c>
    </row>
    <row r="48">
      <c r="A48">
        <f>IF('Per Invoice'!$U47="","",ROWS($A$3:A48))</f>
        <v/>
      </c>
      <c r="B48" s="11">
        <f>IF('Per Invoice'!$U47="","",'Per Invoice'!I47)</f>
        <v/>
      </c>
      <c r="C48">
        <f>IF('Per Invoice'!$U47="","",'Per Invoice'!E47)</f>
        <v/>
      </c>
      <c r="D48">
        <f>IF('Per Invoice'!$U47="","",'Per Invoice'!D47)</f>
        <v/>
      </c>
      <c r="E48">
        <f>IF('Per Invoice'!$U47="","",'Per Invoice'!C47)</f>
        <v/>
      </c>
      <c r="F48" s="7">
        <f>IF('Per Invoice'!$U47="","",'Per Invoice'!O47)</f>
        <v/>
      </c>
      <c r="G48" s="7">
        <f>IF('Per Invoice'!$U47="","",'Per Invoice'!P47)</f>
        <v/>
      </c>
      <c r="H48" s="7">
        <f>IF('Per Invoice'!$U47="","",'Per Invoice'!L47)</f>
        <v/>
      </c>
      <c r="I48" s="7">
        <f>IF('Per Invoice'!$U47="","",'Per Invoice'!M47)</f>
        <v/>
      </c>
      <c r="K48" s="7">
        <f>IF('Per Invoice'!$U47="","",'Per Invoice'!S47)</f>
        <v/>
      </c>
      <c r="L48" s="7">
        <f>IF('Per Invoice'!$U47="","",'Per Invoice'!R47)</f>
        <v/>
      </c>
    </row>
    <row r="49">
      <c r="A49">
        <f>IF('Per Invoice'!$U48="","",ROWS($A$3:A49))</f>
        <v/>
      </c>
      <c r="B49" s="11">
        <f>IF('Per Invoice'!$U48="","",'Per Invoice'!I48)</f>
        <v/>
      </c>
      <c r="C49">
        <f>IF('Per Invoice'!$U48="","",'Per Invoice'!E48)</f>
        <v/>
      </c>
      <c r="D49">
        <f>IF('Per Invoice'!$U48="","",'Per Invoice'!D48)</f>
        <v/>
      </c>
      <c r="E49">
        <f>IF('Per Invoice'!$U48="","",'Per Invoice'!C48)</f>
        <v/>
      </c>
      <c r="F49" s="7">
        <f>IF('Per Invoice'!$U48="","",'Per Invoice'!O48)</f>
        <v/>
      </c>
      <c r="G49" s="7">
        <f>IF('Per Invoice'!$U48="","",'Per Invoice'!P48)</f>
        <v/>
      </c>
      <c r="H49" s="7">
        <f>IF('Per Invoice'!$U48="","",'Per Invoice'!L48)</f>
        <v/>
      </c>
      <c r="I49" s="7">
        <f>IF('Per Invoice'!$U48="","",'Per Invoice'!M48)</f>
        <v/>
      </c>
      <c r="K49" s="7">
        <f>IF('Per Invoice'!$U48="","",'Per Invoice'!S48)</f>
        <v/>
      </c>
      <c r="L49" s="7">
        <f>IF('Per Invoice'!$U48="","",'Per Invoice'!R48)</f>
        <v/>
      </c>
    </row>
    <row r="50">
      <c r="A50">
        <f>IF('Per Invoice'!$U49="","",ROWS($A$3:A50))</f>
        <v/>
      </c>
      <c r="B50" s="11">
        <f>IF('Per Invoice'!$U49="","",'Per Invoice'!I49)</f>
        <v/>
      </c>
      <c r="C50">
        <f>IF('Per Invoice'!$U49="","",'Per Invoice'!E49)</f>
        <v/>
      </c>
      <c r="D50">
        <f>IF('Per Invoice'!$U49="","",'Per Invoice'!D49)</f>
        <v/>
      </c>
      <c r="E50">
        <f>IF('Per Invoice'!$U49="","",'Per Invoice'!C49)</f>
        <v/>
      </c>
      <c r="F50" s="7">
        <f>IF('Per Invoice'!$U49="","",'Per Invoice'!O49)</f>
        <v/>
      </c>
      <c r="G50" s="7">
        <f>IF('Per Invoice'!$U49="","",'Per Invoice'!P49)</f>
        <v/>
      </c>
      <c r="H50" s="7">
        <f>IF('Per Invoice'!$U49="","",'Per Invoice'!L49)</f>
        <v/>
      </c>
      <c r="I50" s="7">
        <f>IF('Per Invoice'!$U49="","",'Per Invoice'!M49)</f>
        <v/>
      </c>
      <c r="K50" s="7">
        <f>IF('Per Invoice'!$U49="","",'Per Invoice'!S49)</f>
        <v/>
      </c>
      <c r="L50" s="7">
        <f>IF('Per Invoice'!$U49="","",'Per Invoice'!R49)</f>
        <v/>
      </c>
    </row>
    <row r="51">
      <c r="A51">
        <f>IF('Per Invoice'!$U50="","",ROWS($A$3:A51))</f>
        <v/>
      </c>
      <c r="B51" s="11">
        <f>IF('Per Invoice'!$U50="","",'Per Invoice'!I50)</f>
        <v/>
      </c>
      <c r="C51">
        <f>IF('Per Invoice'!$U50="","",'Per Invoice'!E50)</f>
        <v/>
      </c>
      <c r="D51">
        <f>IF('Per Invoice'!$U50="","",'Per Invoice'!D50)</f>
        <v/>
      </c>
      <c r="E51">
        <f>IF('Per Invoice'!$U50="","",'Per Invoice'!C50)</f>
        <v/>
      </c>
      <c r="F51" s="7">
        <f>IF('Per Invoice'!$U50="","",'Per Invoice'!O50)</f>
        <v/>
      </c>
      <c r="G51" s="7">
        <f>IF('Per Invoice'!$U50="","",'Per Invoice'!P50)</f>
        <v/>
      </c>
      <c r="H51" s="7">
        <f>IF('Per Invoice'!$U50="","",'Per Invoice'!L50)</f>
        <v/>
      </c>
      <c r="I51" s="7">
        <f>IF('Per Invoice'!$U50="","",'Per Invoice'!M50)</f>
        <v/>
      </c>
      <c r="K51" s="7">
        <f>IF('Per Invoice'!$U50="","",'Per Invoice'!S50)</f>
        <v/>
      </c>
      <c r="L51" s="7">
        <f>IF('Per Invoice'!$U50="","",'Per Invoice'!R50)</f>
        <v/>
      </c>
    </row>
    <row r="52">
      <c r="A52">
        <f>IF('Per Invoice'!$U51="","",ROWS($A$3:A52))</f>
        <v/>
      </c>
      <c r="B52" s="11">
        <f>IF('Per Invoice'!$U51="","",'Per Invoice'!I51)</f>
        <v/>
      </c>
      <c r="C52">
        <f>IF('Per Invoice'!$U51="","",'Per Invoice'!E51)</f>
        <v/>
      </c>
      <c r="D52">
        <f>IF('Per Invoice'!$U51="","",'Per Invoice'!D51)</f>
        <v/>
      </c>
      <c r="E52">
        <f>IF('Per Invoice'!$U51="","",'Per Invoice'!C51)</f>
        <v/>
      </c>
      <c r="F52" s="7">
        <f>IF('Per Invoice'!$U51="","",'Per Invoice'!O51)</f>
        <v/>
      </c>
      <c r="G52" s="7">
        <f>IF('Per Invoice'!$U51="","",'Per Invoice'!P51)</f>
        <v/>
      </c>
      <c r="H52" s="7">
        <f>IF('Per Invoice'!$U51="","",'Per Invoice'!L51)</f>
        <v/>
      </c>
      <c r="I52" s="7">
        <f>IF('Per Invoice'!$U51="","",'Per Invoice'!M51)</f>
        <v/>
      </c>
      <c r="K52" s="7">
        <f>IF('Per Invoice'!$U51="","",'Per Invoice'!S51)</f>
        <v/>
      </c>
      <c r="L52" s="7">
        <f>IF('Per Invoice'!$U51="","",'Per Invoice'!R51)</f>
        <v/>
      </c>
    </row>
    <row r="53">
      <c r="A53">
        <f>IF('Per Invoice'!$U52="","",ROWS($A$3:A53))</f>
        <v/>
      </c>
      <c r="B53" s="11">
        <f>IF('Per Invoice'!$U52="","",'Per Invoice'!I52)</f>
        <v/>
      </c>
      <c r="C53">
        <f>IF('Per Invoice'!$U52="","",'Per Invoice'!E52)</f>
        <v/>
      </c>
      <c r="D53">
        <f>IF('Per Invoice'!$U52="","",'Per Invoice'!D52)</f>
        <v/>
      </c>
      <c r="E53">
        <f>IF('Per Invoice'!$U52="","",'Per Invoice'!C52)</f>
        <v/>
      </c>
      <c r="F53" s="7">
        <f>IF('Per Invoice'!$U52="","",'Per Invoice'!O52)</f>
        <v/>
      </c>
      <c r="G53" s="7">
        <f>IF('Per Invoice'!$U52="","",'Per Invoice'!P52)</f>
        <v/>
      </c>
      <c r="H53" s="7">
        <f>IF('Per Invoice'!$U52="","",'Per Invoice'!L52)</f>
        <v/>
      </c>
      <c r="I53" s="7">
        <f>IF('Per Invoice'!$U52="","",'Per Invoice'!M52)</f>
        <v/>
      </c>
      <c r="K53" s="7">
        <f>IF('Per Invoice'!$U52="","",'Per Invoice'!S52)</f>
        <v/>
      </c>
      <c r="L53" s="7">
        <f>IF('Per Invoice'!$U52="","",'Per Invoice'!R52)</f>
        <v/>
      </c>
    </row>
    <row r="54">
      <c r="A54">
        <f>IF('Per Invoice'!$U53="","",ROWS($A$3:A54))</f>
        <v/>
      </c>
      <c r="B54" s="11">
        <f>IF('Per Invoice'!$U53="","",'Per Invoice'!I53)</f>
        <v/>
      </c>
      <c r="C54">
        <f>IF('Per Invoice'!$U53="","",'Per Invoice'!E53)</f>
        <v/>
      </c>
      <c r="D54">
        <f>IF('Per Invoice'!$U53="","",'Per Invoice'!D53)</f>
        <v/>
      </c>
      <c r="E54">
        <f>IF('Per Invoice'!$U53="","",'Per Invoice'!C53)</f>
        <v/>
      </c>
      <c r="F54" s="7">
        <f>IF('Per Invoice'!$U53="","",'Per Invoice'!O53)</f>
        <v/>
      </c>
      <c r="G54" s="7">
        <f>IF('Per Invoice'!$U53="","",'Per Invoice'!P53)</f>
        <v/>
      </c>
      <c r="H54" s="7">
        <f>IF('Per Invoice'!$U53="","",'Per Invoice'!L53)</f>
        <v/>
      </c>
      <c r="I54" s="7">
        <f>IF('Per Invoice'!$U53="","",'Per Invoice'!M53)</f>
        <v/>
      </c>
      <c r="K54" s="7">
        <f>IF('Per Invoice'!$U53="","",'Per Invoice'!S53)</f>
        <v/>
      </c>
      <c r="L54" s="7">
        <f>IF('Per Invoice'!$U53="","",'Per Invoice'!R53)</f>
        <v/>
      </c>
    </row>
    <row r="55">
      <c r="A55">
        <f>IF('Per Invoice'!$U54="","",ROWS($A$3:A55))</f>
        <v/>
      </c>
      <c r="B55" s="11">
        <f>IF('Per Invoice'!$U54="","",'Per Invoice'!I54)</f>
        <v/>
      </c>
      <c r="C55">
        <f>IF('Per Invoice'!$U54="","",'Per Invoice'!E54)</f>
        <v/>
      </c>
      <c r="D55">
        <f>IF('Per Invoice'!$U54="","",'Per Invoice'!D54)</f>
        <v/>
      </c>
      <c r="E55">
        <f>IF('Per Invoice'!$U54="","",'Per Invoice'!C54)</f>
        <v/>
      </c>
      <c r="F55" s="7">
        <f>IF('Per Invoice'!$U54="","",'Per Invoice'!O54)</f>
        <v/>
      </c>
      <c r="G55" s="7">
        <f>IF('Per Invoice'!$U54="","",'Per Invoice'!P54)</f>
        <v/>
      </c>
      <c r="H55" s="7">
        <f>IF('Per Invoice'!$U54="","",'Per Invoice'!L54)</f>
        <v/>
      </c>
      <c r="I55" s="7">
        <f>IF('Per Invoice'!$U54="","",'Per Invoice'!M54)</f>
        <v/>
      </c>
      <c r="K55" s="7">
        <f>IF('Per Invoice'!$U54="","",'Per Invoice'!S54)</f>
        <v/>
      </c>
      <c r="L55" s="7">
        <f>IF('Per Invoice'!$U54="","",'Per Invoice'!R54)</f>
        <v/>
      </c>
    </row>
    <row r="56">
      <c r="A56">
        <f>IF('Per Invoice'!$U55="","",ROWS($A$3:A56))</f>
        <v/>
      </c>
      <c r="B56" s="11">
        <f>IF('Per Invoice'!$U55="","",'Per Invoice'!I55)</f>
        <v/>
      </c>
      <c r="C56">
        <f>IF('Per Invoice'!$U55="","",'Per Invoice'!E55)</f>
        <v/>
      </c>
      <c r="D56">
        <f>IF('Per Invoice'!$U55="","",'Per Invoice'!D55)</f>
        <v/>
      </c>
      <c r="E56">
        <f>IF('Per Invoice'!$U55="","",'Per Invoice'!C55)</f>
        <v/>
      </c>
      <c r="F56" s="7">
        <f>IF('Per Invoice'!$U55="","",'Per Invoice'!O55)</f>
        <v/>
      </c>
      <c r="G56" s="7">
        <f>IF('Per Invoice'!$U55="","",'Per Invoice'!P55)</f>
        <v/>
      </c>
      <c r="H56" s="7">
        <f>IF('Per Invoice'!$U55="","",'Per Invoice'!L55)</f>
        <v/>
      </c>
      <c r="I56" s="7">
        <f>IF('Per Invoice'!$U55="","",'Per Invoice'!M55)</f>
        <v/>
      </c>
      <c r="K56" s="7">
        <f>IF('Per Invoice'!$U55="","",'Per Invoice'!S55)</f>
        <v/>
      </c>
      <c r="L56" s="7">
        <f>IF('Per Invoice'!$U55="","",'Per Invoice'!R55)</f>
        <v/>
      </c>
    </row>
    <row r="57">
      <c r="A57">
        <f>IF('Per Invoice'!$U56="","",ROWS($A$3:A57))</f>
        <v/>
      </c>
      <c r="B57" s="11">
        <f>IF('Per Invoice'!$U56="","",'Per Invoice'!I56)</f>
        <v/>
      </c>
      <c r="C57">
        <f>IF('Per Invoice'!$U56="","",'Per Invoice'!E56)</f>
        <v/>
      </c>
      <c r="D57">
        <f>IF('Per Invoice'!$U56="","",'Per Invoice'!D56)</f>
        <v/>
      </c>
      <c r="E57">
        <f>IF('Per Invoice'!$U56="","",'Per Invoice'!C56)</f>
        <v/>
      </c>
      <c r="F57" s="7">
        <f>IF('Per Invoice'!$U56="","",'Per Invoice'!O56)</f>
        <v/>
      </c>
      <c r="G57" s="7">
        <f>IF('Per Invoice'!$U56="","",'Per Invoice'!P56)</f>
        <v/>
      </c>
      <c r="H57" s="7">
        <f>IF('Per Invoice'!$U56="","",'Per Invoice'!L56)</f>
        <v/>
      </c>
      <c r="I57" s="7">
        <f>IF('Per Invoice'!$U56="","",'Per Invoice'!M56)</f>
        <v/>
      </c>
      <c r="K57" s="7">
        <f>IF('Per Invoice'!$U56="","",'Per Invoice'!S56)</f>
        <v/>
      </c>
      <c r="L57" s="7">
        <f>IF('Per Invoice'!$U56="","",'Per Invoice'!R56)</f>
        <v/>
      </c>
    </row>
    <row r="58">
      <c r="A58">
        <f>IF('Per Invoice'!$U57="","",ROWS($A$3:A58))</f>
        <v/>
      </c>
      <c r="B58" s="11">
        <f>IF('Per Invoice'!$U57="","",'Per Invoice'!I57)</f>
        <v/>
      </c>
      <c r="C58">
        <f>IF('Per Invoice'!$U57="","",'Per Invoice'!E57)</f>
        <v/>
      </c>
      <c r="D58">
        <f>IF('Per Invoice'!$U57="","",'Per Invoice'!D57)</f>
        <v/>
      </c>
      <c r="E58">
        <f>IF('Per Invoice'!$U57="","",'Per Invoice'!C57)</f>
        <v/>
      </c>
      <c r="F58" s="7">
        <f>IF('Per Invoice'!$U57="","",'Per Invoice'!O57)</f>
        <v/>
      </c>
      <c r="G58" s="7">
        <f>IF('Per Invoice'!$U57="","",'Per Invoice'!P57)</f>
        <v/>
      </c>
      <c r="H58" s="7">
        <f>IF('Per Invoice'!$U57="","",'Per Invoice'!L57)</f>
        <v/>
      </c>
      <c r="I58" s="7">
        <f>IF('Per Invoice'!$U57="","",'Per Invoice'!M57)</f>
        <v/>
      </c>
      <c r="K58" s="7">
        <f>IF('Per Invoice'!$U57="","",'Per Invoice'!S57)</f>
        <v/>
      </c>
      <c r="L58" s="7">
        <f>IF('Per Invoice'!$U57="","",'Per Invoice'!R57)</f>
        <v/>
      </c>
    </row>
    <row r="59">
      <c r="A59">
        <f>IF('Per Invoice'!$U58="","",ROWS($A$3:A59))</f>
        <v/>
      </c>
      <c r="B59" s="11">
        <f>IF('Per Invoice'!$U58="","",'Per Invoice'!I58)</f>
        <v/>
      </c>
      <c r="C59">
        <f>IF('Per Invoice'!$U58="","",'Per Invoice'!E58)</f>
        <v/>
      </c>
      <c r="D59">
        <f>IF('Per Invoice'!$U58="","",'Per Invoice'!D58)</f>
        <v/>
      </c>
      <c r="E59">
        <f>IF('Per Invoice'!$U58="","",'Per Invoice'!C58)</f>
        <v/>
      </c>
      <c r="F59" s="7">
        <f>IF('Per Invoice'!$U58="","",'Per Invoice'!O58)</f>
        <v/>
      </c>
      <c r="G59" s="7">
        <f>IF('Per Invoice'!$U58="","",'Per Invoice'!P58)</f>
        <v/>
      </c>
      <c r="H59" s="7">
        <f>IF('Per Invoice'!$U58="","",'Per Invoice'!L58)</f>
        <v/>
      </c>
      <c r="I59" s="7">
        <f>IF('Per Invoice'!$U58="","",'Per Invoice'!M58)</f>
        <v/>
      </c>
      <c r="K59" s="7">
        <f>IF('Per Invoice'!$U58="","",'Per Invoice'!S58)</f>
        <v/>
      </c>
      <c r="L59" s="7">
        <f>IF('Per Invoice'!$U58="","",'Per Invoice'!R58)</f>
        <v/>
      </c>
    </row>
    <row r="60">
      <c r="A60">
        <f>IF('Per Invoice'!$U59="","",ROWS($A$3:A60))</f>
        <v/>
      </c>
      <c r="B60" s="11">
        <f>IF('Per Invoice'!$U59="","",'Per Invoice'!I59)</f>
        <v/>
      </c>
      <c r="C60">
        <f>IF('Per Invoice'!$U59="","",'Per Invoice'!E59)</f>
        <v/>
      </c>
      <c r="D60">
        <f>IF('Per Invoice'!$U59="","",'Per Invoice'!D59)</f>
        <v/>
      </c>
      <c r="E60">
        <f>IF('Per Invoice'!$U59="","",'Per Invoice'!C59)</f>
        <v/>
      </c>
      <c r="F60" s="7">
        <f>IF('Per Invoice'!$U59="","",'Per Invoice'!O59)</f>
        <v/>
      </c>
      <c r="G60" s="7">
        <f>IF('Per Invoice'!$U59="","",'Per Invoice'!P59)</f>
        <v/>
      </c>
      <c r="H60" s="7">
        <f>IF('Per Invoice'!$U59="","",'Per Invoice'!L59)</f>
        <v/>
      </c>
      <c r="I60" s="7">
        <f>IF('Per Invoice'!$U59="","",'Per Invoice'!M59)</f>
        <v/>
      </c>
      <c r="K60" s="7">
        <f>IF('Per Invoice'!$U59="","",'Per Invoice'!S59)</f>
        <v/>
      </c>
      <c r="L60" s="7">
        <f>IF('Per Invoice'!$U59="","",'Per Invoice'!R59)</f>
        <v/>
      </c>
    </row>
    <row r="61">
      <c r="A61">
        <f>IF('Per Invoice'!$U60="","",ROWS($A$3:A61))</f>
        <v/>
      </c>
      <c r="B61" s="11">
        <f>IF('Per Invoice'!$U60="","",'Per Invoice'!I60)</f>
        <v/>
      </c>
      <c r="C61">
        <f>IF('Per Invoice'!$U60="","",'Per Invoice'!E60)</f>
        <v/>
      </c>
      <c r="D61">
        <f>IF('Per Invoice'!$U60="","",'Per Invoice'!D60)</f>
        <v/>
      </c>
      <c r="E61">
        <f>IF('Per Invoice'!$U60="","",'Per Invoice'!C60)</f>
        <v/>
      </c>
      <c r="F61" s="7">
        <f>IF('Per Invoice'!$U60="","",'Per Invoice'!O60)</f>
        <v/>
      </c>
      <c r="G61" s="7">
        <f>IF('Per Invoice'!$U60="","",'Per Invoice'!P60)</f>
        <v/>
      </c>
      <c r="H61" s="7">
        <f>IF('Per Invoice'!$U60="","",'Per Invoice'!L60)</f>
        <v/>
      </c>
      <c r="I61" s="7">
        <f>IF('Per Invoice'!$U60="","",'Per Invoice'!M60)</f>
        <v/>
      </c>
      <c r="K61" s="7">
        <f>IF('Per Invoice'!$U60="","",'Per Invoice'!S60)</f>
        <v/>
      </c>
      <c r="L61" s="7">
        <f>IF('Per Invoice'!$U60="","",'Per Invoice'!R60)</f>
        <v/>
      </c>
    </row>
    <row r="62">
      <c r="A62">
        <f>IF('Per Invoice'!$U61="","",ROWS($A$3:A62))</f>
        <v/>
      </c>
      <c r="B62" s="11">
        <f>IF('Per Invoice'!$U61="","",'Per Invoice'!I61)</f>
        <v/>
      </c>
      <c r="C62">
        <f>IF('Per Invoice'!$U61="","",'Per Invoice'!E61)</f>
        <v/>
      </c>
      <c r="D62">
        <f>IF('Per Invoice'!$U61="","",'Per Invoice'!D61)</f>
        <v/>
      </c>
      <c r="E62">
        <f>IF('Per Invoice'!$U61="","",'Per Invoice'!C61)</f>
        <v/>
      </c>
      <c r="F62" s="7">
        <f>IF('Per Invoice'!$U61="","",'Per Invoice'!O61)</f>
        <v/>
      </c>
      <c r="G62" s="7">
        <f>IF('Per Invoice'!$U61="","",'Per Invoice'!P61)</f>
        <v/>
      </c>
      <c r="H62" s="7">
        <f>IF('Per Invoice'!$U61="","",'Per Invoice'!L61)</f>
        <v/>
      </c>
      <c r="I62" s="7">
        <f>IF('Per Invoice'!$U61="","",'Per Invoice'!M61)</f>
        <v/>
      </c>
      <c r="K62" s="7">
        <f>IF('Per Invoice'!$U61="","",'Per Invoice'!S61)</f>
        <v/>
      </c>
      <c r="L62" s="7">
        <f>IF('Per Invoice'!$U61="","",'Per Invoice'!R61)</f>
        <v/>
      </c>
    </row>
    <row r="63">
      <c r="A63">
        <f>IF('Per Invoice'!$U62="","",ROWS($A$3:A63))</f>
        <v/>
      </c>
      <c r="B63" s="11">
        <f>IF('Per Invoice'!$U62="","",'Per Invoice'!I62)</f>
        <v/>
      </c>
      <c r="C63">
        <f>IF('Per Invoice'!$U62="","",'Per Invoice'!E62)</f>
        <v/>
      </c>
      <c r="D63">
        <f>IF('Per Invoice'!$U62="","",'Per Invoice'!D62)</f>
        <v/>
      </c>
      <c r="E63">
        <f>IF('Per Invoice'!$U62="","",'Per Invoice'!C62)</f>
        <v/>
      </c>
      <c r="F63" s="7">
        <f>IF('Per Invoice'!$U62="","",'Per Invoice'!O62)</f>
        <v/>
      </c>
      <c r="G63" s="7">
        <f>IF('Per Invoice'!$U62="","",'Per Invoice'!P62)</f>
        <v/>
      </c>
      <c r="H63" s="7">
        <f>IF('Per Invoice'!$U62="","",'Per Invoice'!L62)</f>
        <v/>
      </c>
      <c r="I63" s="7">
        <f>IF('Per Invoice'!$U62="","",'Per Invoice'!M62)</f>
        <v/>
      </c>
      <c r="K63" s="7">
        <f>IF('Per Invoice'!$U62="","",'Per Invoice'!S62)</f>
        <v/>
      </c>
      <c r="L63" s="7">
        <f>IF('Per Invoice'!$U62="","",'Per Invoice'!R62)</f>
        <v/>
      </c>
    </row>
    <row r="64">
      <c r="A64">
        <f>IF('Per Invoice'!$U63="","",ROWS($A$3:A64))</f>
        <v/>
      </c>
      <c r="B64" s="11">
        <f>IF('Per Invoice'!$U63="","",'Per Invoice'!I63)</f>
        <v/>
      </c>
      <c r="C64">
        <f>IF('Per Invoice'!$U63="","",'Per Invoice'!E63)</f>
        <v/>
      </c>
      <c r="D64">
        <f>IF('Per Invoice'!$U63="","",'Per Invoice'!D63)</f>
        <v/>
      </c>
      <c r="E64">
        <f>IF('Per Invoice'!$U63="","",'Per Invoice'!C63)</f>
        <v/>
      </c>
      <c r="F64" s="7">
        <f>IF('Per Invoice'!$U63="","",'Per Invoice'!O63)</f>
        <v/>
      </c>
      <c r="G64" s="7">
        <f>IF('Per Invoice'!$U63="","",'Per Invoice'!P63)</f>
        <v/>
      </c>
      <c r="H64" s="7">
        <f>IF('Per Invoice'!$U63="","",'Per Invoice'!L63)</f>
        <v/>
      </c>
      <c r="I64" s="7">
        <f>IF('Per Invoice'!$U63="","",'Per Invoice'!M63)</f>
        <v/>
      </c>
      <c r="K64" s="7">
        <f>IF('Per Invoice'!$U63="","",'Per Invoice'!S63)</f>
        <v/>
      </c>
      <c r="L64" s="7">
        <f>IF('Per Invoice'!$U63="","",'Per Invoice'!R63)</f>
        <v/>
      </c>
    </row>
    <row r="65">
      <c r="A65">
        <f>IF('Per Invoice'!$U64="","",ROWS($A$3:A65))</f>
        <v/>
      </c>
      <c r="B65" s="11">
        <f>IF('Per Invoice'!$U64="","",'Per Invoice'!I64)</f>
        <v/>
      </c>
      <c r="C65">
        <f>IF('Per Invoice'!$U64="","",'Per Invoice'!E64)</f>
        <v/>
      </c>
      <c r="D65">
        <f>IF('Per Invoice'!$U64="","",'Per Invoice'!D64)</f>
        <v/>
      </c>
      <c r="E65">
        <f>IF('Per Invoice'!$U64="","",'Per Invoice'!C64)</f>
        <v/>
      </c>
      <c r="F65" s="7">
        <f>IF('Per Invoice'!$U64="","",'Per Invoice'!O64)</f>
        <v/>
      </c>
      <c r="G65" s="7">
        <f>IF('Per Invoice'!$U64="","",'Per Invoice'!P64)</f>
        <v/>
      </c>
      <c r="H65" s="7">
        <f>IF('Per Invoice'!$U64="","",'Per Invoice'!L64)</f>
        <v/>
      </c>
      <c r="I65" s="7">
        <f>IF('Per Invoice'!$U64="","",'Per Invoice'!M64)</f>
        <v/>
      </c>
      <c r="K65" s="7">
        <f>IF('Per Invoice'!$U64="","",'Per Invoice'!S64)</f>
        <v/>
      </c>
      <c r="L65" s="7">
        <f>IF('Per Invoice'!$U64="","",'Per Invoice'!R64)</f>
        <v/>
      </c>
    </row>
    <row r="66">
      <c r="A66">
        <f>IF('Per Invoice'!$U65="","",ROWS($A$3:A66))</f>
        <v/>
      </c>
      <c r="B66" s="11">
        <f>IF('Per Invoice'!$U65="","",'Per Invoice'!I65)</f>
        <v/>
      </c>
      <c r="C66">
        <f>IF('Per Invoice'!$U65="","",'Per Invoice'!E65)</f>
        <v/>
      </c>
      <c r="D66">
        <f>IF('Per Invoice'!$U65="","",'Per Invoice'!D65)</f>
        <v/>
      </c>
      <c r="E66">
        <f>IF('Per Invoice'!$U65="","",'Per Invoice'!C65)</f>
        <v/>
      </c>
      <c r="F66" s="7">
        <f>IF('Per Invoice'!$U65="","",'Per Invoice'!O65)</f>
        <v/>
      </c>
      <c r="G66" s="7">
        <f>IF('Per Invoice'!$U65="","",'Per Invoice'!P65)</f>
        <v/>
      </c>
      <c r="H66" s="7">
        <f>IF('Per Invoice'!$U65="","",'Per Invoice'!L65)</f>
        <v/>
      </c>
      <c r="I66" s="7">
        <f>IF('Per Invoice'!$U65="","",'Per Invoice'!M65)</f>
        <v/>
      </c>
      <c r="K66" s="7">
        <f>IF('Per Invoice'!$U65="","",'Per Invoice'!S65)</f>
        <v/>
      </c>
      <c r="L66" s="7">
        <f>IF('Per Invoice'!$U65="","",'Per Invoice'!R65)</f>
        <v/>
      </c>
    </row>
    <row r="67">
      <c r="A67">
        <f>IF('Per Invoice'!$U66="","",ROWS($A$3:A67))</f>
        <v/>
      </c>
      <c r="B67" s="11">
        <f>IF('Per Invoice'!$U66="","",'Per Invoice'!I66)</f>
        <v/>
      </c>
      <c r="C67">
        <f>IF('Per Invoice'!$U66="","",'Per Invoice'!E66)</f>
        <v/>
      </c>
      <c r="D67">
        <f>IF('Per Invoice'!$U66="","",'Per Invoice'!D66)</f>
        <v/>
      </c>
      <c r="E67">
        <f>IF('Per Invoice'!$U66="","",'Per Invoice'!C66)</f>
        <v/>
      </c>
      <c r="F67" s="7">
        <f>IF('Per Invoice'!$U66="","",'Per Invoice'!O66)</f>
        <v/>
      </c>
      <c r="G67" s="7">
        <f>IF('Per Invoice'!$U66="","",'Per Invoice'!P66)</f>
        <v/>
      </c>
      <c r="H67" s="7">
        <f>IF('Per Invoice'!$U66="","",'Per Invoice'!L66)</f>
        <v/>
      </c>
      <c r="I67" s="7">
        <f>IF('Per Invoice'!$U66="","",'Per Invoice'!M66)</f>
        <v/>
      </c>
      <c r="K67" s="7">
        <f>IF('Per Invoice'!$U66="","",'Per Invoice'!S66)</f>
        <v/>
      </c>
      <c r="L67" s="7">
        <f>IF('Per Invoice'!$U66="","",'Per Invoice'!R66)</f>
        <v/>
      </c>
    </row>
    <row r="68">
      <c r="A68">
        <f>IF('Per Invoice'!$U67="","",ROWS($A$3:A68))</f>
        <v/>
      </c>
      <c r="B68" s="11">
        <f>IF('Per Invoice'!$U67="","",'Per Invoice'!I67)</f>
        <v/>
      </c>
      <c r="C68">
        <f>IF('Per Invoice'!$U67="","",'Per Invoice'!E67)</f>
        <v/>
      </c>
      <c r="D68">
        <f>IF('Per Invoice'!$U67="","",'Per Invoice'!D67)</f>
        <v/>
      </c>
      <c r="E68">
        <f>IF('Per Invoice'!$U67="","",'Per Invoice'!C67)</f>
        <v/>
      </c>
      <c r="F68" s="7">
        <f>IF('Per Invoice'!$U67="","",'Per Invoice'!O67)</f>
        <v/>
      </c>
      <c r="G68" s="7">
        <f>IF('Per Invoice'!$U67="","",'Per Invoice'!P67)</f>
        <v/>
      </c>
      <c r="H68" s="7">
        <f>IF('Per Invoice'!$U67="","",'Per Invoice'!L67)</f>
        <v/>
      </c>
      <c r="I68" s="7">
        <f>IF('Per Invoice'!$U67="","",'Per Invoice'!M67)</f>
        <v/>
      </c>
      <c r="K68" s="7">
        <f>IF('Per Invoice'!$U67="","",'Per Invoice'!S67)</f>
        <v/>
      </c>
      <c r="L68" s="7">
        <f>IF('Per Invoice'!$U67="","",'Per Invoice'!R67)</f>
        <v/>
      </c>
    </row>
    <row r="69">
      <c r="A69">
        <f>IF('Per Invoice'!$U68="","",ROWS($A$3:A69))</f>
        <v/>
      </c>
      <c r="B69" s="11">
        <f>IF('Per Invoice'!$U68="","",'Per Invoice'!I68)</f>
        <v/>
      </c>
      <c r="C69">
        <f>IF('Per Invoice'!$U68="","",'Per Invoice'!E68)</f>
        <v/>
      </c>
      <c r="D69">
        <f>IF('Per Invoice'!$U68="","",'Per Invoice'!D68)</f>
        <v/>
      </c>
      <c r="E69">
        <f>IF('Per Invoice'!$U68="","",'Per Invoice'!C68)</f>
        <v/>
      </c>
      <c r="F69" s="7">
        <f>IF('Per Invoice'!$U68="","",'Per Invoice'!O68)</f>
        <v/>
      </c>
      <c r="G69" s="7">
        <f>IF('Per Invoice'!$U68="","",'Per Invoice'!P68)</f>
        <v/>
      </c>
      <c r="H69" s="7">
        <f>IF('Per Invoice'!$U68="","",'Per Invoice'!L68)</f>
        <v/>
      </c>
      <c r="I69" s="7">
        <f>IF('Per Invoice'!$U68="","",'Per Invoice'!M68)</f>
        <v/>
      </c>
      <c r="K69" s="7">
        <f>IF('Per Invoice'!$U68="","",'Per Invoice'!S68)</f>
        <v/>
      </c>
      <c r="L69" s="7">
        <f>IF('Per Invoice'!$U68="","",'Per Invoice'!R68)</f>
        <v/>
      </c>
    </row>
    <row r="70">
      <c r="A70">
        <f>IF('Per Invoice'!$U69="","",ROWS($A$3:A70))</f>
        <v/>
      </c>
      <c r="B70" s="11">
        <f>IF('Per Invoice'!$U69="","",'Per Invoice'!I69)</f>
        <v/>
      </c>
      <c r="C70">
        <f>IF('Per Invoice'!$U69="","",'Per Invoice'!E69)</f>
        <v/>
      </c>
      <c r="D70">
        <f>IF('Per Invoice'!$U69="","",'Per Invoice'!D69)</f>
        <v/>
      </c>
      <c r="E70">
        <f>IF('Per Invoice'!$U69="","",'Per Invoice'!C69)</f>
        <v/>
      </c>
      <c r="F70" s="7">
        <f>IF('Per Invoice'!$U69="","",'Per Invoice'!O69)</f>
        <v/>
      </c>
      <c r="G70" s="7">
        <f>IF('Per Invoice'!$U69="","",'Per Invoice'!P69)</f>
        <v/>
      </c>
      <c r="H70" s="7">
        <f>IF('Per Invoice'!$U69="","",'Per Invoice'!L69)</f>
        <v/>
      </c>
      <c r="I70" s="7">
        <f>IF('Per Invoice'!$U69="","",'Per Invoice'!M69)</f>
        <v/>
      </c>
      <c r="K70" s="7">
        <f>IF('Per Invoice'!$U69="","",'Per Invoice'!S69)</f>
        <v/>
      </c>
      <c r="L70" s="7">
        <f>IF('Per Invoice'!$U69="","",'Per Invoice'!R69)</f>
        <v/>
      </c>
    </row>
    <row r="71">
      <c r="A71">
        <f>IF('Per Invoice'!$U70="","",ROWS($A$3:A71))</f>
        <v/>
      </c>
      <c r="B71" s="11">
        <f>IF('Per Invoice'!$U70="","",'Per Invoice'!I70)</f>
        <v/>
      </c>
      <c r="C71">
        <f>IF('Per Invoice'!$U70="","",'Per Invoice'!E70)</f>
        <v/>
      </c>
      <c r="D71">
        <f>IF('Per Invoice'!$U70="","",'Per Invoice'!D70)</f>
        <v/>
      </c>
      <c r="E71">
        <f>IF('Per Invoice'!$U70="","",'Per Invoice'!C70)</f>
        <v/>
      </c>
      <c r="F71" s="7">
        <f>IF('Per Invoice'!$U70="","",'Per Invoice'!O70)</f>
        <v/>
      </c>
      <c r="G71" s="7">
        <f>IF('Per Invoice'!$U70="","",'Per Invoice'!P70)</f>
        <v/>
      </c>
      <c r="H71" s="7">
        <f>IF('Per Invoice'!$U70="","",'Per Invoice'!L70)</f>
        <v/>
      </c>
      <c r="I71" s="7">
        <f>IF('Per Invoice'!$U70="","",'Per Invoice'!M70)</f>
        <v/>
      </c>
      <c r="K71" s="7">
        <f>IF('Per Invoice'!$U70="","",'Per Invoice'!S70)</f>
        <v/>
      </c>
      <c r="L71" s="7">
        <f>IF('Per Invoice'!$U70="","",'Per Invoice'!R70)</f>
        <v/>
      </c>
    </row>
    <row r="72">
      <c r="A72">
        <f>IF('Per Invoice'!$U71="","",ROWS($A$3:A72))</f>
        <v/>
      </c>
      <c r="B72" s="11">
        <f>IF('Per Invoice'!$U71="","",'Per Invoice'!I71)</f>
        <v/>
      </c>
      <c r="C72">
        <f>IF('Per Invoice'!$U71="","",'Per Invoice'!E71)</f>
        <v/>
      </c>
      <c r="D72">
        <f>IF('Per Invoice'!$U71="","",'Per Invoice'!D71)</f>
        <v/>
      </c>
      <c r="E72">
        <f>IF('Per Invoice'!$U71="","",'Per Invoice'!C71)</f>
        <v/>
      </c>
      <c r="F72" s="7">
        <f>IF('Per Invoice'!$U71="","",'Per Invoice'!O71)</f>
        <v/>
      </c>
      <c r="G72" s="7">
        <f>IF('Per Invoice'!$U71="","",'Per Invoice'!P71)</f>
        <v/>
      </c>
      <c r="H72" s="7">
        <f>IF('Per Invoice'!$U71="","",'Per Invoice'!L71)</f>
        <v/>
      </c>
      <c r="I72" s="7">
        <f>IF('Per Invoice'!$U71="","",'Per Invoice'!M71)</f>
        <v/>
      </c>
      <c r="K72" s="7">
        <f>IF('Per Invoice'!$U71="","",'Per Invoice'!S71)</f>
        <v/>
      </c>
      <c r="L72" s="7">
        <f>IF('Per Invoice'!$U71="","",'Per Invoice'!R71)</f>
        <v/>
      </c>
    </row>
    <row r="73">
      <c r="A73">
        <f>IF('Per Invoice'!$U72="","",ROWS($A$3:A73))</f>
        <v/>
      </c>
      <c r="B73" s="11">
        <f>IF('Per Invoice'!$U72="","",'Per Invoice'!I72)</f>
        <v/>
      </c>
      <c r="C73">
        <f>IF('Per Invoice'!$U72="","",'Per Invoice'!E72)</f>
        <v/>
      </c>
      <c r="D73">
        <f>IF('Per Invoice'!$U72="","",'Per Invoice'!D72)</f>
        <v/>
      </c>
      <c r="E73">
        <f>IF('Per Invoice'!$U72="","",'Per Invoice'!C72)</f>
        <v/>
      </c>
      <c r="F73" s="7">
        <f>IF('Per Invoice'!$U72="","",'Per Invoice'!O72)</f>
        <v/>
      </c>
      <c r="G73" s="7">
        <f>IF('Per Invoice'!$U72="","",'Per Invoice'!P72)</f>
        <v/>
      </c>
      <c r="H73" s="7">
        <f>IF('Per Invoice'!$U72="","",'Per Invoice'!L72)</f>
        <v/>
      </c>
      <c r="I73" s="7">
        <f>IF('Per Invoice'!$U72="","",'Per Invoice'!M72)</f>
        <v/>
      </c>
      <c r="K73" s="7">
        <f>IF('Per Invoice'!$U72="","",'Per Invoice'!S72)</f>
        <v/>
      </c>
      <c r="L73" s="7">
        <f>IF('Per Invoice'!$U72="","",'Per Invoice'!R72)</f>
        <v/>
      </c>
    </row>
    <row r="74">
      <c r="A74">
        <f>IF('Per Invoice'!$U73="","",ROWS($A$3:A74))</f>
        <v/>
      </c>
      <c r="B74" s="11">
        <f>IF('Per Invoice'!$U73="","",'Per Invoice'!I73)</f>
        <v/>
      </c>
      <c r="C74">
        <f>IF('Per Invoice'!$U73="","",'Per Invoice'!E73)</f>
        <v/>
      </c>
      <c r="D74">
        <f>IF('Per Invoice'!$U73="","",'Per Invoice'!D73)</f>
        <v/>
      </c>
      <c r="E74">
        <f>IF('Per Invoice'!$U73="","",'Per Invoice'!C73)</f>
        <v/>
      </c>
      <c r="F74" s="7">
        <f>IF('Per Invoice'!$U73="","",'Per Invoice'!O73)</f>
        <v/>
      </c>
      <c r="G74" s="7">
        <f>IF('Per Invoice'!$U73="","",'Per Invoice'!P73)</f>
        <v/>
      </c>
      <c r="H74" s="7">
        <f>IF('Per Invoice'!$U73="","",'Per Invoice'!L73)</f>
        <v/>
      </c>
      <c r="I74" s="7">
        <f>IF('Per Invoice'!$U73="","",'Per Invoice'!M73)</f>
        <v/>
      </c>
      <c r="K74" s="7">
        <f>IF('Per Invoice'!$U73="","",'Per Invoice'!S73)</f>
        <v/>
      </c>
      <c r="L74" s="7">
        <f>IF('Per Invoice'!$U73="","",'Per Invoice'!R73)</f>
        <v/>
      </c>
    </row>
    <row r="75">
      <c r="A75">
        <f>IF('Per Invoice'!$U74="","",ROWS($A$3:A75))</f>
        <v/>
      </c>
      <c r="B75" s="11">
        <f>IF('Per Invoice'!$U74="","",'Per Invoice'!I74)</f>
        <v/>
      </c>
      <c r="C75">
        <f>IF('Per Invoice'!$U74="","",'Per Invoice'!E74)</f>
        <v/>
      </c>
      <c r="D75">
        <f>IF('Per Invoice'!$U74="","",'Per Invoice'!D74)</f>
        <v/>
      </c>
      <c r="E75">
        <f>IF('Per Invoice'!$U74="","",'Per Invoice'!C74)</f>
        <v/>
      </c>
      <c r="F75" s="7">
        <f>IF('Per Invoice'!$U74="","",'Per Invoice'!O74)</f>
        <v/>
      </c>
      <c r="G75" s="7">
        <f>IF('Per Invoice'!$U74="","",'Per Invoice'!P74)</f>
        <v/>
      </c>
      <c r="H75" s="7">
        <f>IF('Per Invoice'!$U74="","",'Per Invoice'!L74)</f>
        <v/>
      </c>
      <c r="I75" s="7">
        <f>IF('Per Invoice'!$U74="","",'Per Invoice'!M74)</f>
        <v/>
      </c>
      <c r="K75" s="7">
        <f>IF('Per Invoice'!$U74="","",'Per Invoice'!S74)</f>
        <v/>
      </c>
      <c r="L75" s="7">
        <f>IF('Per Invoice'!$U74="","",'Per Invoice'!R74)</f>
        <v/>
      </c>
    </row>
    <row r="76">
      <c r="A76">
        <f>IF('Per Invoice'!$U75="","",ROWS($A$3:A76))</f>
        <v/>
      </c>
      <c r="B76" s="11">
        <f>IF('Per Invoice'!$U75="","",'Per Invoice'!I75)</f>
        <v/>
      </c>
      <c r="C76">
        <f>IF('Per Invoice'!$U75="","",'Per Invoice'!E75)</f>
        <v/>
      </c>
      <c r="D76">
        <f>IF('Per Invoice'!$U75="","",'Per Invoice'!D75)</f>
        <v/>
      </c>
      <c r="E76">
        <f>IF('Per Invoice'!$U75="","",'Per Invoice'!C75)</f>
        <v/>
      </c>
      <c r="F76" s="7">
        <f>IF('Per Invoice'!$U75="","",'Per Invoice'!O75)</f>
        <v/>
      </c>
      <c r="G76" s="7">
        <f>IF('Per Invoice'!$U75="","",'Per Invoice'!P75)</f>
        <v/>
      </c>
      <c r="H76" s="7">
        <f>IF('Per Invoice'!$U75="","",'Per Invoice'!L75)</f>
        <v/>
      </c>
      <c r="I76" s="7">
        <f>IF('Per Invoice'!$U75="","",'Per Invoice'!M75)</f>
        <v/>
      </c>
      <c r="K76" s="7">
        <f>IF('Per Invoice'!$U75="","",'Per Invoice'!S75)</f>
        <v/>
      </c>
      <c r="L76" s="7">
        <f>IF('Per Invoice'!$U75="","",'Per Invoice'!R75)</f>
        <v/>
      </c>
    </row>
    <row r="77">
      <c r="A77">
        <f>IF('Per Invoice'!$U76="","",ROWS($A$3:A77))</f>
        <v/>
      </c>
      <c r="B77" s="11">
        <f>IF('Per Invoice'!$U76="","",'Per Invoice'!I76)</f>
        <v/>
      </c>
      <c r="C77">
        <f>IF('Per Invoice'!$U76="","",'Per Invoice'!E76)</f>
        <v/>
      </c>
      <c r="D77">
        <f>IF('Per Invoice'!$U76="","",'Per Invoice'!D76)</f>
        <v/>
      </c>
      <c r="E77">
        <f>IF('Per Invoice'!$U76="","",'Per Invoice'!C76)</f>
        <v/>
      </c>
      <c r="F77" s="7">
        <f>IF('Per Invoice'!$U76="","",'Per Invoice'!O76)</f>
        <v/>
      </c>
      <c r="G77" s="7">
        <f>IF('Per Invoice'!$U76="","",'Per Invoice'!P76)</f>
        <v/>
      </c>
      <c r="H77" s="7">
        <f>IF('Per Invoice'!$U76="","",'Per Invoice'!L76)</f>
        <v/>
      </c>
      <c r="I77" s="7">
        <f>IF('Per Invoice'!$U76="","",'Per Invoice'!M76)</f>
        <v/>
      </c>
      <c r="K77" s="7">
        <f>IF('Per Invoice'!$U76="","",'Per Invoice'!S76)</f>
        <v/>
      </c>
      <c r="L77" s="7">
        <f>IF('Per Invoice'!$U76="","",'Per Invoice'!R76)</f>
        <v/>
      </c>
    </row>
    <row r="78">
      <c r="A78">
        <f>IF('Per Invoice'!$U77="","",ROWS($A$3:A78))</f>
        <v/>
      </c>
      <c r="B78" s="11">
        <f>IF('Per Invoice'!$U77="","",'Per Invoice'!I77)</f>
        <v/>
      </c>
      <c r="C78">
        <f>IF('Per Invoice'!$U77="","",'Per Invoice'!E77)</f>
        <v/>
      </c>
      <c r="D78">
        <f>IF('Per Invoice'!$U77="","",'Per Invoice'!D77)</f>
        <v/>
      </c>
      <c r="E78">
        <f>IF('Per Invoice'!$U77="","",'Per Invoice'!C77)</f>
        <v/>
      </c>
      <c r="F78" s="7">
        <f>IF('Per Invoice'!$U77="","",'Per Invoice'!O77)</f>
        <v/>
      </c>
      <c r="G78" s="7">
        <f>IF('Per Invoice'!$U77="","",'Per Invoice'!P77)</f>
        <v/>
      </c>
      <c r="H78" s="7">
        <f>IF('Per Invoice'!$U77="","",'Per Invoice'!L77)</f>
        <v/>
      </c>
      <c r="I78" s="7">
        <f>IF('Per Invoice'!$U77="","",'Per Invoice'!M77)</f>
        <v/>
      </c>
      <c r="K78" s="7">
        <f>IF('Per Invoice'!$U77="","",'Per Invoice'!S77)</f>
        <v/>
      </c>
      <c r="L78" s="7">
        <f>IF('Per Invoice'!$U77="","",'Per Invoice'!R77)</f>
        <v/>
      </c>
    </row>
    <row r="79">
      <c r="A79">
        <f>IF('Per Invoice'!$U78="","",ROWS($A$3:A79))</f>
        <v/>
      </c>
      <c r="B79" s="11">
        <f>IF('Per Invoice'!$U78="","",'Per Invoice'!I78)</f>
        <v/>
      </c>
      <c r="C79">
        <f>IF('Per Invoice'!$U78="","",'Per Invoice'!E78)</f>
        <v/>
      </c>
      <c r="D79">
        <f>IF('Per Invoice'!$U78="","",'Per Invoice'!D78)</f>
        <v/>
      </c>
      <c r="E79">
        <f>IF('Per Invoice'!$U78="","",'Per Invoice'!C78)</f>
        <v/>
      </c>
      <c r="F79" s="7">
        <f>IF('Per Invoice'!$U78="","",'Per Invoice'!O78)</f>
        <v/>
      </c>
      <c r="G79" s="7">
        <f>IF('Per Invoice'!$U78="","",'Per Invoice'!P78)</f>
        <v/>
      </c>
      <c r="H79" s="7">
        <f>IF('Per Invoice'!$U78="","",'Per Invoice'!L78)</f>
        <v/>
      </c>
      <c r="I79" s="7">
        <f>IF('Per Invoice'!$U78="","",'Per Invoice'!M78)</f>
        <v/>
      </c>
      <c r="K79" s="7">
        <f>IF('Per Invoice'!$U78="","",'Per Invoice'!S78)</f>
        <v/>
      </c>
      <c r="L79" s="7">
        <f>IF('Per Invoice'!$U78="","",'Per Invoice'!R78)</f>
        <v/>
      </c>
    </row>
    <row r="80">
      <c r="A80">
        <f>IF('Per Invoice'!$U79="","",ROWS($A$3:A80))</f>
        <v/>
      </c>
      <c r="B80" s="11">
        <f>IF('Per Invoice'!$U79="","",'Per Invoice'!I79)</f>
        <v/>
      </c>
      <c r="C80">
        <f>IF('Per Invoice'!$U79="","",'Per Invoice'!E79)</f>
        <v/>
      </c>
      <c r="D80">
        <f>IF('Per Invoice'!$U79="","",'Per Invoice'!D79)</f>
        <v/>
      </c>
      <c r="E80">
        <f>IF('Per Invoice'!$U79="","",'Per Invoice'!C79)</f>
        <v/>
      </c>
      <c r="F80" s="7">
        <f>IF('Per Invoice'!$U79="","",'Per Invoice'!O79)</f>
        <v/>
      </c>
      <c r="G80" s="7">
        <f>IF('Per Invoice'!$U79="","",'Per Invoice'!P79)</f>
        <v/>
      </c>
      <c r="H80" s="7">
        <f>IF('Per Invoice'!$U79="","",'Per Invoice'!L79)</f>
        <v/>
      </c>
      <c r="I80" s="7">
        <f>IF('Per Invoice'!$U79="","",'Per Invoice'!M79)</f>
        <v/>
      </c>
      <c r="K80" s="7">
        <f>IF('Per Invoice'!$U79="","",'Per Invoice'!S79)</f>
        <v/>
      </c>
      <c r="L80" s="7">
        <f>IF('Per Invoice'!$U79="","",'Per Invoice'!R79)</f>
        <v/>
      </c>
    </row>
    <row r="81">
      <c r="A81">
        <f>IF('Per Invoice'!$U80="","",ROWS($A$3:A81))</f>
        <v/>
      </c>
      <c r="B81" s="11">
        <f>IF('Per Invoice'!$U80="","",'Per Invoice'!I80)</f>
        <v/>
      </c>
      <c r="C81">
        <f>IF('Per Invoice'!$U80="","",'Per Invoice'!E80)</f>
        <v/>
      </c>
      <c r="D81">
        <f>IF('Per Invoice'!$U80="","",'Per Invoice'!D80)</f>
        <v/>
      </c>
      <c r="E81">
        <f>IF('Per Invoice'!$U80="","",'Per Invoice'!C80)</f>
        <v/>
      </c>
      <c r="F81" s="7">
        <f>IF('Per Invoice'!$U80="","",'Per Invoice'!O80)</f>
        <v/>
      </c>
      <c r="G81" s="7">
        <f>IF('Per Invoice'!$U80="","",'Per Invoice'!P80)</f>
        <v/>
      </c>
      <c r="H81" s="7">
        <f>IF('Per Invoice'!$U80="","",'Per Invoice'!L80)</f>
        <v/>
      </c>
      <c r="I81" s="7">
        <f>IF('Per Invoice'!$U80="","",'Per Invoice'!M80)</f>
        <v/>
      </c>
      <c r="K81" s="7">
        <f>IF('Per Invoice'!$U80="","",'Per Invoice'!S80)</f>
        <v/>
      </c>
      <c r="L81" s="7">
        <f>IF('Per Invoice'!$U80="","",'Per Invoice'!R80)</f>
        <v/>
      </c>
    </row>
    <row r="82">
      <c r="A82">
        <f>IF('Per Invoice'!$U81="","",ROWS($A$3:A82))</f>
        <v/>
      </c>
      <c r="B82" s="11">
        <f>IF('Per Invoice'!$U81="","",'Per Invoice'!I81)</f>
        <v/>
      </c>
      <c r="C82">
        <f>IF('Per Invoice'!$U81="","",'Per Invoice'!E81)</f>
        <v/>
      </c>
      <c r="D82">
        <f>IF('Per Invoice'!$U81="","",'Per Invoice'!D81)</f>
        <v/>
      </c>
      <c r="E82">
        <f>IF('Per Invoice'!$U81="","",'Per Invoice'!C81)</f>
        <v/>
      </c>
      <c r="F82" s="7">
        <f>IF('Per Invoice'!$U81="","",'Per Invoice'!O81)</f>
        <v/>
      </c>
      <c r="G82" s="7">
        <f>IF('Per Invoice'!$U81="","",'Per Invoice'!P81)</f>
        <v/>
      </c>
      <c r="H82" s="7">
        <f>IF('Per Invoice'!$U81="","",'Per Invoice'!L81)</f>
        <v/>
      </c>
      <c r="I82" s="7">
        <f>IF('Per Invoice'!$U81="","",'Per Invoice'!M81)</f>
        <v/>
      </c>
      <c r="K82" s="7">
        <f>IF('Per Invoice'!$U81="","",'Per Invoice'!S81)</f>
        <v/>
      </c>
      <c r="L82" s="7">
        <f>IF('Per Invoice'!$U81="","",'Per Invoice'!R81)</f>
        <v/>
      </c>
    </row>
    <row r="83">
      <c r="A83">
        <f>IF('Per Invoice'!$U82="","",ROWS($A$3:A83))</f>
        <v/>
      </c>
      <c r="B83" s="11">
        <f>IF('Per Invoice'!$U82="","",'Per Invoice'!I82)</f>
        <v/>
      </c>
      <c r="C83">
        <f>IF('Per Invoice'!$U82="","",'Per Invoice'!E82)</f>
        <v/>
      </c>
      <c r="D83">
        <f>IF('Per Invoice'!$U82="","",'Per Invoice'!D82)</f>
        <v/>
      </c>
      <c r="E83">
        <f>IF('Per Invoice'!$U82="","",'Per Invoice'!C82)</f>
        <v/>
      </c>
      <c r="F83" s="7">
        <f>IF('Per Invoice'!$U82="","",'Per Invoice'!O82)</f>
        <v/>
      </c>
      <c r="G83" s="7">
        <f>IF('Per Invoice'!$U82="","",'Per Invoice'!P82)</f>
        <v/>
      </c>
      <c r="H83" s="7">
        <f>IF('Per Invoice'!$U82="","",'Per Invoice'!L82)</f>
        <v/>
      </c>
      <c r="I83" s="7">
        <f>IF('Per Invoice'!$U82="","",'Per Invoice'!M82)</f>
        <v/>
      </c>
      <c r="K83" s="7">
        <f>IF('Per Invoice'!$U82="","",'Per Invoice'!S82)</f>
        <v/>
      </c>
      <c r="L83" s="7">
        <f>IF('Per Invoice'!$U82="","",'Per Invoice'!R82)</f>
        <v/>
      </c>
    </row>
    <row r="84">
      <c r="A84">
        <f>IF('Per Invoice'!$U83="","",ROWS($A$3:A84))</f>
        <v/>
      </c>
      <c r="B84" s="11">
        <f>IF('Per Invoice'!$U83="","",'Per Invoice'!I83)</f>
        <v/>
      </c>
      <c r="C84">
        <f>IF('Per Invoice'!$U83="","",'Per Invoice'!E83)</f>
        <v/>
      </c>
      <c r="D84">
        <f>IF('Per Invoice'!$U83="","",'Per Invoice'!D83)</f>
        <v/>
      </c>
      <c r="E84">
        <f>IF('Per Invoice'!$U83="","",'Per Invoice'!C83)</f>
        <v/>
      </c>
      <c r="F84" s="7">
        <f>IF('Per Invoice'!$U83="","",'Per Invoice'!O83)</f>
        <v/>
      </c>
      <c r="G84" s="7">
        <f>IF('Per Invoice'!$U83="","",'Per Invoice'!P83)</f>
        <v/>
      </c>
      <c r="H84" s="7">
        <f>IF('Per Invoice'!$U83="","",'Per Invoice'!L83)</f>
        <v/>
      </c>
      <c r="I84" s="7">
        <f>IF('Per Invoice'!$U83="","",'Per Invoice'!M83)</f>
        <v/>
      </c>
      <c r="K84" s="7">
        <f>IF('Per Invoice'!$U83="","",'Per Invoice'!S83)</f>
        <v/>
      </c>
      <c r="L84" s="7">
        <f>IF('Per Invoice'!$U83="","",'Per Invoice'!R83)</f>
        <v/>
      </c>
    </row>
    <row r="85">
      <c r="A85">
        <f>IF('Per Invoice'!$U84="","",ROWS($A$3:A85))</f>
        <v/>
      </c>
      <c r="B85" s="11">
        <f>IF('Per Invoice'!$U84="","",'Per Invoice'!I84)</f>
        <v/>
      </c>
      <c r="C85">
        <f>IF('Per Invoice'!$U84="","",'Per Invoice'!E84)</f>
        <v/>
      </c>
      <c r="D85">
        <f>IF('Per Invoice'!$U84="","",'Per Invoice'!D84)</f>
        <v/>
      </c>
      <c r="E85">
        <f>IF('Per Invoice'!$U84="","",'Per Invoice'!C84)</f>
        <v/>
      </c>
      <c r="F85" s="7">
        <f>IF('Per Invoice'!$U84="","",'Per Invoice'!O84)</f>
        <v/>
      </c>
      <c r="G85" s="7">
        <f>IF('Per Invoice'!$U84="","",'Per Invoice'!P84)</f>
        <v/>
      </c>
      <c r="H85" s="7">
        <f>IF('Per Invoice'!$U84="","",'Per Invoice'!L84)</f>
        <v/>
      </c>
      <c r="I85" s="7">
        <f>IF('Per Invoice'!$U84="","",'Per Invoice'!M84)</f>
        <v/>
      </c>
      <c r="K85" s="7">
        <f>IF('Per Invoice'!$U84="","",'Per Invoice'!S84)</f>
        <v/>
      </c>
      <c r="L85" s="7">
        <f>IF('Per Invoice'!$U84="","",'Per Invoice'!R84)</f>
        <v/>
      </c>
    </row>
    <row r="86">
      <c r="A86">
        <f>IF('Per Invoice'!$U85="","",ROWS($A$3:A86))</f>
        <v/>
      </c>
      <c r="B86" s="11">
        <f>IF('Per Invoice'!$U85="","",'Per Invoice'!I85)</f>
        <v/>
      </c>
      <c r="C86">
        <f>IF('Per Invoice'!$U85="","",'Per Invoice'!E85)</f>
        <v/>
      </c>
      <c r="D86">
        <f>IF('Per Invoice'!$U85="","",'Per Invoice'!D85)</f>
        <v/>
      </c>
      <c r="E86">
        <f>IF('Per Invoice'!$U85="","",'Per Invoice'!C85)</f>
        <v/>
      </c>
      <c r="F86" s="7">
        <f>IF('Per Invoice'!$U85="","",'Per Invoice'!O85)</f>
        <v/>
      </c>
      <c r="G86" s="7">
        <f>IF('Per Invoice'!$U85="","",'Per Invoice'!P85)</f>
        <v/>
      </c>
      <c r="H86" s="7">
        <f>IF('Per Invoice'!$U85="","",'Per Invoice'!L85)</f>
        <v/>
      </c>
      <c r="I86" s="7">
        <f>IF('Per Invoice'!$U85="","",'Per Invoice'!M85)</f>
        <v/>
      </c>
      <c r="K86" s="7">
        <f>IF('Per Invoice'!$U85="","",'Per Invoice'!S85)</f>
        <v/>
      </c>
      <c r="L86" s="7">
        <f>IF('Per Invoice'!$U85="","",'Per Invoice'!R85)</f>
        <v/>
      </c>
    </row>
    <row r="87">
      <c r="A87">
        <f>IF('Per Invoice'!$U86="","",ROWS($A$3:A87))</f>
        <v/>
      </c>
      <c r="B87" s="11">
        <f>IF('Per Invoice'!$U86="","",'Per Invoice'!I86)</f>
        <v/>
      </c>
      <c r="C87">
        <f>IF('Per Invoice'!$U86="","",'Per Invoice'!E86)</f>
        <v/>
      </c>
      <c r="D87">
        <f>IF('Per Invoice'!$U86="","",'Per Invoice'!D86)</f>
        <v/>
      </c>
      <c r="E87">
        <f>IF('Per Invoice'!$U86="","",'Per Invoice'!C86)</f>
        <v/>
      </c>
      <c r="F87" s="7">
        <f>IF('Per Invoice'!$U86="","",'Per Invoice'!O86)</f>
        <v/>
      </c>
      <c r="G87" s="7">
        <f>IF('Per Invoice'!$U86="","",'Per Invoice'!P86)</f>
        <v/>
      </c>
      <c r="H87" s="7">
        <f>IF('Per Invoice'!$U86="","",'Per Invoice'!L86)</f>
        <v/>
      </c>
      <c r="I87" s="7">
        <f>IF('Per Invoice'!$U86="","",'Per Invoice'!M86)</f>
        <v/>
      </c>
      <c r="K87" s="7">
        <f>IF('Per Invoice'!$U86="","",'Per Invoice'!S86)</f>
        <v/>
      </c>
      <c r="L87" s="7">
        <f>IF('Per Invoice'!$U86="","",'Per Invoice'!R86)</f>
        <v/>
      </c>
    </row>
    <row r="88">
      <c r="A88">
        <f>IF('Per Invoice'!$U87="","",ROWS($A$3:A88))</f>
        <v/>
      </c>
      <c r="B88" s="11">
        <f>IF('Per Invoice'!$U87="","",'Per Invoice'!I87)</f>
        <v/>
      </c>
      <c r="C88">
        <f>IF('Per Invoice'!$U87="","",'Per Invoice'!E87)</f>
        <v/>
      </c>
      <c r="D88">
        <f>IF('Per Invoice'!$U87="","",'Per Invoice'!D87)</f>
        <v/>
      </c>
      <c r="E88">
        <f>IF('Per Invoice'!$U87="","",'Per Invoice'!C87)</f>
        <v/>
      </c>
      <c r="F88" s="7">
        <f>IF('Per Invoice'!$U87="","",'Per Invoice'!O87)</f>
        <v/>
      </c>
      <c r="G88" s="7">
        <f>IF('Per Invoice'!$U87="","",'Per Invoice'!P87)</f>
        <v/>
      </c>
      <c r="H88" s="7">
        <f>IF('Per Invoice'!$U87="","",'Per Invoice'!L87)</f>
        <v/>
      </c>
      <c r="I88" s="7">
        <f>IF('Per Invoice'!$U87="","",'Per Invoice'!M87)</f>
        <v/>
      </c>
      <c r="K88" s="7">
        <f>IF('Per Invoice'!$U87="","",'Per Invoice'!S87)</f>
        <v/>
      </c>
      <c r="L88" s="7">
        <f>IF('Per Invoice'!$U87="","",'Per Invoice'!R87)</f>
        <v/>
      </c>
    </row>
    <row r="89">
      <c r="A89">
        <f>IF('Per Invoice'!$U88="","",ROWS($A$3:A89))</f>
        <v/>
      </c>
      <c r="B89" s="11">
        <f>IF('Per Invoice'!$U88="","",'Per Invoice'!I88)</f>
        <v/>
      </c>
      <c r="C89">
        <f>IF('Per Invoice'!$U88="","",'Per Invoice'!E88)</f>
        <v/>
      </c>
      <c r="D89">
        <f>IF('Per Invoice'!$U88="","",'Per Invoice'!D88)</f>
        <v/>
      </c>
      <c r="E89">
        <f>IF('Per Invoice'!$U88="","",'Per Invoice'!C88)</f>
        <v/>
      </c>
      <c r="F89" s="7">
        <f>IF('Per Invoice'!$U88="","",'Per Invoice'!O88)</f>
        <v/>
      </c>
      <c r="G89" s="7">
        <f>IF('Per Invoice'!$U88="","",'Per Invoice'!P88)</f>
        <v/>
      </c>
      <c r="H89" s="7">
        <f>IF('Per Invoice'!$U88="","",'Per Invoice'!L88)</f>
        <v/>
      </c>
      <c r="I89" s="7">
        <f>IF('Per Invoice'!$U88="","",'Per Invoice'!M88)</f>
        <v/>
      </c>
      <c r="K89" s="7">
        <f>IF('Per Invoice'!$U88="","",'Per Invoice'!S88)</f>
        <v/>
      </c>
      <c r="L89" s="7">
        <f>IF('Per Invoice'!$U88="","",'Per Invoice'!R88)</f>
        <v/>
      </c>
    </row>
    <row r="90">
      <c r="A90">
        <f>IF('Per Invoice'!$U89="","",ROWS($A$3:A90))</f>
        <v/>
      </c>
      <c r="B90" s="11">
        <f>IF('Per Invoice'!$U89="","",'Per Invoice'!I89)</f>
        <v/>
      </c>
      <c r="C90">
        <f>IF('Per Invoice'!$U89="","",'Per Invoice'!E89)</f>
        <v/>
      </c>
      <c r="D90">
        <f>IF('Per Invoice'!$U89="","",'Per Invoice'!D89)</f>
        <v/>
      </c>
      <c r="E90">
        <f>IF('Per Invoice'!$U89="","",'Per Invoice'!C89)</f>
        <v/>
      </c>
      <c r="F90" s="7">
        <f>IF('Per Invoice'!$U89="","",'Per Invoice'!O89)</f>
        <v/>
      </c>
      <c r="G90" s="7">
        <f>IF('Per Invoice'!$U89="","",'Per Invoice'!P89)</f>
        <v/>
      </c>
      <c r="H90" s="7">
        <f>IF('Per Invoice'!$U89="","",'Per Invoice'!L89)</f>
        <v/>
      </c>
      <c r="I90" s="7">
        <f>IF('Per Invoice'!$U89="","",'Per Invoice'!M89)</f>
        <v/>
      </c>
      <c r="K90" s="7">
        <f>IF('Per Invoice'!$U89="","",'Per Invoice'!S89)</f>
        <v/>
      </c>
      <c r="L90" s="7">
        <f>IF('Per Invoice'!$U89="","",'Per Invoice'!R89)</f>
        <v/>
      </c>
    </row>
    <row r="91">
      <c r="A91">
        <f>IF('Per Invoice'!$U90="","",ROWS($A$3:A91))</f>
        <v/>
      </c>
      <c r="B91" s="11">
        <f>IF('Per Invoice'!$U90="","",'Per Invoice'!I90)</f>
        <v/>
      </c>
      <c r="C91">
        <f>IF('Per Invoice'!$U90="","",'Per Invoice'!E90)</f>
        <v/>
      </c>
      <c r="D91">
        <f>IF('Per Invoice'!$U90="","",'Per Invoice'!D90)</f>
        <v/>
      </c>
      <c r="E91">
        <f>IF('Per Invoice'!$U90="","",'Per Invoice'!C90)</f>
        <v/>
      </c>
      <c r="F91" s="7">
        <f>IF('Per Invoice'!$U90="","",'Per Invoice'!O90)</f>
        <v/>
      </c>
      <c r="G91" s="7">
        <f>IF('Per Invoice'!$U90="","",'Per Invoice'!P90)</f>
        <v/>
      </c>
      <c r="H91" s="7">
        <f>IF('Per Invoice'!$U90="","",'Per Invoice'!L90)</f>
        <v/>
      </c>
      <c r="I91" s="7">
        <f>IF('Per Invoice'!$U90="","",'Per Invoice'!M90)</f>
        <v/>
      </c>
      <c r="K91" s="7">
        <f>IF('Per Invoice'!$U90="","",'Per Invoice'!S90)</f>
        <v/>
      </c>
      <c r="L91" s="7">
        <f>IF('Per Invoice'!$U90="","",'Per Invoice'!R90)</f>
        <v/>
      </c>
    </row>
    <row r="92">
      <c r="A92">
        <f>IF('Per Invoice'!$U91="","",ROWS($A$3:A92))</f>
        <v/>
      </c>
      <c r="B92" s="11">
        <f>IF('Per Invoice'!$U91="","",'Per Invoice'!I91)</f>
        <v/>
      </c>
      <c r="C92">
        <f>IF('Per Invoice'!$U91="","",'Per Invoice'!E91)</f>
        <v/>
      </c>
      <c r="D92">
        <f>IF('Per Invoice'!$U91="","",'Per Invoice'!D91)</f>
        <v/>
      </c>
      <c r="E92">
        <f>IF('Per Invoice'!$U91="","",'Per Invoice'!C91)</f>
        <v/>
      </c>
      <c r="F92" s="7">
        <f>IF('Per Invoice'!$U91="","",'Per Invoice'!O91)</f>
        <v/>
      </c>
      <c r="G92" s="7">
        <f>IF('Per Invoice'!$U91="","",'Per Invoice'!P91)</f>
        <v/>
      </c>
      <c r="H92" s="7">
        <f>IF('Per Invoice'!$U91="","",'Per Invoice'!L91)</f>
        <v/>
      </c>
      <c r="I92" s="7">
        <f>IF('Per Invoice'!$U91="","",'Per Invoice'!M91)</f>
        <v/>
      </c>
      <c r="K92" s="7">
        <f>IF('Per Invoice'!$U91="","",'Per Invoice'!S91)</f>
        <v/>
      </c>
      <c r="L92" s="7">
        <f>IF('Per Invoice'!$U91="","",'Per Invoice'!R91)</f>
        <v/>
      </c>
    </row>
    <row r="93">
      <c r="A93">
        <f>IF('Per Invoice'!$U92="","",ROWS($A$3:A93))</f>
        <v/>
      </c>
      <c r="B93" s="11">
        <f>IF('Per Invoice'!$U92="","",'Per Invoice'!I92)</f>
        <v/>
      </c>
      <c r="C93">
        <f>IF('Per Invoice'!$U92="","",'Per Invoice'!E92)</f>
        <v/>
      </c>
      <c r="D93">
        <f>IF('Per Invoice'!$U92="","",'Per Invoice'!D92)</f>
        <v/>
      </c>
      <c r="E93">
        <f>IF('Per Invoice'!$U92="","",'Per Invoice'!C92)</f>
        <v/>
      </c>
      <c r="F93" s="7">
        <f>IF('Per Invoice'!$U92="","",'Per Invoice'!O92)</f>
        <v/>
      </c>
      <c r="G93" s="7">
        <f>IF('Per Invoice'!$U92="","",'Per Invoice'!P92)</f>
        <v/>
      </c>
      <c r="H93" s="7">
        <f>IF('Per Invoice'!$U92="","",'Per Invoice'!L92)</f>
        <v/>
      </c>
      <c r="I93" s="7">
        <f>IF('Per Invoice'!$U92="","",'Per Invoice'!M92)</f>
        <v/>
      </c>
      <c r="K93" s="7">
        <f>IF('Per Invoice'!$U92="","",'Per Invoice'!S92)</f>
        <v/>
      </c>
      <c r="L93" s="7">
        <f>IF('Per Invoice'!$U92="","",'Per Invoice'!R92)</f>
        <v/>
      </c>
    </row>
    <row r="94">
      <c r="A94">
        <f>IF('Per Invoice'!$U93="","",ROWS($A$3:A94))</f>
        <v/>
      </c>
      <c r="B94" s="11">
        <f>IF('Per Invoice'!$U93="","",'Per Invoice'!I93)</f>
        <v/>
      </c>
      <c r="C94">
        <f>IF('Per Invoice'!$U93="","",'Per Invoice'!E93)</f>
        <v/>
      </c>
      <c r="D94">
        <f>IF('Per Invoice'!$U93="","",'Per Invoice'!D93)</f>
        <v/>
      </c>
      <c r="E94">
        <f>IF('Per Invoice'!$U93="","",'Per Invoice'!C93)</f>
        <v/>
      </c>
      <c r="F94" s="7">
        <f>IF('Per Invoice'!$U93="","",'Per Invoice'!O93)</f>
        <v/>
      </c>
      <c r="G94" s="7">
        <f>IF('Per Invoice'!$U93="","",'Per Invoice'!P93)</f>
        <v/>
      </c>
      <c r="H94" s="7">
        <f>IF('Per Invoice'!$U93="","",'Per Invoice'!L93)</f>
        <v/>
      </c>
      <c r="I94" s="7">
        <f>IF('Per Invoice'!$U93="","",'Per Invoice'!M93)</f>
        <v/>
      </c>
      <c r="K94" s="7">
        <f>IF('Per Invoice'!$U93="","",'Per Invoice'!S93)</f>
        <v/>
      </c>
      <c r="L94" s="7">
        <f>IF('Per Invoice'!$U93="","",'Per Invoice'!R93)</f>
        <v/>
      </c>
    </row>
    <row r="95">
      <c r="A95">
        <f>IF('Per Invoice'!$U94="","",ROWS($A$3:A95))</f>
        <v/>
      </c>
      <c r="B95" s="11">
        <f>IF('Per Invoice'!$U94="","",'Per Invoice'!I94)</f>
        <v/>
      </c>
      <c r="C95">
        <f>IF('Per Invoice'!$U94="","",'Per Invoice'!E94)</f>
        <v/>
      </c>
      <c r="D95">
        <f>IF('Per Invoice'!$U94="","",'Per Invoice'!D94)</f>
        <v/>
      </c>
      <c r="E95">
        <f>IF('Per Invoice'!$U94="","",'Per Invoice'!C94)</f>
        <v/>
      </c>
      <c r="F95" s="7">
        <f>IF('Per Invoice'!$U94="","",'Per Invoice'!O94)</f>
        <v/>
      </c>
      <c r="G95" s="7">
        <f>IF('Per Invoice'!$U94="","",'Per Invoice'!P94)</f>
        <v/>
      </c>
      <c r="H95" s="7">
        <f>IF('Per Invoice'!$U94="","",'Per Invoice'!L94)</f>
        <v/>
      </c>
      <c r="I95" s="7">
        <f>IF('Per Invoice'!$U94="","",'Per Invoice'!M94)</f>
        <v/>
      </c>
      <c r="K95" s="7">
        <f>IF('Per Invoice'!$U94="","",'Per Invoice'!S94)</f>
        <v/>
      </c>
      <c r="L95" s="7">
        <f>IF('Per Invoice'!$U94="","",'Per Invoice'!R94)</f>
        <v/>
      </c>
    </row>
    <row r="96">
      <c r="A96">
        <f>IF('Per Invoice'!$U95="","",ROWS($A$3:A96))</f>
        <v/>
      </c>
      <c r="B96" s="11">
        <f>IF('Per Invoice'!$U95="","",'Per Invoice'!I95)</f>
        <v/>
      </c>
      <c r="C96">
        <f>IF('Per Invoice'!$U95="","",'Per Invoice'!E95)</f>
        <v/>
      </c>
      <c r="D96">
        <f>IF('Per Invoice'!$U95="","",'Per Invoice'!D95)</f>
        <v/>
      </c>
      <c r="E96">
        <f>IF('Per Invoice'!$U95="","",'Per Invoice'!C95)</f>
        <v/>
      </c>
      <c r="F96" s="7">
        <f>IF('Per Invoice'!$U95="","",'Per Invoice'!O95)</f>
        <v/>
      </c>
      <c r="G96" s="7">
        <f>IF('Per Invoice'!$U95="","",'Per Invoice'!P95)</f>
        <v/>
      </c>
      <c r="H96" s="7">
        <f>IF('Per Invoice'!$U95="","",'Per Invoice'!L95)</f>
        <v/>
      </c>
      <c r="I96" s="7">
        <f>IF('Per Invoice'!$U95="","",'Per Invoice'!M95)</f>
        <v/>
      </c>
      <c r="K96" s="7">
        <f>IF('Per Invoice'!$U95="","",'Per Invoice'!S95)</f>
        <v/>
      </c>
      <c r="L96" s="7">
        <f>IF('Per Invoice'!$U95="","",'Per Invoice'!R95)</f>
        <v/>
      </c>
    </row>
    <row r="97">
      <c r="A97">
        <f>IF('Per Invoice'!$U96="","",ROWS($A$3:A97))</f>
        <v/>
      </c>
      <c r="B97" s="11">
        <f>IF('Per Invoice'!$U96="","",'Per Invoice'!I96)</f>
        <v/>
      </c>
      <c r="C97">
        <f>IF('Per Invoice'!$U96="","",'Per Invoice'!E96)</f>
        <v/>
      </c>
      <c r="D97">
        <f>IF('Per Invoice'!$U96="","",'Per Invoice'!D96)</f>
        <v/>
      </c>
      <c r="E97">
        <f>IF('Per Invoice'!$U96="","",'Per Invoice'!C96)</f>
        <v/>
      </c>
      <c r="F97" s="7">
        <f>IF('Per Invoice'!$U96="","",'Per Invoice'!O96)</f>
        <v/>
      </c>
      <c r="G97" s="7">
        <f>IF('Per Invoice'!$U96="","",'Per Invoice'!P96)</f>
        <v/>
      </c>
      <c r="H97" s="7">
        <f>IF('Per Invoice'!$U96="","",'Per Invoice'!L96)</f>
        <v/>
      </c>
      <c r="I97" s="7">
        <f>IF('Per Invoice'!$U96="","",'Per Invoice'!M96)</f>
        <v/>
      </c>
      <c r="K97" s="7">
        <f>IF('Per Invoice'!$U96="","",'Per Invoice'!S96)</f>
        <v/>
      </c>
      <c r="L97" s="7">
        <f>IF('Per Invoice'!$U96="","",'Per Invoice'!R96)</f>
        <v/>
      </c>
    </row>
    <row r="98">
      <c r="A98">
        <f>IF('Per Invoice'!$U97="","",ROWS($A$3:A98))</f>
        <v/>
      </c>
      <c r="B98" s="11">
        <f>IF('Per Invoice'!$U97="","",'Per Invoice'!I97)</f>
        <v/>
      </c>
      <c r="C98">
        <f>IF('Per Invoice'!$U97="","",'Per Invoice'!E97)</f>
        <v/>
      </c>
      <c r="D98">
        <f>IF('Per Invoice'!$U97="","",'Per Invoice'!D97)</f>
        <v/>
      </c>
      <c r="E98">
        <f>IF('Per Invoice'!$U97="","",'Per Invoice'!C97)</f>
        <v/>
      </c>
      <c r="F98" s="7">
        <f>IF('Per Invoice'!$U97="","",'Per Invoice'!O97)</f>
        <v/>
      </c>
      <c r="G98" s="7">
        <f>IF('Per Invoice'!$U97="","",'Per Invoice'!P97)</f>
        <v/>
      </c>
      <c r="H98" s="7">
        <f>IF('Per Invoice'!$U97="","",'Per Invoice'!L97)</f>
        <v/>
      </c>
      <c r="I98" s="7">
        <f>IF('Per Invoice'!$U97="","",'Per Invoice'!M97)</f>
        <v/>
      </c>
      <c r="K98" s="7">
        <f>IF('Per Invoice'!$U97="","",'Per Invoice'!S97)</f>
        <v/>
      </c>
      <c r="L98" s="7">
        <f>IF('Per Invoice'!$U97="","",'Per Invoice'!R97)</f>
        <v/>
      </c>
    </row>
    <row r="99">
      <c r="A99">
        <f>IF('Per Invoice'!$U98="","",ROWS($A$3:A99))</f>
        <v/>
      </c>
      <c r="B99" s="11">
        <f>IF('Per Invoice'!$U98="","",'Per Invoice'!I98)</f>
        <v/>
      </c>
      <c r="C99">
        <f>IF('Per Invoice'!$U98="","",'Per Invoice'!E98)</f>
        <v/>
      </c>
      <c r="D99">
        <f>IF('Per Invoice'!$U98="","",'Per Invoice'!D98)</f>
        <v/>
      </c>
      <c r="E99">
        <f>IF('Per Invoice'!$U98="","",'Per Invoice'!C98)</f>
        <v/>
      </c>
      <c r="F99" s="7">
        <f>IF('Per Invoice'!$U98="","",'Per Invoice'!O98)</f>
        <v/>
      </c>
      <c r="G99" s="7">
        <f>IF('Per Invoice'!$U98="","",'Per Invoice'!P98)</f>
        <v/>
      </c>
      <c r="H99" s="7">
        <f>IF('Per Invoice'!$U98="","",'Per Invoice'!L98)</f>
        <v/>
      </c>
      <c r="I99" s="7">
        <f>IF('Per Invoice'!$U98="","",'Per Invoice'!M98)</f>
        <v/>
      </c>
      <c r="K99" s="7">
        <f>IF('Per Invoice'!$U98="","",'Per Invoice'!S98)</f>
        <v/>
      </c>
      <c r="L99" s="7">
        <f>IF('Per Invoice'!$U98="","",'Per Invoice'!R98)</f>
        <v/>
      </c>
    </row>
    <row r="100">
      <c r="A100">
        <f>IF('Per Invoice'!$U99="","",ROWS($A$3:A100))</f>
        <v/>
      </c>
      <c r="B100" s="11">
        <f>IF('Per Invoice'!$U99="","",'Per Invoice'!I99)</f>
        <v/>
      </c>
      <c r="C100">
        <f>IF('Per Invoice'!$U99="","",'Per Invoice'!E99)</f>
        <v/>
      </c>
      <c r="D100">
        <f>IF('Per Invoice'!$U99="","",'Per Invoice'!D99)</f>
        <v/>
      </c>
      <c r="E100">
        <f>IF('Per Invoice'!$U99="","",'Per Invoice'!C99)</f>
        <v/>
      </c>
      <c r="F100" s="7">
        <f>IF('Per Invoice'!$U99="","",'Per Invoice'!O99)</f>
        <v/>
      </c>
      <c r="G100" s="7">
        <f>IF('Per Invoice'!$U99="","",'Per Invoice'!P99)</f>
        <v/>
      </c>
      <c r="H100" s="7">
        <f>IF('Per Invoice'!$U99="","",'Per Invoice'!L99)</f>
        <v/>
      </c>
      <c r="I100" s="7">
        <f>IF('Per Invoice'!$U99="","",'Per Invoice'!M99)</f>
        <v/>
      </c>
      <c r="K100" s="7">
        <f>IF('Per Invoice'!$U99="","",'Per Invoice'!S99)</f>
        <v/>
      </c>
      <c r="L100" s="7">
        <f>IF('Per Invoice'!$U99="","",'Per Invoice'!R99)</f>
        <v/>
      </c>
    </row>
    <row r="101">
      <c r="A101">
        <f>IF('Per Invoice'!$U100="","",ROWS($A$3:A101))</f>
        <v/>
      </c>
      <c r="B101" s="11">
        <f>IF('Per Invoice'!$U100="","",'Per Invoice'!I100)</f>
        <v/>
      </c>
      <c r="C101">
        <f>IF('Per Invoice'!$U100="","",'Per Invoice'!E100)</f>
        <v/>
      </c>
      <c r="D101">
        <f>IF('Per Invoice'!$U100="","",'Per Invoice'!D100)</f>
        <v/>
      </c>
      <c r="E101">
        <f>IF('Per Invoice'!$U100="","",'Per Invoice'!C100)</f>
        <v/>
      </c>
      <c r="F101" s="7">
        <f>IF('Per Invoice'!$U100="","",'Per Invoice'!O100)</f>
        <v/>
      </c>
      <c r="G101" s="7">
        <f>IF('Per Invoice'!$U100="","",'Per Invoice'!P100)</f>
        <v/>
      </c>
      <c r="H101" s="7">
        <f>IF('Per Invoice'!$U100="","",'Per Invoice'!L100)</f>
        <v/>
      </c>
      <c r="I101" s="7">
        <f>IF('Per Invoice'!$U100="","",'Per Invoice'!M100)</f>
        <v/>
      </c>
      <c r="K101" s="7">
        <f>IF('Per Invoice'!$U100="","",'Per Invoice'!S100)</f>
        <v/>
      </c>
      <c r="L101" s="7">
        <f>IF('Per Invoice'!$U100="","",'Per Invoice'!R100)</f>
        <v/>
      </c>
    </row>
    <row r="102">
      <c r="A102">
        <f>IF('Per Invoice'!$U101="","",ROWS($A$3:A102))</f>
        <v/>
      </c>
      <c r="B102" s="11">
        <f>IF('Per Invoice'!$U101="","",'Per Invoice'!I101)</f>
        <v/>
      </c>
      <c r="C102">
        <f>IF('Per Invoice'!$U101="","",'Per Invoice'!E101)</f>
        <v/>
      </c>
      <c r="D102">
        <f>IF('Per Invoice'!$U101="","",'Per Invoice'!D101)</f>
        <v/>
      </c>
      <c r="E102">
        <f>IF('Per Invoice'!$U101="","",'Per Invoice'!C101)</f>
        <v/>
      </c>
      <c r="F102" s="7">
        <f>IF('Per Invoice'!$U101="","",'Per Invoice'!O101)</f>
        <v/>
      </c>
      <c r="G102" s="7">
        <f>IF('Per Invoice'!$U101="","",'Per Invoice'!P101)</f>
        <v/>
      </c>
      <c r="H102" s="7">
        <f>IF('Per Invoice'!$U101="","",'Per Invoice'!L101)</f>
        <v/>
      </c>
      <c r="I102" s="7">
        <f>IF('Per Invoice'!$U101="","",'Per Invoice'!M101)</f>
        <v/>
      </c>
      <c r="K102" s="7">
        <f>IF('Per Invoice'!$U101="","",'Per Invoice'!S101)</f>
        <v/>
      </c>
      <c r="L102" s="7">
        <f>IF('Per Invoice'!$U101="","",'Per Invoice'!R101)</f>
        <v/>
      </c>
    </row>
    <row r="103">
      <c r="A103">
        <f>IF('Per Invoice'!$U102="","",ROWS($A$3:A103))</f>
        <v/>
      </c>
      <c r="B103" s="11">
        <f>IF('Per Invoice'!$U102="","",'Per Invoice'!I102)</f>
        <v/>
      </c>
      <c r="C103">
        <f>IF('Per Invoice'!$U102="","",'Per Invoice'!E102)</f>
        <v/>
      </c>
      <c r="D103">
        <f>IF('Per Invoice'!$U102="","",'Per Invoice'!D102)</f>
        <v/>
      </c>
      <c r="E103">
        <f>IF('Per Invoice'!$U102="","",'Per Invoice'!C102)</f>
        <v/>
      </c>
      <c r="F103" s="7">
        <f>IF('Per Invoice'!$U102="","",'Per Invoice'!O102)</f>
        <v/>
      </c>
      <c r="G103" s="7">
        <f>IF('Per Invoice'!$U102="","",'Per Invoice'!P102)</f>
        <v/>
      </c>
      <c r="H103" s="7">
        <f>IF('Per Invoice'!$U102="","",'Per Invoice'!L102)</f>
        <v/>
      </c>
      <c r="I103" s="7">
        <f>IF('Per Invoice'!$U102="","",'Per Invoice'!M102)</f>
        <v/>
      </c>
      <c r="K103" s="7">
        <f>IF('Per Invoice'!$U102="","",'Per Invoice'!S102)</f>
        <v/>
      </c>
      <c r="L103" s="7">
        <f>IF('Per Invoice'!$U102="","",'Per Invoice'!R102)</f>
        <v/>
      </c>
    </row>
    <row r="104">
      <c r="A104">
        <f>IF('Per Invoice'!$U103="","",ROWS($A$3:A104))</f>
        <v/>
      </c>
      <c r="B104" s="11">
        <f>IF('Per Invoice'!$U103="","",'Per Invoice'!I103)</f>
        <v/>
      </c>
      <c r="C104">
        <f>IF('Per Invoice'!$U103="","",'Per Invoice'!E103)</f>
        <v/>
      </c>
      <c r="D104">
        <f>IF('Per Invoice'!$U103="","",'Per Invoice'!D103)</f>
        <v/>
      </c>
      <c r="E104">
        <f>IF('Per Invoice'!$U103="","",'Per Invoice'!C103)</f>
        <v/>
      </c>
      <c r="F104" s="7">
        <f>IF('Per Invoice'!$U103="","",'Per Invoice'!O103)</f>
        <v/>
      </c>
      <c r="G104" s="7">
        <f>IF('Per Invoice'!$U103="","",'Per Invoice'!P103)</f>
        <v/>
      </c>
      <c r="H104" s="7">
        <f>IF('Per Invoice'!$U103="","",'Per Invoice'!L103)</f>
        <v/>
      </c>
      <c r="I104" s="7">
        <f>IF('Per Invoice'!$U103="","",'Per Invoice'!M103)</f>
        <v/>
      </c>
      <c r="K104" s="7">
        <f>IF('Per Invoice'!$U103="","",'Per Invoice'!S103)</f>
        <v/>
      </c>
      <c r="L104" s="7">
        <f>IF('Per Invoice'!$U103="","",'Per Invoice'!R103)</f>
        <v/>
      </c>
    </row>
    <row r="105">
      <c r="A105">
        <f>IF('Per Invoice'!$U104="","",ROWS($A$3:A105))</f>
        <v/>
      </c>
      <c r="B105" s="11">
        <f>IF('Per Invoice'!$U104="","",'Per Invoice'!I104)</f>
        <v/>
      </c>
      <c r="C105">
        <f>IF('Per Invoice'!$U104="","",'Per Invoice'!E104)</f>
        <v/>
      </c>
      <c r="D105">
        <f>IF('Per Invoice'!$U104="","",'Per Invoice'!D104)</f>
        <v/>
      </c>
      <c r="E105">
        <f>IF('Per Invoice'!$U104="","",'Per Invoice'!C104)</f>
        <v/>
      </c>
      <c r="F105" s="7">
        <f>IF('Per Invoice'!$U104="","",'Per Invoice'!O104)</f>
        <v/>
      </c>
      <c r="G105" s="7">
        <f>IF('Per Invoice'!$U104="","",'Per Invoice'!P104)</f>
        <v/>
      </c>
      <c r="H105" s="7">
        <f>IF('Per Invoice'!$U104="","",'Per Invoice'!L104)</f>
        <v/>
      </c>
      <c r="I105" s="7">
        <f>IF('Per Invoice'!$U104="","",'Per Invoice'!M104)</f>
        <v/>
      </c>
      <c r="K105" s="7">
        <f>IF('Per Invoice'!$U104="","",'Per Invoice'!S104)</f>
        <v/>
      </c>
      <c r="L105" s="7">
        <f>IF('Per Invoice'!$U104="","",'Per Invoice'!R104)</f>
        <v/>
      </c>
    </row>
    <row r="106">
      <c r="A106">
        <f>IF('Per Invoice'!$U105="","",ROWS($A$3:A106))</f>
        <v/>
      </c>
      <c r="B106" s="11">
        <f>IF('Per Invoice'!$U105="","",'Per Invoice'!I105)</f>
        <v/>
      </c>
      <c r="C106">
        <f>IF('Per Invoice'!$U105="","",'Per Invoice'!E105)</f>
        <v/>
      </c>
      <c r="D106">
        <f>IF('Per Invoice'!$U105="","",'Per Invoice'!D105)</f>
        <v/>
      </c>
      <c r="E106">
        <f>IF('Per Invoice'!$U105="","",'Per Invoice'!C105)</f>
        <v/>
      </c>
      <c r="F106" s="7">
        <f>IF('Per Invoice'!$U105="","",'Per Invoice'!O105)</f>
        <v/>
      </c>
      <c r="G106" s="7">
        <f>IF('Per Invoice'!$U105="","",'Per Invoice'!P105)</f>
        <v/>
      </c>
      <c r="H106" s="7">
        <f>IF('Per Invoice'!$U105="","",'Per Invoice'!L105)</f>
        <v/>
      </c>
      <c r="I106" s="7">
        <f>IF('Per Invoice'!$U105="","",'Per Invoice'!M105)</f>
        <v/>
      </c>
      <c r="K106" s="7">
        <f>IF('Per Invoice'!$U105="","",'Per Invoice'!S105)</f>
        <v/>
      </c>
      <c r="L106" s="7">
        <f>IF('Per Invoice'!$U105="","",'Per Invoice'!R105)</f>
        <v/>
      </c>
    </row>
    <row r="107">
      <c r="A107">
        <f>IF('Per Invoice'!$U106="","",ROWS($A$3:A107))</f>
        <v/>
      </c>
      <c r="B107" s="11">
        <f>IF('Per Invoice'!$U106="","",'Per Invoice'!I106)</f>
        <v/>
      </c>
      <c r="C107">
        <f>IF('Per Invoice'!$U106="","",'Per Invoice'!E106)</f>
        <v/>
      </c>
      <c r="D107">
        <f>IF('Per Invoice'!$U106="","",'Per Invoice'!D106)</f>
        <v/>
      </c>
      <c r="E107">
        <f>IF('Per Invoice'!$U106="","",'Per Invoice'!C106)</f>
        <v/>
      </c>
      <c r="F107" s="7">
        <f>IF('Per Invoice'!$U106="","",'Per Invoice'!O106)</f>
        <v/>
      </c>
      <c r="G107" s="7">
        <f>IF('Per Invoice'!$U106="","",'Per Invoice'!P106)</f>
        <v/>
      </c>
      <c r="H107" s="7">
        <f>IF('Per Invoice'!$U106="","",'Per Invoice'!L106)</f>
        <v/>
      </c>
      <c r="I107" s="7">
        <f>IF('Per Invoice'!$U106="","",'Per Invoice'!M106)</f>
        <v/>
      </c>
      <c r="K107" s="7">
        <f>IF('Per Invoice'!$U106="","",'Per Invoice'!S106)</f>
        <v/>
      </c>
      <c r="L107" s="7">
        <f>IF('Per Invoice'!$U106="","",'Per Invoice'!R106)</f>
        <v/>
      </c>
    </row>
    <row r="108">
      <c r="A108">
        <f>IF('Per Invoice'!$U107="","",ROWS($A$3:A108))</f>
        <v/>
      </c>
      <c r="B108" s="11">
        <f>IF('Per Invoice'!$U107="","",'Per Invoice'!I107)</f>
        <v/>
      </c>
      <c r="C108">
        <f>IF('Per Invoice'!$U107="","",'Per Invoice'!E107)</f>
        <v/>
      </c>
      <c r="D108">
        <f>IF('Per Invoice'!$U107="","",'Per Invoice'!D107)</f>
        <v/>
      </c>
      <c r="E108">
        <f>IF('Per Invoice'!$U107="","",'Per Invoice'!C107)</f>
        <v/>
      </c>
      <c r="F108" s="7">
        <f>IF('Per Invoice'!$U107="","",'Per Invoice'!O107)</f>
        <v/>
      </c>
      <c r="G108" s="7">
        <f>IF('Per Invoice'!$U107="","",'Per Invoice'!P107)</f>
        <v/>
      </c>
      <c r="H108" s="7">
        <f>IF('Per Invoice'!$U107="","",'Per Invoice'!L107)</f>
        <v/>
      </c>
      <c r="I108" s="7">
        <f>IF('Per Invoice'!$U107="","",'Per Invoice'!M107)</f>
        <v/>
      </c>
      <c r="K108" s="7">
        <f>IF('Per Invoice'!$U107="","",'Per Invoice'!S107)</f>
        <v/>
      </c>
      <c r="L108" s="7">
        <f>IF('Per Invoice'!$U107="","",'Per Invoice'!R107)</f>
        <v/>
      </c>
    </row>
    <row r="109">
      <c r="A109">
        <f>IF('Per Invoice'!$U108="","",ROWS($A$3:A109))</f>
        <v/>
      </c>
      <c r="B109" s="11">
        <f>IF('Per Invoice'!$U108="","",'Per Invoice'!I108)</f>
        <v/>
      </c>
      <c r="C109">
        <f>IF('Per Invoice'!$U108="","",'Per Invoice'!E108)</f>
        <v/>
      </c>
      <c r="D109">
        <f>IF('Per Invoice'!$U108="","",'Per Invoice'!D108)</f>
        <v/>
      </c>
      <c r="E109">
        <f>IF('Per Invoice'!$U108="","",'Per Invoice'!C108)</f>
        <v/>
      </c>
      <c r="F109" s="7">
        <f>IF('Per Invoice'!$U108="","",'Per Invoice'!O108)</f>
        <v/>
      </c>
      <c r="G109" s="7">
        <f>IF('Per Invoice'!$U108="","",'Per Invoice'!P108)</f>
        <v/>
      </c>
      <c r="H109" s="7">
        <f>IF('Per Invoice'!$U108="","",'Per Invoice'!L108)</f>
        <v/>
      </c>
      <c r="I109" s="7">
        <f>IF('Per Invoice'!$U108="","",'Per Invoice'!M108)</f>
        <v/>
      </c>
      <c r="K109" s="7">
        <f>IF('Per Invoice'!$U108="","",'Per Invoice'!S108)</f>
        <v/>
      </c>
      <c r="L109" s="7">
        <f>IF('Per Invoice'!$U108="","",'Per Invoice'!R108)</f>
        <v/>
      </c>
    </row>
    <row r="110">
      <c r="A110">
        <f>IF('Per Invoice'!$U109="","",ROWS($A$3:A110))</f>
        <v/>
      </c>
      <c r="B110" s="11">
        <f>IF('Per Invoice'!$U109="","",'Per Invoice'!I109)</f>
        <v/>
      </c>
      <c r="C110">
        <f>IF('Per Invoice'!$U109="","",'Per Invoice'!E109)</f>
        <v/>
      </c>
      <c r="D110">
        <f>IF('Per Invoice'!$U109="","",'Per Invoice'!D109)</f>
        <v/>
      </c>
      <c r="E110">
        <f>IF('Per Invoice'!$U109="","",'Per Invoice'!C109)</f>
        <v/>
      </c>
      <c r="F110" s="7">
        <f>IF('Per Invoice'!$U109="","",'Per Invoice'!O109)</f>
        <v/>
      </c>
      <c r="G110" s="7">
        <f>IF('Per Invoice'!$U109="","",'Per Invoice'!P109)</f>
        <v/>
      </c>
      <c r="H110" s="7">
        <f>IF('Per Invoice'!$U109="","",'Per Invoice'!L109)</f>
        <v/>
      </c>
      <c r="I110" s="7">
        <f>IF('Per Invoice'!$U109="","",'Per Invoice'!M109)</f>
        <v/>
      </c>
      <c r="K110" s="7">
        <f>IF('Per Invoice'!$U109="","",'Per Invoice'!S109)</f>
        <v/>
      </c>
      <c r="L110" s="7">
        <f>IF('Per Invoice'!$U109="","",'Per Invoice'!R109)</f>
        <v/>
      </c>
    </row>
    <row r="111">
      <c r="A111">
        <f>IF('Per Invoice'!$U110="","",ROWS($A$3:A111))</f>
        <v/>
      </c>
      <c r="B111" s="11">
        <f>IF('Per Invoice'!$U110="","",'Per Invoice'!I110)</f>
        <v/>
      </c>
      <c r="C111">
        <f>IF('Per Invoice'!$U110="","",'Per Invoice'!E110)</f>
        <v/>
      </c>
      <c r="D111">
        <f>IF('Per Invoice'!$U110="","",'Per Invoice'!D110)</f>
        <v/>
      </c>
      <c r="E111">
        <f>IF('Per Invoice'!$U110="","",'Per Invoice'!C110)</f>
        <v/>
      </c>
      <c r="F111" s="7">
        <f>IF('Per Invoice'!$U110="","",'Per Invoice'!O110)</f>
        <v/>
      </c>
      <c r="G111" s="7">
        <f>IF('Per Invoice'!$U110="","",'Per Invoice'!P110)</f>
        <v/>
      </c>
      <c r="H111" s="7">
        <f>IF('Per Invoice'!$U110="","",'Per Invoice'!L110)</f>
        <v/>
      </c>
      <c r="I111" s="7">
        <f>IF('Per Invoice'!$U110="","",'Per Invoice'!M110)</f>
        <v/>
      </c>
      <c r="K111" s="7">
        <f>IF('Per Invoice'!$U110="","",'Per Invoice'!S110)</f>
        <v/>
      </c>
      <c r="L111" s="7">
        <f>IF('Per Invoice'!$U110="","",'Per Invoice'!R110)</f>
        <v/>
      </c>
    </row>
    <row r="112">
      <c r="A112">
        <f>IF('Per Invoice'!$U111="","",ROWS($A$3:A112))</f>
        <v/>
      </c>
      <c r="B112" s="11">
        <f>IF('Per Invoice'!$U111="","",'Per Invoice'!I111)</f>
        <v/>
      </c>
      <c r="C112">
        <f>IF('Per Invoice'!$U111="","",'Per Invoice'!E111)</f>
        <v/>
      </c>
      <c r="D112">
        <f>IF('Per Invoice'!$U111="","",'Per Invoice'!D111)</f>
        <v/>
      </c>
      <c r="E112">
        <f>IF('Per Invoice'!$U111="","",'Per Invoice'!C111)</f>
        <v/>
      </c>
      <c r="F112" s="7">
        <f>IF('Per Invoice'!$U111="","",'Per Invoice'!O111)</f>
        <v/>
      </c>
      <c r="G112" s="7">
        <f>IF('Per Invoice'!$U111="","",'Per Invoice'!P111)</f>
        <v/>
      </c>
      <c r="H112" s="7">
        <f>IF('Per Invoice'!$U111="","",'Per Invoice'!L111)</f>
        <v/>
      </c>
      <c r="I112" s="7">
        <f>IF('Per Invoice'!$U111="","",'Per Invoice'!M111)</f>
        <v/>
      </c>
      <c r="K112" s="7">
        <f>IF('Per Invoice'!$U111="","",'Per Invoice'!S111)</f>
        <v/>
      </c>
      <c r="L112" s="7">
        <f>IF('Per Invoice'!$U111="","",'Per Invoice'!R111)</f>
        <v/>
      </c>
    </row>
    <row r="113">
      <c r="A113">
        <f>IF('Per Invoice'!$U112="","",ROWS($A$3:A113))</f>
        <v/>
      </c>
      <c r="B113" s="11">
        <f>IF('Per Invoice'!$U112="","",'Per Invoice'!I112)</f>
        <v/>
      </c>
      <c r="C113">
        <f>IF('Per Invoice'!$U112="","",'Per Invoice'!E112)</f>
        <v/>
      </c>
      <c r="D113">
        <f>IF('Per Invoice'!$U112="","",'Per Invoice'!D112)</f>
        <v/>
      </c>
      <c r="E113">
        <f>IF('Per Invoice'!$U112="","",'Per Invoice'!C112)</f>
        <v/>
      </c>
      <c r="F113" s="7">
        <f>IF('Per Invoice'!$U112="","",'Per Invoice'!O112)</f>
        <v/>
      </c>
      <c r="G113" s="7">
        <f>IF('Per Invoice'!$U112="","",'Per Invoice'!P112)</f>
        <v/>
      </c>
      <c r="H113" s="7">
        <f>IF('Per Invoice'!$U112="","",'Per Invoice'!L112)</f>
        <v/>
      </c>
      <c r="I113" s="7">
        <f>IF('Per Invoice'!$U112="","",'Per Invoice'!M112)</f>
        <v/>
      </c>
      <c r="K113" s="7">
        <f>IF('Per Invoice'!$U112="","",'Per Invoice'!S112)</f>
        <v/>
      </c>
      <c r="L113" s="7">
        <f>IF('Per Invoice'!$U112="","",'Per Invoice'!R112)</f>
        <v/>
      </c>
    </row>
    <row r="114">
      <c r="A114">
        <f>IF('Per Invoice'!$U113="","",ROWS($A$3:A114))</f>
        <v/>
      </c>
      <c r="B114" s="11">
        <f>IF('Per Invoice'!$U113="","",'Per Invoice'!I113)</f>
        <v/>
      </c>
      <c r="C114">
        <f>IF('Per Invoice'!$U113="","",'Per Invoice'!E113)</f>
        <v/>
      </c>
      <c r="D114">
        <f>IF('Per Invoice'!$U113="","",'Per Invoice'!D113)</f>
        <v/>
      </c>
      <c r="E114">
        <f>IF('Per Invoice'!$U113="","",'Per Invoice'!C113)</f>
        <v/>
      </c>
      <c r="F114" s="7">
        <f>IF('Per Invoice'!$U113="","",'Per Invoice'!O113)</f>
        <v/>
      </c>
      <c r="G114" s="7">
        <f>IF('Per Invoice'!$U113="","",'Per Invoice'!P113)</f>
        <v/>
      </c>
      <c r="H114" s="7">
        <f>IF('Per Invoice'!$U113="","",'Per Invoice'!L113)</f>
        <v/>
      </c>
      <c r="I114" s="7">
        <f>IF('Per Invoice'!$U113="","",'Per Invoice'!M113)</f>
        <v/>
      </c>
      <c r="K114" s="7">
        <f>IF('Per Invoice'!$U113="","",'Per Invoice'!S113)</f>
        <v/>
      </c>
      <c r="L114" s="7">
        <f>IF('Per Invoice'!$U113="","",'Per Invoice'!R113)</f>
        <v/>
      </c>
    </row>
    <row r="115">
      <c r="A115">
        <f>IF('Per Invoice'!$U114="","",ROWS($A$3:A115))</f>
        <v/>
      </c>
      <c r="B115" s="11">
        <f>IF('Per Invoice'!$U114="","",'Per Invoice'!I114)</f>
        <v/>
      </c>
      <c r="C115">
        <f>IF('Per Invoice'!$U114="","",'Per Invoice'!E114)</f>
        <v/>
      </c>
      <c r="D115">
        <f>IF('Per Invoice'!$U114="","",'Per Invoice'!D114)</f>
        <v/>
      </c>
      <c r="E115">
        <f>IF('Per Invoice'!$U114="","",'Per Invoice'!C114)</f>
        <v/>
      </c>
      <c r="F115" s="7">
        <f>IF('Per Invoice'!$U114="","",'Per Invoice'!O114)</f>
        <v/>
      </c>
      <c r="G115" s="7">
        <f>IF('Per Invoice'!$U114="","",'Per Invoice'!P114)</f>
        <v/>
      </c>
      <c r="H115" s="7">
        <f>IF('Per Invoice'!$U114="","",'Per Invoice'!L114)</f>
        <v/>
      </c>
      <c r="I115" s="7">
        <f>IF('Per Invoice'!$U114="","",'Per Invoice'!M114)</f>
        <v/>
      </c>
      <c r="K115" s="7">
        <f>IF('Per Invoice'!$U114="","",'Per Invoice'!S114)</f>
        <v/>
      </c>
      <c r="L115" s="7">
        <f>IF('Per Invoice'!$U114="","",'Per Invoice'!R114)</f>
        <v/>
      </c>
    </row>
    <row r="116">
      <c r="A116">
        <f>IF('Per Invoice'!$U115="","",ROWS($A$3:A116))</f>
        <v/>
      </c>
      <c r="B116" s="11">
        <f>IF('Per Invoice'!$U115="","",'Per Invoice'!I115)</f>
        <v/>
      </c>
      <c r="C116">
        <f>IF('Per Invoice'!$U115="","",'Per Invoice'!E115)</f>
        <v/>
      </c>
      <c r="D116">
        <f>IF('Per Invoice'!$U115="","",'Per Invoice'!D115)</f>
        <v/>
      </c>
      <c r="E116">
        <f>IF('Per Invoice'!$U115="","",'Per Invoice'!C115)</f>
        <v/>
      </c>
      <c r="F116" s="7">
        <f>IF('Per Invoice'!$U115="","",'Per Invoice'!O115)</f>
        <v/>
      </c>
      <c r="G116" s="7">
        <f>IF('Per Invoice'!$U115="","",'Per Invoice'!P115)</f>
        <v/>
      </c>
      <c r="H116" s="7">
        <f>IF('Per Invoice'!$U115="","",'Per Invoice'!L115)</f>
        <v/>
      </c>
      <c r="I116" s="7">
        <f>IF('Per Invoice'!$U115="","",'Per Invoice'!M115)</f>
        <v/>
      </c>
      <c r="K116" s="7">
        <f>IF('Per Invoice'!$U115="","",'Per Invoice'!S115)</f>
        <v/>
      </c>
      <c r="L116" s="7">
        <f>IF('Per Invoice'!$U115="","",'Per Invoice'!R115)</f>
        <v/>
      </c>
    </row>
    <row r="117">
      <c r="A117">
        <f>IF('Per Invoice'!$U116="","",ROWS($A$3:A117))</f>
        <v/>
      </c>
      <c r="B117" s="11">
        <f>IF('Per Invoice'!$U116="","",'Per Invoice'!I116)</f>
        <v/>
      </c>
      <c r="C117">
        <f>IF('Per Invoice'!$U116="","",'Per Invoice'!E116)</f>
        <v/>
      </c>
      <c r="D117">
        <f>IF('Per Invoice'!$U116="","",'Per Invoice'!D116)</f>
        <v/>
      </c>
      <c r="E117">
        <f>IF('Per Invoice'!$U116="","",'Per Invoice'!C116)</f>
        <v/>
      </c>
      <c r="F117" s="7">
        <f>IF('Per Invoice'!$U116="","",'Per Invoice'!O116)</f>
        <v/>
      </c>
      <c r="G117" s="7">
        <f>IF('Per Invoice'!$U116="","",'Per Invoice'!P116)</f>
        <v/>
      </c>
      <c r="H117" s="7">
        <f>IF('Per Invoice'!$U116="","",'Per Invoice'!L116)</f>
        <v/>
      </c>
      <c r="I117" s="7">
        <f>IF('Per Invoice'!$U116="","",'Per Invoice'!M116)</f>
        <v/>
      </c>
      <c r="K117" s="7">
        <f>IF('Per Invoice'!$U116="","",'Per Invoice'!S116)</f>
        <v/>
      </c>
      <c r="L117" s="7">
        <f>IF('Per Invoice'!$U116="","",'Per Invoice'!R116)</f>
        <v/>
      </c>
    </row>
    <row r="118">
      <c r="A118">
        <f>IF('Per Invoice'!$U117="","",ROWS($A$3:A118))</f>
        <v/>
      </c>
      <c r="B118" s="11">
        <f>IF('Per Invoice'!$U117="","",'Per Invoice'!I117)</f>
        <v/>
      </c>
      <c r="C118">
        <f>IF('Per Invoice'!$U117="","",'Per Invoice'!E117)</f>
        <v/>
      </c>
      <c r="D118">
        <f>IF('Per Invoice'!$U117="","",'Per Invoice'!D117)</f>
        <v/>
      </c>
      <c r="E118">
        <f>IF('Per Invoice'!$U117="","",'Per Invoice'!C117)</f>
        <v/>
      </c>
      <c r="F118" s="7">
        <f>IF('Per Invoice'!$U117="","",'Per Invoice'!O117)</f>
        <v/>
      </c>
      <c r="G118" s="7">
        <f>IF('Per Invoice'!$U117="","",'Per Invoice'!P117)</f>
        <v/>
      </c>
      <c r="H118" s="7">
        <f>IF('Per Invoice'!$U117="","",'Per Invoice'!L117)</f>
        <v/>
      </c>
      <c r="I118" s="7">
        <f>IF('Per Invoice'!$U117="","",'Per Invoice'!M117)</f>
        <v/>
      </c>
      <c r="K118" s="7">
        <f>IF('Per Invoice'!$U117="","",'Per Invoice'!S117)</f>
        <v/>
      </c>
      <c r="L118" s="7">
        <f>IF('Per Invoice'!$U117="","",'Per Invoice'!R117)</f>
        <v/>
      </c>
    </row>
    <row r="119">
      <c r="A119">
        <f>IF('Per Invoice'!$U118="","",ROWS($A$3:A119))</f>
        <v/>
      </c>
      <c r="B119" s="11">
        <f>IF('Per Invoice'!$U118="","",'Per Invoice'!I118)</f>
        <v/>
      </c>
      <c r="C119">
        <f>IF('Per Invoice'!$U118="","",'Per Invoice'!E118)</f>
        <v/>
      </c>
      <c r="D119">
        <f>IF('Per Invoice'!$U118="","",'Per Invoice'!D118)</f>
        <v/>
      </c>
      <c r="E119">
        <f>IF('Per Invoice'!$U118="","",'Per Invoice'!C118)</f>
        <v/>
      </c>
      <c r="F119" s="7">
        <f>IF('Per Invoice'!$U118="","",'Per Invoice'!O118)</f>
        <v/>
      </c>
      <c r="G119" s="7">
        <f>IF('Per Invoice'!$U118="","",'Per Invoice'!P118)</f>
        <v/>
      </c>
      <c r="H119" s="7">
        <f>IF('Per Invoice'!$U118="","",'Per Invoice'!L118)</f>
        <v/>
      </c>
      <c r="I119" s="7">
        <f>IF('Per Invoice'!$U118="","",'Per Invoice'!M118)</f>
        <v/>
      </c>
      <c r="K119" s="7">
        <f>IF('Per Invoice'!$U118="","",'Per Invoice'!S118)</f>
        <v/>
      </c>
      <c r="L119" s="7">
        <f>IF('Per Invoice'!$U118="","",'Per Invoice'!R118)</f>
        <v/>
      </c>
    </row>
    <row r="120">
      <c r="A120">
        <f>IF('Per Invoice'!$U119="","",ROWS($A$3:A120))</f>
        <v/>
      </c>
      <c r="B120" s="11">
        <f>IF('Per Invoice'!$U119="","",'Per Invoice'!I119)</f>
        <v/>
      </c>
      <c r="C120">
        <f>IF('Per Invoice'!$U119="","",'Per Invoice'!E119)</f>
        <v/>
      </c>
      <c r="D120">
        <f>IF('Per Invoice'!$U119="","",'Per Invoice'!D119)</f>
        <v/>
      </c>
      <c r="E120">
        <f>IF('Per Invoice'!$U119="","",'Per Invoice'!C119)</f>
        <v/>
      </c>
      <c r="F120" s="7">
        <f>IF('Per Invoice'!$U119="","",'Per Invoice'!O119)</f>
        <v/>
      </c>
      <c r="G120" s="7">
        <f>IF('Per Invoice'!$U119="","",'Per Invoice'!P119)</f>
        <v/>
      </c>
      <c r="H120" s="7">
        <f>IF('Per Invoice'!$U119="","",'Per Invoice'!L119)</f>
        <v/>
      </c>
      <c r="I120" s="7">
        <f>IF('Per Invoice'!$U119="","",'Per Invoice'!M119)</f>
        <v/>
      </c>
      <c r="K120" s="7">
        <f>IF('Per Invoice'!$U119="","",'Per Invoice'!S119)</f>
        <v/>
      </c>
      <c r="L120" s="7">
        <f>IF('Per Invoice'!$U119="","",'Per Invoice'!R119)</f>
        <v/>
      </c>
    </row>
    <row r="121">
      <c r="A121">
        <f>IF('Per Invoice'!$U120="","",ROWS($A$3:A121))</f>
        <v/>
      </c>
      <c r="B121" s="11">
        <f>IF('Per Invoice'!$U120="","",'Per Invoice'!I120)</f>
        <v/>
      </c>
      <c r="C121">
        <f>IF('Per Invoice'!$U120="","",'Per Invoice'!E120)</f>
        <v/>
      </c>
      <c r="D121">
        <f>IF('Per Invoice'!$U120="","",'Per Invoice'!D120)</f>
        <v/>
      </c>
      <c r="E121">
        <f>IF('Per Invoice'!$U120="","",'Per Invoice'!C120)</f>
        <v/>
      </c>
      <c r="F121" s="7">
        <f>IF('Per Invoice'!$U120="","",'Per Invoice'!O120)</f>
        <v/>
      </c>
      <c r="G121" s="7">
        <f>IF('Per Invoice'!$U120="","",'Per Invoice'!P120)</f>
        <v/>
      </c>
      <c r="H121" s="7">
        <f>IF('Per Invoice'!$U120="","",'Per Invoice'!L120)</f>
        <v/>
      </c>
      <c r="I121" s="7">
        <f>IF('Per Invoice'!$U120="","",'Per Invoice'!M120)</f>
        <v/>
      </c>
      <c r="K121" s="7">
        <f>IF('Per Invoice'!$U120="","",'Per Invoice'!S120)</f>
        <v/>
      </c>
      <c r="L121" s="7">
        <f>IF('Per Invoice'!$U120="","",'Per Invoice'!R120)</f>
        <v/>
      </c>
    </row>
    <row r="122">
      <c r="A122">
        <f>IF('Per Invoice'!$U121="","",ROWS($A$3:A122))</f>
        <v/>
      </c>
      <c r="B122" s="11">
        <f>IF('Per Invoice'!$U121="","",'Per Invoice'!I121)</f>
        <v/>
      </c>
      <c r="C122">
        <f>IF('Per Invoice'!$U121="","",'Per Invoice'!E121)</f>
        <v/>
      </c>
      <c r="D122">
        <f>IF('Per Invoice'!$U121="","",'Per Invoice'!D121)</f>
        <v/>
      </c>
      <c r="E122">
        <f>IF('Per Invoice'!$U121="","",'Per Invoice'!C121)</f>
        <v/>
      </c>
      <c r="F122" s="7">
        <f>IF('Per Invoice'!$U121="","",'Per Invoice'!O121)</f>
        <v/>
      </c>
      <c r="G122" s="7">
        <f>IF('Per Invoice'!$U121="","",'Per Invoice'!P121)</f>
        <v/>
      </c>
      <c r="H122" s="7">
        <f>IF('Per Invoice'!$U121="","",'Per Invoice'!L121)</f>
        <v/>
      </c>
      <c r="I122" s="7">
        <f>IF('Per Invoice'!$U121="","",'Per Invoice'!M121)</f>
        <v/>
      </c>
      <c r="K122" s="7">
        <f>IF('Per Invoice'!$U121="","",'Per Invoice'!S121)</f>
        <v/>
      </c>
      <c r="L122" s="7">
        <f>IF('Per Invoice'!$U121="","",'Per Invoice'!R121)</f>
        <v/>
      </c>
    </row>
    <row r="123">
      <c r="A123">
        <f>IF('Per Invoice'!$U122="","",ROWS($A$3:A123))</f>
        <v/>
      </c>
      <c r="B123" s="11">
        <f>IF('Per Invoice'!$U122="","",'Per Invoice'!I122)</f>
        <v/>
      </c>
      <c r="C123">
        <f>IF('Per Invoice'!$U122="","",'Per Invoice'!E122)</f>
        <v/>
      </c>
      <c r="D123">
        <f>IF('Per Invoice'!$U122="","",'Per Invoice'!D122)</f>
        <v/>
      </c>
      <c r="E123">
        <f>IF('Per Invoice'!$U122="","",'Per Invoice'!C122)</f>
        <v/>
      </c>
      <c r="F123" s="7">
        <f>IF('Per Invoice'!$U122="","",'Per Invoice'!O122)</f>
        <v/>
      </c>
      <c r="G123" s="7">
        <f>IF('Per Invoice'!$U122="","",'Per Invoice'!P122)</f>
        <v/>
      </c>
      <c r="H123" s="7">
        <f>IF('Per Invoice'!$U122="","",'Per Invoice'!L122)</f>
        <v/>
      </c>
      <c r="I123" s="7">
        <f>IF('Per Invoice'!$U122="","",'Per Invoice'!M122)</f>
        <v/>
      </c>
      <c r="K123" s="7">
        <f>IF('Per Invoice'!$U122="","",'Per Invoice'!S122)</f>
        <v/>
      </c>
      <c r="L123" s="7">
        <f>IF('Per Invoice'!$U122="","",'Per Invoice'!R122)</f>
        <v/>
      </c>
    </row>
    <row r="124">
      <c r="A124">
        <f>IF('Per Invoice'!$U123="","",ROWS($A$3:A124))</f>
        <v/>
      </c>
      <c r="B124" s="11">
        <f>IF('Per Invoice'!$U123="","",'Per Invoice'!I123)</f>
        <v/>
      </c>
      <c r="C124">
        <f>IF('Per Invoice'!$U123="","",'Per Invoice'!E123)</f>
        <v/>
      </c>
      <c r="D124">
        <f>IF('Per Invoice'!$U123="","",'Per Invoice'!D123)</f>
        <v/>
      </c>
      <c r="E124">
        <f>IF('Per Invoice'!$U123="","",'Per Invoice'!C123)</f>
        <v/>
      </c>
      <c r="F124" s="7">
        <f>IF('Per Invoice'!$U123="","",'Per Invoice'!O123)</f>
        <v/>
      </c>
      <c r="G124" s="7">
        <f>IF('Per Invoice'!$U123="","",'Per Invoice'!P123)</f>
        <v/>
      </c>
      <c r="H124" s="7">
        <f>IF('Per Invoice'!$U123="","",'Per Invoice'!L123)</f>
        <v/>
      </c>
      <c r="I124" s="7">
        <f>IF('Per Invoice'!$U123="","",'Per Invoice'!M123)</f>
        <v/>
      </c>
      <c r="K124" s="7">
        <f>IF('Per Invoice'!$U123="","",'Per Invoice'!S123)</f>
        <v/>
      </c>
      <c r="L124" s="7">
        <f>IF('Per Invoice'!$U123="","",'Per Invoice'!R123)</f>
        <v/>
      </c>
    </row>
    <row r="125">
      <c r="A125">
        <f>IF('Per Invoice'!$U124="","",ROWS($A$3:A125))</f>
        <v/>
      </c>
      <c r="B125" s="11">
        <f>IF('Per Invoice'!$U124="","",'Per Invoice'!I124)</f>
        <v/>
      </c>
      <c r="C125">
        <f>IF('Per Invoice'!$U124="","",'Per Invoice'!E124)</f>
        <v/>
      </c>
      <c r="D125">
        <f>IF('Per Invoice'!$U124="","",'Per Invoice'!D124)</f>
        <v/>
      </c>
      <c r="E125">
        <f>IF('Per Invoice'!$U124="","",'Per Invoice'!C124)</f>
        <v/>
      </c>
      <c r="F125" s="7">
        <f>IF('Per Invoice'!$U124="","",'Per Invoice'!O124)</f>
        <v/>
      </c>
      <c r="G125" s="7">
        <f>IF('Per Invoice'!$U124="","",'Per Invoice'!P124)</f>
        <v/>
      </c>
      <c r="H125" s="7">
        <f>IF('Per Invoice'!$U124="","",'Per Invoice'!L124)</f>
        <v/>
      </c>
      <c r="I125" s="7">
        <f>IF('Per Invoice'!$U124="","",'Per Invoice'!M124)</f>
        <v/>
      </c>
      <c r="K125" s="7">
        <f>IF('Per Invoice'!$U124="","",'Per Invoice'!S124)</f>
        <v/>
      </c>
      <c r="L125" s="7">
        <f>IF('Per Invoice'!$U124="","",'Per Invoice'!R124)</f>
        <v/>
      </c>
    </row>
    <row r="126">
      <c r="A126">
        <f>IF('Per Invoice'!$U125="","",ROWS($A$3:A126))</f>
        <v/>
      </c>
      <c r="B126" s="11">
        <f>IF('Per Invoice'!$U125="","",'Per Invoice'!I125)</f>
        <v/>
      </c>
      <c r="C126">
        <f>IF('Per Invoice'!$U125="","",'Per Invoice'!E125)</f>
        <v/>
      </c>
      <c r="D126">
        <f>IF('Per Invoice'!$U125="","",'Per Invoice'!D125)</f>
        <v/>
      </c>
      <c r="E126">
        <f>IF('Per Invoice'!$U125="","",'Per Invoice'!C125)</f>
        <v/>
      </c>
      <c r="F126" s="7">
        <f>IF('Per Invoice'!$U125="","",'Per Invoice'!O125)</f>
        <v/>
      </c>
      <c r="G126" s="7">
        <f>IF('Per Invoice'!$U125="","",'Per Invoice'!P125)</f>
        <v/>
      </c>
      <c r="H126" s="7">
        <f>IF('Per Invoice'!$U125="","",'Per Invoice'!L125)</f>
        <v/>
      </c>
      <c r="I126" s="7">
        <f>IF('Per Invoice'!$U125="","",'Per Invoice'!M125)</f>
        <v/>
      </c>
      <c r="K126" s="7">
        <f>IF('Per Invoice'!$U125="","",'Per Invoice'!S125)</f>
        <v/>
      </c>
      <c r="L126" s="7">
        <f>IF('Per Invoice'!$U125="","",'Per Invoice'!R125)</f>
        <v/>
      </c>
    </row>
    <row r="127">
      <c r="A127">
        <f>IF('Per Invoice'!$U126="","",ROWS($A$3:A127))</f>
        <v/>
      </c>
      <c r="B127" s="11">
        <f>IF('Per Invoice'!$U126="","",'Per Invoice'!I126)</f>
        <v/>
      </c>
      <c r="C127">
        <f>IF('Per Invoice'!$U126="","",'Per Invoice'!E126)</f>
        <v/>
      </c>
      <c r="D127">
        <f>IF('Per Invoice'!$U126="","",'Per Invoice'!D126)</f>
        <v/>
      </c>
      <c r="E127">
        <f>IF('Per Invoice'!$U126="","",'Per Invoice'!C126)</f>
        <v/>
      </c>
      <c r="F127" s="7">
        <f>IF('Per Invoice'!$U126="","",'Per Invoice'!O126)</f>
        <v/>
      </c>
      <c r="G127" s="7">
        <f>IF('Per Invoice'!$U126="","",'Per Invoice'!P126)</f>
        <v/>
      </c>
      <c r="H127" s="7">
        <f>IF('Per Invoice'!$U126="","",'Per Invoice'!L126)</f>
        <v/>
      </c>
      <c r="I127" s="7">
        <f>IF('Per Invoice'!$U126="","",'Per Invoice'!M126)</f>
        <v/>
      </c>
      <c r="K127" s="7">
        <f>IF('Per Invoice'!$U126="","",'Per Invoice'!S126)</f>
        <v/>
      </c>
      <c r="L127" s="7">
        <f>IF('Per Invoice'!$U126="","",'Per Invoice'!R126)</f>
        <v/>
      </c>
    </row>
    <row r="128">
      <c r="A128">
        <f>IF('Per Invoice'!$U127="","",ROWS($A$3:A128))</f>
        <v/>
      </c>
      <c r="B128" s="11">
        <f>IF('Per Invoice'!$U127="","",'Per Invoice'!I127)</f>
        <v/>
      </c>
      <c r="C128">
        <f>IF('Per Invoice'!$U127="","",'Per Invoice'!E127)</f>
        <v/>
      </c>
      <c r="D128">
        <f>IF('Per Invoice'!$U127="","",'Per Invoice'!D127)</f>
        <v/>
      </c>
      <c r="E128">
        <f>IF('Per Invoice'!$U127="","",'Per Invoice'!C127)</f>
        <v/>
      </c>
      <c r="F128" s="7">
        <f>IF('Per Invoice'!$U127="","",'Per Invoice'!O127)</f>
        <v/>
      </c>
      <c r="G128" s="7">
        <f>IF('Per Invoice'!$U127="","",'Per Invoice'!P127)</f>
        <v/>
      </c>
      <c r="H128" s="7">
        <f>IF('Per Invoice'!$U127="","",'Per Invoice'!L127)</f>
        <v/>
      </c>
      <c r="I128" s="7">
        <f>IF('Per Invoice'!$U127="","",'Per Invoice'!M127)</f>
        <v/>
      </c>
      <c r="K128" s="7">
        <f>IF('Per Invoice'!$U127="","",'Per Invoice'!S127)</f>
        <v/>
      </c>
      <c r="L128" s="7">
        <f>IF('Per Invoice'!$U127="","",'Per Invoice'!R127)</f>
        <v/>
      </c>
    </row>
    <row r="129">
      <c r="A129">
        <f>IF('Per Invoice'!$U128="","",ROWS($A$3:A129))</f>
        <v/>
      </c>
      <c r="B129" s="11">
        <f>IF('Per Invoice'!$U128="","",'Per Invoice'!I128)</f>
        <v/>
      </c>
      <c r="C129">
        <f>IF('Per Invoice'!$U128="","",'Per Invoice'!E128)</f>
        <v/>
      </c>
      <c r="D129">
        <f>IF('Per Invoice'!$U128="","",'Per Invoice'!D128)</f>
        <v/>
      </c>
      <c r="E129">
        <f>IF('Per Invoice'!$U128="","",'Per Invoice'!C128)</f>
        <v/>
      </c>
      <c r="F129" s="7">
        <f>IF('Per Invoice'!$U128="","",'Per Invoice'!O128)</f>
        <v/>
      </c>
      <c r="G129" s="7">
        <f>IF('Per Invoice'!$U128="","",'Per Invoice'!P128)</f>
        <v/>
      </c>
      <c r="H129" s="7">
        <f>IF('Per Invoice'!$U128="","",'Per Invoice'!L128)</f>
        <v/>
      </c>
      <c r="I129" s="7">
        <f>IF('Per Invoice'!$U128="","",'Per Invoice'!M128)</f>
        <v/>
      </c>
      <c r="K129" s="7">
        <f>IF('Per Invoice'!$U128="","",'Per Invoice'!S128)</f>
        <v/>
      </c>
      <c r="L129" s="7">
        <f>IF('Per Invoice'!$U128="","",'Per Invoice'!R128)</f>
        <v/>
      </c>
    </row>
    <row r="130">
      <c r="A130">
        <f>IF('Per Invoice'!$U129="","",ROWS($A$3:A130))</f>
        <v/>
      </c>
      <c r="B130" s="11">
        <f>IF('Per Invoice'!$U129="","",'Per Invoice'!I129)</f>
        <v/>
      </c>
      <c r="C130">
        <f>IF('Per Invoice'!$U129="","",'Per Invoice'!E129)</f>
        <v/>
      </c>
      <c r="D130">
        <f>IF('Per Invoice'!$U129="","",'Per Invoice'!D129)</f>
        <v/>
      </c>
      <c r="E130">
        <f>IF('Per Invoice'!$U129="","",'Per Invoice'!C129)</f>
        <v/>
      </c>
      <c r="F130" s="7">
        <f>IF('Per Invoice'!$U129="","",'Per Invoice'!O129)</f>
        <v/>
      </c>
      <c r="G130" s="7">
        <f>IF('Per Invoice'!$U129="","",'Per Invoice'!P129)</f>
        <v/>
      </c>
      <c r="H130" s="7">
        <f>IF('Per Invoice'!$U129="","",'Per Invoice'!L129)</f>
        <v/>
      </c>
      <c r="I130" s="7">
        <f>IF('Per Invoice'!$U129="","",'Per Invoice'!M129)</f>
        <v/>
      </c>
      <c r="K130" s="7">
        <f>IF('Per Invoice'!$U129="","",'Per Invoice'!S129)</f>
        <v/>
      </c>
      <c r="L130" s="7">
        <f>IF('Per Invoice'!$U129="","",'Per Invoice'!R129)</f>
        <v/>
      </c>
    </row>
    <row r="131">
      <c r="A131">
        <f>IF('Per Invoice'!$U130="","",ROWS($A$3:A131))</f>
        <v/>
      </c>
      <c r="B131" s="11">
        <f>IF('Per Invoice'!$U130="","",'Per Invoice'!I130)</f>
        <v/>
      </c>
      <c r="C131">
        <f>IF('Per Invoice'!$U130="","",'Per Invoice'!E130)</f>
        <v/>
      </c>
      <c r="D131">
        <f>IF('Per Invoice'!$U130="","",'Per Invoice'!D130)</f>
        <v/>
      </c>
      <c r="E131">
        <f>IF('Per Invoice'!$U130="","",'Per Invoice'!C130)</f>
        <v/>
      </c>
      <c r="F131" s="7">
        <f>IF('Per Invoice'!$U130="","",'Per Invoice'!O130)</f>
        <v/>
      </c>
      <c r="G131" s="7">
        <f>IF('Per Invoice'!$U130="","",'Per Invoice'!P130)</f>
        <v/>
      </c>
      <c r="H131" s="7">
        <f>IF('Per Invoice'!$U130="","",'Per Invoice'!L130)</f>
        <v/>
      </c>
      <c r="I131" s="7">
        <f>IF('Per Invoice'!$U130="","",'Per Invoice'!M130)</f>
        <v/>
      </c>
      <c r="K131" s="7">
        <f>IF('Per Invoice'!$U130="","",'Per Invoice'!S130)</f>
        <v/>
      </c>
      <c r="L131" s="7">
        <f>IF('Per Invoice'!$U130="","",'Per Invoice'!R130)</f>
        <v/>
      </c>
    </row>
    <row r="132">
      <c r="A132">
        <f>IF('Per Invoice'!$U131="","",ROWS($A$3:A132))</f>
        <v/>
      </c>
      <c r="B132" s="11">
        <f>IF('Per Invoice'!$U131="","",'Per Invoice'!I131)</f>
        <v/>
      </c>
      <c r="C132">
        <f>IF('Per Invoice'!$U131="","",'Per Invoice'!E131)</f>
        <v/>
      </c>
      <c r="D132">
        <f>IF('Per Invoice'!$U131="","",'Per Invoice'!D131)</f>
        <v/>
      </c>
      <c r="E132">
        <f>IF('Per Invoice'!$U131="","",'Per Invoice'!C131)</f>
        <v/>
      </c>
      <c r="F132" s="7">
        <f>IF('Per Invoice'!$U131="","",'Per Invoice'!O131)</f>
        <v/>
      </c>
      <c r="G132" s="7">
        <f>IF('Per Invoice'!$U131="","",'Per Invoice'!P131)</f>
        <v/>
      </c>
      <c r="H132" s="7">
        <f>IF('Per Invoice'!$U131="","",'Per Invoice'!L131)</f>
        <v/>
      </c>
      <c r="I132" s="7">
        <f>IF('Per Invoice'!$U131="","",'Per Invoice'!M131)</f>
        <v/>
      </c>
      <c r="K132" s="7">
        <f>IF('Per Invoice'!$U131="","",'Per Invoice'!S131)</f>
        <v/>
      </c>
      <c r="L132" s="7">
        <f>IF('Per Invoice'!$U131="","",'Per Invoice'!R131)</f>
        <v/>
      </c>
    </row>
    <row r="133">
      <c r="A133">
        <f>IF('Per Invoice'!$U132="","",ROWS($A$3:A133))</f>
        <v/>
      </c>
      <c r="B133" s="11">
        <f>IF('Per Invoice'!$U132="","",'Per Invoice'!I132)</f>
        <v/>
      </c>
      <c r="C133">
        <f>IF('Per Invoice'!$U132="","",'Per Invoice'!E132)</f>
        <v/>
      </c>
      <c r="D133">
        <f>IF('Per Invoice'!$U132="","",'Per Invoice'!D132)</f>
        <v/>
      </c>
      <c r="E133">
        <f>IF('Per Invoice'!$U132="","",'Per Invoice'!C132)</f>
        <v/>
      </c>
      <c r="F133" s="7">
        <f>IF('Per Invoice'!$U132="","",'Per Invoice'!O132)</f>
        <v/>
      </c>
      <c r="G133" s="7">
        <f>IF('Per Invoice'!$U132="","",'Per Invoice'!P132)</f>
        <v/>
      </c>
      <c r="H133" s="7">
        <f>IF('Per Invoice'!$U132="","",'Per Invoice'!L132)</f>
        <v/>
      </c>
      <c r="I133" s="7">
        <f>IF('Per Invoice'!$U132="","",'Per Invoice'!M132)</f>
        <v/>
      </c>
      <c r="K133" s="7">
        <f>IF('Per Invoice'!$U132="","",'Per Invoice'!S132)</f>
        <v/>
      </c>
      <c r="L133" s="7">
        <f>IF('Per Invoice'!$U132="","",'Per Invoice'!R132)</f>
        <v/>
      </c>
    </row>
    <row r="134">
      <c r="A134">
        <f>IF('Per Invoice'!$U133="","",ROWS($A$3:A134))</f>
        <v/>
      </c>
      <c r="B134" s="11">
        <f>IF('Per Invoice'!$U133="","",'Per Invoice'!I133)</f>
        <v/>
      </c>
      <c r="C134">
        <f>IF('Per Invoice'!$U133="","",'Per Invoice'!E133)</f>
        <v/>
      </c>
      <c r="D134">
        <f>IF('Per Invoice'!$U133="","",'Per Invoice'!D133)</f>
        <v/>
      </c>
      <c r="E134">
        <f>IF('Per Invoice'!$U133="","",'Per Invoice'!C133)</f>
        <v/>
      </c>
      <c r="F134" s="7">
        <f>IF('Per Invoice'!$U133="","",'Per Invoice'!O133)</f>
        <v/>
      </c>
      <c r="G134" s="7">
        <f>IF('Per Invoice'!$U133="","",'Per Invoice'!P133)</f>
        <v/>
      </c>
      <c r="H134" s="7">
        <f>IF('Per Invoice'!$U133="","",'Per Invoice'!L133)</f>
        <v/>
      </c>
      <c r="I134" s="7">
        <f>IF('Per Invoice'!$U133="","",'Per Invoice'!M133)</f>
        <v/>
      </c>
      <c r="K134" s="7">
        <f>IF('Per Invoice'!$U133="","",'Per Invoice'!S133)</f>
        <v/>
      </c>
      <c r="L134" s="7">
        <f>IF('Per Invoice'!$U133="","",'Per Invoice'!R133)</f>
        <v/>
      </c>
    </row>
    <row r="135">
      <c r="A135">
        <f>IF('Per Invoice'!$U134="","",ROWS($A$3:A135))</f>
        <v/>
      </c>
      <c r="B135" s="11">
        <f>IF('Per Invoice'!$U134="","",'Per Invoice'!I134)</f>
        <v/>
      </c>
      <c r="C135">
        <f>IF('Per Invoice'!$U134="","",'Per Invoice'!E134)</f>
        <v/>
      </c>
      <c r="D135">
        <f>IF('Per Invoice'!$U134="","",'Per Invoice'!D134)</f>
        <v/>
      </c>
      <c r="E135">
        <f>IF('Per Invoice'!$U134="","",'Per Invoice'!C134)</f>
        <v/>
      </c>
      <c r="F135" s="7">
        <f>IF('Per Invoice'!$U134="","",'Per Invoice'!O134)</f>
        <v/>
      </c>
      <c r="G135" s="7">
        <f>IF('Per Invoice'!$U134="","",'Per Invoice'!P134)</f>
        <v/>
      </c>
      <c r="H135" s="7">
        <f>IF('Per Invoice'!$U134="","",'Per Invoice'!L134)</f>
        <v/>
      </c>
      <c r="I135" s="7">
        <f>IF('Per Invoice'!$U134="","",'Per Invoice'!M134)</f>
        <v/>
      </c>
      <c r="K135" s="7">
        <f>IF('Per Invoice'!$U134="","",'Per Invoice'!S134)</f>
        <v/>
      </c>
      <c r="L135" s="7">
        <f>IF('Per Invoice'!$U134="","",'Per Invoice'!R134)</f>
        <v/>
      </c>
    </row>
    <row r="136">
      <c r="A136">
        <f>IF('Per Invoice'!$U135="","",ROWS($A$3:A136))</f>
        <v/>
      </c>
      <c r="B136" s="11">
        <f>IF('Per Invoice'!$U135="","",'Per Invoice'!I135)</f>
        <v/>
      </c>
      <c r="C136">
        <f>IF('Per Invoice'!$U135="","",'Per Invoice'!E135)</f>
        <v/>
      </c>
      <c r="D136">
        <f>IF('Per Invoice'!$U135="","",'Per Invoice'!D135)</f>
        <v/>
      </c>
      <c r="E136">
        <f>IF('Per Invoice'!$U135="","",'Per Invoice'!C135)</f>
        <v/>
      </c>
      <c r="F136" s="7">
        <f>IF('Per Invoice'!$U135="","",'Per Invoice'!O135)</f>
        <v/>
      </c>
      <c r="G136" s="7">
        <f>IF('Per Invoice'!$U135="","",'Per Invoice'!P135)</f>
        <v/>
      </c>
      <c r="H136" s="7">
        <f>IF('Per Invoice'!$U135="","",'Per Invoice'!L135)</f>
        <v/>
      </c>
      <c r="I136" s="7">
        <f>IF('Per Invoice'!$U135="","",'Per Invoice'!M135)</f>
        <v/>
      </c>
      <c r="K136" s="7">
        <f>IF('Per Invoice'!$U135="","",'Per Invoice'!S135)</f>
        <v/>
      </c>
      <c r="L136" s="7">
        <f>IF('Per Invoice'!$U135="","",'Per Invoice'!R135)</f>
        <v/>
      </c>
    </row>
    <row r="137">
      <c r="A137">
        <f>IF('Per Invoice'!$U136="","",ROWS($A$3:A137))</f>
        <v/>
      </c>
      <c r="B137" s="11">
        <f>IF('Per Invoice'!$U136="","",'Per Invoice'!I136)</f>
        <v/>
      </c>
      <c r="C137">
        <f>IF('Per Invoice'!$U136="","",'Per Invoice'!E136)</f>
        <v/>
      </c>
      <c r="D137">
        <f>IF('Per Invoice'!$U136="","",'Per Invoice'!D136)</f>
        <v/>
      </c>
      <c r="E137">
        <f>IF('Per Invoice'!$U136="","",'Per Invoice'!C136)</f>
        <v/>
      </c>
      <c r="F137" s="7">
        <f>IF('Per Invoice'!$U136="","",'Per Invoice'!O136)</f>
        <v/>
      </c>
      <c r="G137" s="7">
        <f>IF('Per Invoice'!$U136="","",'Per Invoice'!P136)</f>
        <v/>
      </c>
      <c r="H137" s="7">
        <f>IF('Per Invoice'!$U136="","",'Per Invoice'!L136)</f>
        <v/>
      </c>
      <c r="I137" s="7">
        <f>IF('Per Invoice'!$U136="","",'Per Invoice'!M136)</f>
        <v/>
      </c>
      <c r="K137" s="7">
        <f>IF('Per Invoice'!$U136="","",'Per Invoice'!S136)</f>
        <v/>
      </c>
      <c r="L137" s="7">
        <f>IF('Per Invoice'!$U136="","",'Per Invoice'!R136)</f>
        <v/>
      </c>
    </row>
    <row r="138">
      <c r="A138">
        <f>IF('Per Invoice'!$U137="","",ROWS($A$3:A138))</f>
        <v/>
      </c>
      <c r="B138" s="11">
        <f>IF('Per Invoice'!$U137="","",'Per Invoice'!I137)</f>
        <v/>
      </c>
      <c r="C138">
        <f>IF('Per Invoice'!$U137="","",'Per Invoice'!E137)</f>
        <v/>
      </c>
      <c r="D138">
        <f>IF('Per Invoice'!$U137="","",'Per Invoice'!D137)</f>
        <v/>
      </c>
      <c r="E138">
        <f>IF('Per Invoice'!$U137="","",'Per Invoice'!C137)</f>
        <v/>
      </c>
      <c r="F138" s="7">
        <f>IF('Per Invoice'!$U137="","",'Per Invoice'!O137)</f>
        <v/>
      </c>
      <c r="G138" s="7">
        <f>IF('Per Invoice'!$U137="","",'Per Invoice'!P137)</f>
        <v/>
      </c>
      <c r="H138" s="7">
        <f>IF('Per Invoice'!$U137="","",'Per Invoice'!L137)</f>
        <v/>
      </c>
      <c r="I138" s="7">
        <f>IF('Per Invoice'!$U137="","",'Per Invoice'!M137)</f>
        <v/>
      </c>
      <c r="K138" s="7">
        <f>IF('Per Invoice'!$U137="","",'Per Invoice'!S137)</f>
        <v/>
      </c>
      <c r="L138" s="7">
        <f>IF('Per Invoice'!$U137="","",'Per Invoice'!R137)</f>
        <v/>
      </c>
    </row>
    <row r="139">
      <c r="A139">
        <f>IF('Per Invoice'!$U138="","",ROWS($A$3:A139))</f>
        <v/>
      </c>
      <c r="B139" s="11">
        <f>IF('Per Invoice'!$U138="","",'Per Invoice'!I138)</f>
        <v/>
      </c>
      <c r="C139">
        <f>IF('Per Invoice'!$U138="","",'Per Invoice'!E138)</f>
        <v/>
      </c>
      <c r="D139">
        <f>IF('Per Invoice'!$U138="","",'Per Invoice'!D138)</f>
        <v/>
      </c>
      <c r="E139">
        <f>IF('Per Invoice'!$U138="","",'Per Invoice'!C138)</f>
        <v/>
      </c>
      <c r="F139" s="7">
        <f>IF('Per Invoice'!$U138="","",'Per Invoice'!O138)</f>
        <v/>
      </c>
      <c r="G139" s="7">
        <f>IF('Per Invoice'!$U138="","",'Per Invoice'!P138)</f>
        <v/>
      </c>
      <c r="H139" s="7">
        <f>IF('Per Invoice'!$U138="","",'Per Invoice'!L138)</f>
        <v/>
      </c>
      <c r="I139" s="7">
        <f>IF('Per Invoice'!$U138="","",'Per Invoice'!M138)</f>
        <v/>
      </c>
      <c r="K139" s="7">
        <f>IF('Per Invoice'!$U138="","",'Per Invoice'!S138)</f>
        <v/>
      </c>
      <c r="L139" s="7">
        <f>IF('Per Invoice'!$U138="","",'Per Invoice'!R138)</f>
        <v/>
      </c>
    </row>
    <row r="140">
      <c r="A140">
        <f>IF('Per Invoice'!$U139="","",ROWS($A$3:A140))</f>
        <v/>
      </c>
      <c r="B140" s="11">
        <f>IF('Per Invoice'!$U139="","",'Per Invoice'!I139)</f>
        <v/>
      </c>
      <c r="C140">
        <f>IF('Per Invoice'!$U139="","",'Per Invoice'!E139)</f>
        <v/>
      </c>
      <c r="D140">
        <f>IF('Per Invoice'!$U139="","",'Per Invoice'!D139)</f>
        <v/>
      </c>
      <c r="E140">
        <f>IF('Per Invoice'!$U139="","",'Per Invoice'!C139)</f>
        <v/>
      </c>
      <c r="F140" s="7">
        <f>IF('Per Invoice'!$U139="","",'Per Invoice'!O139)</f>
        <v/>
      </c>
      <c r="G140" s="7">
        <f>IF('Per Invoice'!$U139="","",'Per Invoice'!P139)</f>
        <v/>
      </c>
      <c r="H140" s="7">
        <f>IF('Per Invoice'!$U139="","",'Per Invoice'!L139)</f>
        <v/>
      </c>
      <c r="I140" s="7">
        <f>IF('Per Invoice'!$U139="","",'Per Invoice'!M139)</f>
        <v/>
      </c>
      <c r="K140" s="7">
        <f>IF('Per Invoice'!$U139="","",'Per Invoice'!S139)</f>
        <v/>
      </c>
      <c r="L140" s="7">
        <f>IF('Per Invoice'!$U139="","",'Per Invoice'!R139)</f>
        <v/>
      </c>
    </row>
    <row r="141">
      <c r="A141">
        <f>IF('Per Invoice'!$U140="","",ROWS($A$3:A141))</f>
        <v/>
      </c>
      <c r="B141" s="11">
        <f>IF('Per Invoice'!$U140="","",'Per Invoice'!I140)</f>
        <v/>
      </c>
      <c r="C141">
        <f>IF('Per Invoice'!$U140="","",'Per Invoice'!E140)</f>
        <v/>
      </c>
      <c r="D141">
        <f>IF('Per Invoice'!$U140="","",'Per Invoice'!D140)</f>
        <v/>
      </c>
      <c r="E141">
        <f>IF('Per Invoice'!$U140="","",'Per Invoice'!C140)</f>
        <v/>
      </c>
      <c r="F141" s="7">
        <f>IF('Per Invoice'!$U140="","",'Per Invoice'!O140)</f>
        <v/>
      </c>
      <c r="G141" s="7">
        <f>IF('Per Invoice'!$U140="","",'Per Invoice'!P140)</f>
        <v/>
      </c>
      <c r="H141" s="7">
        <f>IF('Per Invoice'!$U140="","",'Per Invoice'!L140)</f>
        <v/>
      </c>
      <c r="I141" s="7">
        <f>IF('Per Invoice'!$U140="","",'Per Invoice'!M140)</f>
        <v/>
      </c>
      <c r="K141" s="7">
        <f>IF('Per Invoice'!$U140="","",'Per Invoice'!S140)</f>
        <v/>
      </c>
      <c r="L141" s="7">
        <f>IF('Per Invoice'!$U140="","",'Per Invoice'!R140)</f>
        <v/>
      </c>
    </row>
    <row r="142">
      <c r="A142">
        <f>IF('Per Invoice'!$U141="","",ROWS($A$3:A142))</f>
        <v/>
      </c>
      <c r="B142" s="11">
        <f>IF('Per Invoice'!$U141="","",'Per Invoice'!I141)</f>
        <v/>
      </c>
      <c r="C142">
        <f>IF('Per Invoice'!$U141="","",'Per Invoice'!E141)</f>
        <v/>
      </c>
      <c r="D142">
        <f>IF('Per Invoice'!$U141="","",'Per Invoice'!D141)</f>
        <v/>
      </c>
      <c r="E142">
        <f>IF('Per Invoice'!$U141="","",'Per Invoice'!C141)</f>
        <v/>
      </c>
      <c r="F142" s="7">
        <f>IF('Per Invoice'!$U141="","",'Per Invoice'!O141)</f>
        <v/>
      </c>
      <c r="G142" s="7">
        <f>IF('Per Invoice'!$U141="","",'Per Invoice'!P141)</f>
        <v/>
      </c>
      <c r="H142" s="7">
        <f>IF('Per Invoice'!$U141="","",'Per Invoice'!L141)</f>
        <v/>
      </c>
      <c r="I142" s="7">
        <f>IF('Per Invoice'!$U141="","",'Per Invoice'!M141)</f>
        <v/>
      </c>
      <c r="K142" s="7">
        <f>IF('Per Invoice'!$U141="","",'Per Invoice'!S141)</f>
        <v/>
      </c>
      <c r="L142" s="7">
        <f>IF('Per Invoice'!$U141="","",'Per Invoice'!R141)</f>
        <v/>
      </c>
    </row>
    <row r="143">
      <c r="A143">
        <f>IF('Per Invoice'!$U142="","",ROWS($A$3:A143))</f>
        <v/>
      </c>
      <c r="B143" s="11">
        <f>IF('Per Invoice'!$U142="","",'Per Invoice'!I142)</f>
        <v/>
      </c>
      <c r="C143">
        <f>IF('Per Invoice'!$U142="","",'Per Invoice'!E142)</f>
        <v/>
      </c>
      <c r="D143">
        <f>IF('Per Invoice'!$U142="","",'Per Invoice'!D142)</f>
        <v/>
      </c>
      <c r="E143">
        <f>IF('Per Invoice'!$U142="","",'Per Invoice'!C142)</f>
        <v/>
      </c>
      <c r="F143" s="7">
        <f>IF('Per Invoice'!$U142="","",'Per Invoice'!O142)</f>
        <v/>
      </c>
      <c r="G143" s="7">
        <f>IF('Per Invoice'!$U142="","",'Per Invoice'!P142)</f>
        <v/>
      </c>
      <c r="H143" s="7">
        <f>IF('Per Invoice'!$U142="","",'Per Invoice'!L142)</f>
        <v/>
      </c>
      <c r="I143" s="7">
        <f>IF('Per Invoice'!$U142="","",'Per Invoice'!M142)</f>
        <v/>
      </c>
      <c r="K143" s="7">
        <f>IF('Per Invoice'!$U142="","",'Per Invoice'!S142)</f>
        <v/>
      </c>
      <c r="L143" s="7">
        <f>IF('Per Invoice'!$U142="","",'Per Invoice'!R142)</f>
        <v/>
      </c>
    </row>
    <row r="144">
      <c r="A144">
        <f>IF('Per Invoice'!$U143="","",ROWS($A$3:A144))</f>
        <v/>
      </c>
      <c r="B144" s="11">
        <f>IF('Per Invoice'!$U143="","",'Per Invoice'!I143)</f>
        <v/>
      </c>
      <c r="C144">
        <f>IF('Per Invoice'!$U143="","",'Per Invoice'!E143)</f>
        <v/>
      </c>
      <c r="D144">
        <f>IF('Per Invoice'!$U143="","",'Per Invoice'!D143)</f>
        <v/>
      </c>
      <c r="E144">
        <f>IF('Per Invoice'!$U143="","",'Per Invoice'!C143)</f>
        <v/>
      </c>
      <c r="F144" s="7">
        <f>IF('Per Invoice'!$U143="","",'Per Invoice'!O143)</f>
        <v/>
      </c>
      <c r="G144" s="7">
        <f>IF('Per Invoice'!$U143="","",'Per Invoice'!P143)</f>
        <v/>
      </c>
      <c r="H144" s="7">
        <f>IF('Per Invoice'!$U143="","",'Per Invoice'!L143)</f>
        <v/>
      </c>
      <c r="I144" s="7">
        <f>IF('Per Invoice'!$U143="","",'Per Invoice'!M143)</f>
        <v/>
      </c>
      <c r="K144" s="7">
        <f>IF('Per Invoice'!$U143="","",'Per Invoice'!S143)</f>
        <v/>
      </c>
      <c r="L144" s="7">
        <f>IF('Per Invoice'!$U143="","",'Per Invoice'!R143)</f>
        <v/>
      </c>
    </row>
    <row r="145">
      <c r="A145">
        <f>IF('Per Invoice'!$U144="","",ROWS($A$3:A145))</f>
        <v/>
      </c>
      <c r="B145" s="11">
        <f>IF('Per Invoice'!$U144="","",'Per Invoice'!I144)</f>
        <v/>
      </c>
      <c r="C145">
        <f>IF('Per Invoice'!$U144="","",'Per Invoice'!E144)</f>
        <v/>
      </c>
      <c r="D145">
        <f>IF('Per Invoice'!$U144="","",'Per Invoice'!D144)</f>
        <v/>
      </c>
      <c r="E145">
        <f>IF('Per Invoice'!$U144="","",'Per Invoice'!C144)</f>
        <v/>
      </c>
      <c r="F145" s="7">
        <f>IF('Per Invoice'!$U144="","",'Per Invoice'!O144)</f>
        <v/>
      </c>
      <c r="G145" s="7">
        <f>IF('Per Invoice'!$U144="","",'Per Invoice'!P144)</f>
        <v/>
      </c>
      <c r="H145" s="7">
        <f>IF('Per Invoice'!$U144="","",'Per Invoice'!L144)</f>
        <v/>
      </c>
      <c r="I145" s="7">
        <f>IF('Per Invoice'!$U144="","",'Per Invoice'!M144)</f>
        <v/>
      </c>
      <c r="K145" s="7">
        <f>IF('Per Invoice'!$U144="","",'Per Invoice'!S144)</f>
        <v/>
      </c>
      <c r="L145" s="7">
        <f>IF('Per Invoice'!$U144="","",'Per Invoice'!R144)</f>
        <v/>
      </c>
    </row>
    <row r="146">
      <c r="A146">
        <f>IF('Per Invoice'!$U145="","",ROWS($A$3:A146))</f>
        <v/>
      </c>
      <c r="B146" s="11">
        <f>IF('Per Invoice'!$U145="","",'Per Invoice'!I145)</f>
        <v/>
      </c>
      <c r="C146">
        <f>IF('Per Invoice'!$U145="","",'Per Invoice'!E145)</f>
        <v/>
      </c>
      <c r="D146">
        <f>IF('Per Invoice'!$U145="","",'Per Invoice'!D145)</f>
        <v/>
      </c>
      <c r="E146">
        <f>IF('Per Invoice'!$U145="","",'Per Invoice'!C145)</f>
        <v/>
      </c>
      <c r="F146" s="7">
        <f>IF('Per Invoice'!$U145="","",'Per Invoice'!O145)</f>
        <v/>
      </c>
      <c r="G146" s="7">
        <f>IF('Per Invoice'!$U145="","",'Per Invoice'!P145)</f>
        <v/>
      </c>
      <c r="H146" s="7">
        <f>IF('Per Invoice'!$U145="","",'Per Invoice'!L145)</f>
        <v/>
      </c>
      <c r="I146" s="7">
        <f>IF('Per Invoice'!$U145="","",'Per Invoice'!M145)</f>
        <v/>
      </c>
      <c r="K146" s="7">
        <f>IF('Per Invoice'!$U145="","",'Per Invoice'!S145)</f>
        <v/>
      </c>
      <c r="L146" s="7">
        <f>IF('Per Invoice'!$U145="","",'Per Invoice'!R145)</f>
        <v/>
      </c>
    </row>
    <row r="147">
      <c r="A147">
        <f>IF('Per Invoice'!$U146="","",ROWS($A$3:A147))</f>
        <v/>
      </c>
      <c r="B147" s="11">
        <f>IF('Per Invoice'!$U146="","",'Per Invoice'!I146)</f>
        <v/>
      </c>
      <c r="C147">
        <f>IF('Per Invoice'!$U146="","",'Per Invoice'!E146)</f>
        <v/>
      </c>
      <c r="D147">
        <f>IF('Per Invoice'!$U146="","",'Per Invoice'!D146)</f>
        <v/>
      </c>
      <c r="E147">
        <f>IF('Per Invoice'!$U146="","",'Per Invoice'!C146)</f>
        <v/>
      </c>
      <c r="F147" s="7">
        <f>IF('Per Invoice'!$U146="","",'Per Invoice'!O146)</f>
        <v/>
      </c>
      <c r="G147" s="7">
        <f>IF('Per Invoice'!$U146="","",'Per Invoice'!P146)</f>
        <v/>
      </c>
      <c r="H147" s="7">
        <f>IF('Per Invoice'!$U146="","",'Per Invoice'!L146)</f>
        <v/>
      </c>
      <c r="I147" s="7">
        <f>IF('Per Invoice'!$U146="","",'Per Invoice'!M146)</f>
        <v/>
      </c>
      <c r="K147" s="7">
        <f>IF('Per Invoice'!$U146="","",'Per Invoice'!S146)</f>
        <v/>
      </c>
      <c r="L147" s="7">
        <f>IF('Per Invoice'!$U146="","",'Per Invoice'!R146)</f>
        <v/>
      </c>
    </row>
    <row r="148">
      <c r="A148">
        <f>IF('Per Invoice'!$U147="","",ROWS($A$3:A148))</f>
        <v/>
      </c>
      <c r="B148" s="11">
        <f>IF('Per Invoice'!$U147="","",'Per Invoice'!I147)</f>
        <v/>
      </c>
      <c r="C148">
        <f>IF('Per Invoice'!$U147="","",'Per Invoice'!E147)</f>
        <v/>
      </c>
      <c r="D148">
        <f>IF('Per Invoice'!$U147="","",'Per Invoice'!D147)</f>
        <v/>
      </c>
      <c r="E148">
        <f>IF('Per Invoice'!$U147="","",'Per Invoice'!C147)</f>
        <v/>
      </c>
      <c r="F148" s="7">
        <f>IF('Per Invoice'!$U147="","",'Per Invoice'!O147)</f>
        <v/>
      </c>
      <c r="G148" s="7">
        <f>IF('Per Invoice'!$U147="","",'Per Invoice'!P147)</f>
        <v/>
      </c>
      <c r="H148" s="7">
        <f>IF('Per Invoice'!$U147="","",'Per Invoice'!L147)</f>
        <v/>
      </c>
      <c r="I148" s="7">
        <f>IF('Per Invoice'!$U147="","",'Per Invoice'!M147)</f>
        <v/>
      </c>
      <c r="K148" s="7">
        <f>IF('Per Invoice'!$U147="","",'Per Invoice'!S147)</f>
        <v/>
      </c>
      <c r="L148" s="7">
        <f>IF('Per Invoice'!$U147="","",'Per Invoice'!R147)</f>
        <v/>
      </c>
    </row>
    <row r="149">
      <c r="A149">
        <f>IF('Per Invoice'!$U148="","",ROWS($A$3:A149))</f>
        <v/>
      </c>
      <c r="B149" s="11">
        <f>IF('Per Invoice'!$U148="","",'Per Invoice'!I148)</f>
        <v/>
      </c>
      <c r="C149">
        <f>IF('Per Invoice'!$U148="","",'Per Invoice'!E148)</f>
        <v/>
      </c>
      <c r="D149">
        <f>IF('Per Invoice'!$U148="","",'Per Invoice'!D148)</f>
        <v/>
      </c>
      <c r="E149">
        <f>IF('Per Invoice'!$U148="","",'Per Invoice'!C148)</f>
        <v/>
      </c>
      <c r="F149" s="7">
        <f>IF('Per Invoice'!$U148="","",'Per Invoice'!O148)</f>
        <v/>
      </c>
      <c r="G149" s="7">
        <f>IF('Per Invoice'!$U148="","",'Per Invoice'!P148)</f>
        <v/>
      </c>
      <c r="H149" s="7">
        <f>IF('Per Invoice'!$U148="","",'Per Invoice'!L148)</f>
        <v/>
      </c>
      <c r="I149" s="7">
        <f>IF('Per Invoice'!$U148="","",'Per Invoice'!M148)</f>
        <v/>
      </c>
      <c r="K149" s="7">
        <f>IF('Per Invoice'!$U148="","",'Per Invoice'!S148)</f>
        <v/>
      </c>
      <c r="L149" s="7">
        <f>IF('Per Invoice'!$U148="","",'Per Invoice'!R148)</f>
        <v/>
      </c>
    </row>
    <row r="150">
      <c r="A150">
        <f>IF('Per Invoice'!$U149="","",ROWS($A$3:A150))</f>
        <v/>
      </c>
      <c r="B150" s="11">
        <f>IF('Per Invoice'!$U149="","",'Per Invoice'!I149)</f>
        <v/>
      </c>
      <c r="C150">
        <f>IF('Per Invoice'!$U149="","",'Per Invoice'!E149)</f>
        <v/>
      </c>
      <c r="D150">
        <f>IF('Per Invoice'!$U149="","",'Per Invoice'!D149)</f>
        <v/>
      </c>
      <c r="E150">
        <f>IF('Per Invoice'!$U149="","",'Per Invoice'!C149)</f>
        <v/>
      </c>
      <c r="F150" s="7">
        <f>IF('Per Invoice'!$U149="","",'Per Invoice'!O149)</f>
        <v/>
      </c>
      <c r="G150" s="7">
        <f>IF('Per Invoice'!$U149="","",'Per Invoice'!P149)</f>
        <v/>
      </c>
      <c r="H150" s="7">
        <f>IF('Per Invoice'!$U149="","",'Per Invoice'!L149)</f>
        <v/>
      </c>
      <c r="I150" s="7">
        <f>IF('Per Invoice'!$U149="","",'Per Invoice'!M149)</f>
        <v/>
      </c>
      <c r="K150" s="7">
        <f>IF('Per Invoice'!$U149="","",'Per Invoice'!S149)</f>
        <v/>
      </c>
      <c r="L150" s="7">
        <f>IF('Per Invoice'!$U149="","",'Per Invoice'!R149)</f>
        <v/>
      </c>
    </row>
    <row r="151">
      <c r="A151">
        <f>IF('Per Invoice'!$U150="","",ROWS($A$3:A151))</f>
        <v/>
      </c>
      <c r="B151" s="11">
        <f>IF('Per Invoice'!$U150="","",'Per Invoice'!I150)</f>
        <v/>
      </c>
      <c r="C151">
        <f>IF('Per Invoice'!$U150="","",'Per Invoice'!E150)</f>
        <v/>
      </c>
      <c r="D151">
        <f>IF('Per Invoice'!$U150="","",'Per Invoice'!D150)</f>
        <v/>
      </c>
      <c r="E151">
        <f>IF('Per Invoice'!$U150="","",'Per Invoice'!C150)</f>
        <v/>
      </c>
      <c r="F151" s="7">
        <f>IF('Per Invoice'!$U150="","",'Per Invoice'!O150)</f>
        <v/>
      </c>
      <c r="G151" s="7">
        <f>IF('Per Invoice'!$U150="","",'Per Invoice'!P150)</f>
        <v/>
      </c>
      <c r="H151" s="7">
        <f>IF('Per Invoice'!$U150="","",'Per Invoice'!L150)</f>
        <v/>
      </c>
      <c r="I151" s="7">
        <f>IF('Per Invoice'!$U150="","",'Per Invoice'!M150)</f>
        <v/>
      </c>
      <c r="K151" s="7">
        <f>IF('Per Invoice'!$U150="","",'Per Invoice'!S150)</f>
        <v/>
      </c>
      <c r="L151" s="7">
        <f>IF('Per Invoice'!$U150="","",'Per Invoice'!R150)</f>
        <v/>
      </c>
    </row>
    <row r="152">
      <c r="A152">
        <f>IF('Per Invoice'!$U151="","",ROWS($A$3:A152))</f>
        <v/>
      </c>
      <c r="B152" s="11">
        <f>IF('Per Invoice'!$U151="","",'Per Invoice'!I151)</f>
        <v/>
      </c>
      <c r="C152">
        <f>IF('Per Invoice'!$U151="","",'Per Invoice'!E151)</f>
        <v/>
      </c>
      <c r="D152">
        <f>IF('Per Invoice'!$U151="","",'Per Invoice'!D151)</f>
        <v/>
      </c>
      <c r="E152">
        <f>IF('Per Invoice'!$U151="","",'Per Invoice'!C151)</f>
        <v/>
      </c>
      <c r="F152" s="7">
        <f>IF('Per Invoice'!$U151="","",'Per Invoice'!O151)</f>
        <v/>
      </c>
      <c r="G152" s="7">
        <f>IF('Per Invoice'!$U151="","",'Per Invoice'!P151)</f>
        <v/>
      </c>
      <c r="H152" s="7">
        <f>IF('Per Invoice'!$U151="","",'Per Invoice'!L151)</f>
        <v/>
      </c>
      <c r="I152" s="7">
        <f>IF('Per Invoice'!$U151="","",'Per Invoice'!M151)</f>
        <v/>
      </c>
      <c r="K152" s="7">
        <f>IF('Per Invoice'!$U151="","",'Per Invoice'!S151)</f>
        <v/>
      </c>
      <c r="L152" s="7">
        <f>IF('Per Invoice'!$U151="","",'Per Invoice'!R151)</f>
        <v/>
      </c>
    </row>
    <row r="153">
      <c r="A153">
        <f>IF('Per Invoice'!$U152="","",ROWS($A$3:A153))</f>
        <v/>
      </c>
      <c r="B153" s="11">
        <f>IF('Per Invoice'!$U152="","",'Per Invoice'!I152)</f>
        <v/>
      </c>
      <c r="C153">
        <f>IF('Per Invoice'!$U152="","",'Per Invoice'!E152)</f>
        <v/>
      </c>
      <c r="D153">
        <f>IF('Per Invoice'!$U152="","",'Per Invoice'!D152)</f>
        <v/>
      </c>
      <c r="E153">
        <f>IF('Per Invoice'!$U152="","",'Per Invoice'!C152)</f>
        <v/>
      </c>
      <c r="F153" s="7">
        <f>IF('Per Invoice'!$U152="","",'Per Invoice'!O152)</f>
        <v/>
      </c>
      <c r="G153" s="7">
        <f>IF('Per Invoice'!$U152="","",'Per Invoice'!P152)</f>
        <v/>
      </c>
      <c r="H153" s="7">
        <f>IF('Per Invoice'!$U152="","",'Per Invoice'!L152)</f>
        <v/>
      </c>
      <c r="I153" s="7">
        <f>IF('Per Invoice'!$U152="","",'Per Invoice'!M152)</f>
        <v/>
      </c>
      <c r="K153" s="7">
        <f>IF('Per Invoice'!$U152="","",'Per Invoice'!S152)</f>
        <v/>
      </c>
      <c r="L153" s="7">
        <f>IF('Per Invoice'!$U152="","",'Per Invoice'!R152)</f>
        <v/>
      </c>
    </row>
    <row r="154">
      <c r="A154">
        <f>IF('Per Invoice'!$U153="","",ROWS($A$3:A154))</f>
        <v/>
      </c>
      <c r="B154" s="11">
        <f>IF('Per Invoice'!$U153="","",'Per Invoice'!I153)</f>
        <v/>
      </c>
      <c r="C154">
        <f>IF('Per Invoice'!$U153="","",'Per Invoice'!E153)</f>
        <v/>
      </c>
      <c r="D154">
        <f>IF('Per Invoice'!$U153="","",'Per Invoice'!D153)</f>
        <v/>
      </c>
      <c r="E154">
        <f>IF('Per Invoice'!$U153="","",'Per Invoice'!C153)</f>
        <v/>
      </c>
      <c r="F154" s="7">
        <f>IF('Per Invoice'!$U153="","",'Per Invoice'!O153)</f>
        <v/>
      </c>
      <c r="G154" s="7">
        <f>IF('Per Invoice'!$U153="","",'Per Invoice'!P153)</f>
        <v/>
      </c>
      <c r="H154" s="7">
        <f>IF('Per Invoice'!$U153="","",'Per Invoice'!L153)</f>
        <v/>
      </c>
      <c r="I154" s="7">
        <f>IF('Per Invoice'!$U153="","",'Per Invoice'!M153)</f>
        <v/>
      </c>
      <c r="K154" s="7">
        <f>IF('Per Invoice'!$U153="","",'Per Invoice'!S153)</f>
        <v/>
      </c>
      <c r="L154" s="7">
        <f>IF('Per Invoice'!$U153="","",'Per Invoice'!R153)</f>
        <v/>
      </c>
    </row>
    <row r="155">
      <c r="A155">
        <f>IF('Per Invoice'!$U154="","",ROWS($A$3:A155))</f>
        <v/>
      </c>
      <c r="B155" s="11">
        <f>IF('Per Invoice'!$U154="","",'Per Invoice'!I154)</f>
        <v/>
      </c>
      <c r="C155">
        <f>IF('Per Invoice'!$U154="","",'Per Invoice'!E154)</f>
        <v/>
      </c>
      <c r="D155">
        <f>IF('Per Invoice'!$U154="","",'Per Invoice'!D154)</f>
        <v/>
      </c>
      <c r="E155">
        <f>IF('Per Invoice'!$U154="","",'Per Invoice'!C154)</f>
        <v/>
      </c>
      <c r="F155" s="7">
        <f>IF('Per Invoice'!$U154="","",'Per Invoice'!O154)</f>
        <v/>
      </c>
      <c r="G155" s="7">
        <f>IF('Per Invoice'!$U154="","",'Per Invoice'!P154)</f>
        <v/>
      </c>
      <c r="H155" s="7">
        <f>IF('Per Invoice'!$U154="","",'Per Invoice'!L154)</f>
        <v/>
      </c>
      <c r="I155" s="7">
        <f>IF('Per Invoice'!$U154="","",'Per Invoice'!M154)</f>
        <v/>
      </c>
      <c r="K155" s="7">
        <f>IF('Per Invoice'!$U154="","",'Per Invoice'!S154)</f>
        <v/>
      </c>
      <c r="L155" s="7">
        <f>IF('Per Invoice'!$U154="","",'Per Invoice'!R154)</f>
        <v/>
      </c>
    </row>
    <row r="156">
      <c r="A156">
        <f>IF('Per Invoice'!$U155="","",ROWS($A$3:A156))</f>
        <v/>
      </c>
      <c r="B156" s="11">
        <f>IF('Per Invoice'!$U155="","",'Per Invoice'!I155)</f>
        <v/>
      </c>
      <c r="C156">
        <f>IF('Per Invoice'!$U155="","",'Per Invoice'!E155)</f>
        <v/>
      </c>
      <c r="D156">
        <f>IF('Per Invoice'!$U155="","",'Per Invoice'!D155)</f>
        <v/>
      </c>
      <c r="E156">
        <f>IF('Per Invoice'!$U155="","",'Per Invoice'!C155)</f>
        <v/>
      </c>
      <c r="F156" s="7">
        <f>IF('Per Invoice'!$U155="","",'Per Invoice'!O155)</f>
        <v/>
      </c>
      <c r="G156" s="7">
        <f>IF('Per Invoice'!$U155="","",'Per Invoice'!P155)</f>
        <v/>
      </c>
      <c r="H156" s="7">
        <f>IF('Per Invoice'!$U155="","",'Per Invoice'!L155)</f>
        <v/>
      </c>
      <c r="I156" s="7">
        <f>IF('Per Invoice'!$U155="","",'Per Invoice'!M155)</f>
        <v/>
      </c>
      <c r="K156" s="7">
        <f>IF('Per Invoice'!$U155="","",'Per Invoice'!S155)</f>
        <v/>
      </c>
      <c r="L156" s="7">
        <f>IF('Per Invoice'!$U155="","",'Per Invoice'!R155)</f>
        <v/>
      </c>
    </row>
    <row r="157">
      <c r="A157">
        <f>IF('Per Invoice'!$U156="","",ROWS($A$3:A157))</f>
        <v/>
      </c>
      <c r="B157" s="11">
        <f>IF('Per Invoice'!$U156="","",'Per Invoice'!I156)</f>
        <v/>
      </c>
      <c r="C157">
        <f>IF('Per Invoice'!$U156="","",'Per Invoice'!E156)</f>
        <v/>
      </c>
      <c r="D157">
        <f>IF('Per Invoice'!$U156="","",'Per Invoice'!D156)</f>
        <v/>
      </c>
      <c r="E157">
        <f>IF('Per Invoice'!$U156="","",'Per Invoice'!C156)</f>
        <v/>
      </c>
      <c r="F157" s="7">
        <f>IF('Per Invoice'!$U156="","",'Per Invoice'!O156)</f>
        <v/>
      </c>
      <c r="G157" s="7">
        <f>IF('Per Invoice'!$U156="","",'Per Invoice'!P156)</f>
        <v/>
      </c>
      <c r="H157" s="7">
        <f>IF('Per Invoice'!$U156="","",'Per Invoice'!L156)</f>
        <v/>
      </c>
      <c r="I157" s="7">
        <f>IF('Per Invoice'!$U156="","",'Per Invoice'!M156)</f>
        <v/>
      </c>
      <c r="K157" s="7">
        <f>IF('Per Invoice'!$U156="","",'Per Invoice'!S156)</f>
        <v/>
      </c>
      <c r="L157" s="7">
        <f>IF('Per Invoice'!$U156="","",'Per Invoice'!R156)</f>
        <v/>
      </c>
    </row>
    <row r="158">
      <c r="A158">
        <f>IF('Per Invoice'!$U157="","",ROWS($A$3:A158))</f>
        <v/>
      </c>
      <c r="B158" s="11">
        <f>IF('Per Invoice'!$U157="","",'Per Invoice'!I157)</f>
        <v/>
      </c>
      <c r="C158">
        <f>IF('Per Invoice'!$U157="","",'Per Invoice'!E157)</f>
        <v/>
      </c>
      <c r="D158">
        <f>IF('Per Invoice'!$U157="","",'Per Invoice'!D157)</f>
        <v/>
      </c>
      <c r="E158">
        <f>IF('Per Invoice'!$U157="","",'Per Invoice'!C157)</f>
        <v/>
      </c>
      <c r="F158" s="7">
        <f>IF('Per Invoice'!$U157="","",'Per Invoice'!O157)</f>
        <v/>
      </c>
      <c r="G158" s="7">
        <f>IF('Per Invoice'!$U157="","",'Per Invoice'!P157)</f>
        <v/>
      </c>
      <c r="H158" s="7">
        <f>IF('Per Invoice'!$U157="","",'Per Invoice'!L157)</f>
        <v/>
      </c>
      <c r="I158" s="7">
        <f>IF('Per Invoice'!$U157="","",'Per Invoice'!M157)</f>
        <v/>
      </c>
      <c r="K158" s="7">
        <f>IF('Per Invoice'!$U157="","",'Per Invoice'!S157)</f>
        <v/>
      </c>
      <c r="L158" s="7">
        <f>IF('Per Invoice'!$U157="","",'Per Invoice'!R157)</f>
        <v/>
      </c>
    </row>
    <row r="159">
      <c r="A159">
        <f>IF('Per Invoice'!$U158="","",ROWS($A$3:A159))</f>
        <v/>
      </c>
      <c r="B159" s="11">
        <f>IF('Per Invoice'!$U158="","",'Per Invoice'!I158)</f>
        <v/>
      </c>
      <c r="C159">
        <f>IF('Per Invoice'!$U158="","",'Per Invoice'!E158)</f>
        <v/>
      </c>
      <c r="D159">
        <f>IF('Per Invoice'!$U158="","",'Per Invoice'!D158)</f>
        <v/>
      </c>
      <c r="E159">
        <f>IF('Per Invoice'!$U158="","",'Per Invoice'!C158)</f>
        <v/>
      </c>
      <c r="F159" s="7">
        <f>IF('Per Invoice'!$U158="","",'Per Invoice'!O158)</f>
        <v/>
      </c>
      <c r="G159" s="7">
        <f>IF('Per Invoice'!$U158="","",'Per Invoice'!P158)</f>
        <v/>
      </c>
      <c r="H159" s="7">
        <f>IF('Per Invoice'!$U158="","",'Per Invoice'!L158)</f>
        <v/>
      </c>
      <c r="I159" s="7">
        <f>IF('Per Invoice'!$U158="","",'Per Invoice'!M158)</f>
        <v/>
      </c>
      <c r="K159" s="7">
        <f>IF('Per Invoice'!$U158="","",'Per Invoice'!S158)</f>
        <v/>
      </c>
      <c r="L159" s="7">
        <f>IF('Per Invoice'!$U158="","",'Per Invoice'!R158)</f>
        <v/>
      </c>
    </row>
    <row r="160">
      <c r="A160">
        <f>IF('Per Invoice'!$U159="","",ROWS($A$3:A160))</f>
        <v/>
      </c>
      <c r="B160" s="11">
        <f>IF('Per Invoice'!$U159="","",'Per Invoice'!I159)</f>
        <v/>
      </c>
      <c r="C160">
        <f>IF('Per Invoice'!$U159="","",'Per Invoice'!E159)</f>
        <v/>
      </c>
      <c r="D160">
        <f>IF('Per Invoice'!$U159="","",'Per Invoice'!D159)</f>
        <v/>
      </c>
      <c r="E160">
        <f>IF('Per Invoice'!$U159="","",'Per Invoice'!C159)</f>
        <v/>
      </c>
      <c r="F160" s="7">
        <f>IF('Per Invoice'!$U159="","",'Per Invoice'!O159)</f>
        <v/>
      </c>
      <c r="G160" s="7">
        <f>IF('Per Invoice'!$U159="","",'Per Invoice'!P159)</f>
        <v/>
      </c>
      <c r="H160" s="7">
        <f>IF('Per Invoice'!$U159="","",'Per Invoice'!L159)</f>
        <v/>
      </c>
      <c r="I160" s="7">
        <f>IF('Per Invoice'!$U159="","",'Per Invoice'!M159)</f>
        <v/>
      </c>
      <c r="K160" s="7">
        <f>IF('Per Invoice'!$U159="","",'Per Invoice'!S159)</f>
        <v/>
      </c>
      <c r="L160" s="7">
        <f>IF('Per Invoice'!$U159="","",'Per Invoice'!R159)</f>
        <v/>
      </c>
    </row>
    <row r="161">
      <c r="A161">
        <f>IF('Per Invoice'!$U160="","",ROWS($A$3:A161))</f>
        <v/>
      </c>
      <c r="B161" s="11">
        <f>IF('Per Invoice'!$U160="","",'Per Invoice'!I160)</f>
        <v/>
      </c>
      <c r="C161">
        <f>IF('Per Invoice'!$U160="","",'Per Invoice'!E160)</f>
        <v/>
      </c>
      <c r="D161">
        <f>IF('Per Invoice'!$U160="","",'Per Invoice'!D160)</f>
        <v/>
      </c>
      <c r="E161">
        <f>IF('Per Invoice'!$U160="","",'Per Invoice'!C160)</f>
        <v/>
      </c>
      <c r="F161" s="7">
        <f>IF('Per Invoice'!$U160="","",'Per Invoice'!O160)</f>
        <v/>
      </c>
      <c r="G161" s="7">
        <f>IF('Per Invoice'!$U160="","",'Per Invoice'!P160)</f>
        <v/>
      </c>
      <c r="H161" s="7">
        <f>IF('Per Invoice'!$U160="","",'Per Invoice'!L160)</f>
        <v/>
      </c>
      <c r="I161" s="7">
        <f>IF('Per Invoice'!$U160="","",'Per Invoice'!M160)</f>
        <v/>
      </c>
      <c r="K161" s="7">
        <f>IF('Per Invoice'!$U160="","",'Per Invoice'!S160)</f>
        <v/>
      </c>
      <c r="L161" s="7">
        <f>IF('Per Invoice'!$U160="","",'Per Invoice'!R160)</f>
        <v/>
      </c>
    </row>
    <row r="162">
      <c r="A162">
        <f>IF('Per Invoice'!$U161="","",ROWS($A$3:A162))</f>
        <v/>
      </c>
      <c r="B162" s="11">
        <f>IF('Per Invoice'!$U161="","",'Per Invoice'!I161)</f>
        <v/>
      </c>
      <c r="C162">
        <f>IF('Per Invoice'!$U161="","",'Per Invoice'!E161)</f>
        <v/>
      </c>
      <c r="D162">
        <f>IF('Per Invoice'!$U161="","",'Per Invoice'!D161)</f>
        <v/>
      </c>
      <c r="E162">
        <f>IF('Per Invoice'!$U161="","",'Per Invoice'!C161)</f>
        <v/>
      </c>
      <c r="F162" s="7">
        <f>IF('Per Invoice'!$U161="","",'Per Invoice'!O161)</f>
        <v/>
      </c>
      <c r="G162" s="7">
        <f>IF('Per Invoice'!$U161="","",'Per Invoice'!P161)</f>
        <v/>
      </c>
      <c r="H162" s="7">
        <f>IF('Per Invoice'!$U161="","",'Per Invoice'!L161)</f>
        <v/>
      </c>
      <c r="I162" s="7">
        <f>IF('Per Invoice'!$U161="","",'Per Invoice'!M161)</f>
        <v/>
      </c>
      <c r="K162" s="7">
        <f>IF('Per Invoice'!$U161="","",'Per Invoice'!S161)</f>
        <v/>
      </c>
      <c r="L162" s="7">
        <f>IF('Per Invoice'!$U161="","",'Per Invoice'!R161)</f>
        <v/>
      </c>
    </row>
    <row r="163">
      <c r="A163">
        <f>IF('Per Invoice'!$U162="","",ROWS($A$3:A163))</f>
        <v/>
      </c>
      <c r="B163" s="11">
        <f>IF('Per Invoice'!$U162="","",'Per Invoice'!I162)</f>
        <v/>
      </c>
      <c r="C163">
        <f>IF('Per Invoice'!$U162="","",'Per Invoice'!E162)</f>
        <v/>
      </c>
      <c r="D163">
        <f>IF('Per Invoice'!$U162="","",'Per Invoice'!D162)</f>
        <v/>
      </c>
      <c r="E163">
        <f>IF('Per Invoice'!$U162="","",'Per Invoice'!C162)</f>
        <v/>
      </c>
      <c r="F163" s="7">
        <f>IF('Per Invoice'!$U162="","",'Per Invoice'!O162)</f>
        <v/>
      </c>
      <c r="G163" s="7">
        <f>IF('Per Invoice'!$U162="","",'Per Invoice'!P162)</f>
        <v/>
      </c>
      <c r="H163" s="7">
        <f>IF('Per Invoice'!$U162="","",'Per Invoice'!L162)</f>
        <v/>
      </c>
      <c r="I163" s="7">
        <f>IF('Per Invoice'!$U162="","",'Per Invoice'!M162)</f>
        <v/>
      </c>
      <c r="K163" s="7">
        <f>IF('Per Invoice'!$U162="","",'Per Invoice'!S162)</f>
        <v/>
      </c>
      <c r="L163" s="7">
        <f>IF('Per Invoice'!$U162="","",'Per Invoice'!R162)</f>
        <v/>
      </c>
    </row>
    <row r="164">
      <c r="A164">
        <f>IF('Per Invoice'!$U163="","",ROWS($A$3:A164))</f>
        <v/>
      </c>
      <c r="B164" s="11">
        <f>IF('Per Invoice'!$U163="","",'Per Invoice'!I163)</f>
        <v/>
      </c>
      <c r="C164">
        <f>IF('Per Invoice'!$U163="","",'Per Invoice'!E163)</f>
        <v/>
      </c>
      <c r="D164">
        <f>IF('Per Invoice'!$U163="","",'Per Invoice'!D163)</f>
        <v/>
      </c>
      <c r="E164">
        <f>IF('Per Invoice'!$U163="","",'Per Invoice'!C163)</f>
        <v/>
      </c>
      <c r="F164" s="7">
        <f>IF('Per Invoice'!$U163="","",'Per Invoice'!O163)</f>
        <v/>
      </c>
      <c r="G164" s="7">
        <f>IF('Per Invoice'!$U163="","",'Per Invoice'!P163)</f>
        <v/>
      </c>
      <c r="H164" s="7">
        <f>IF('Per Invoice'!$U163="","",'Per Invoice'!L163)</f>
        <v/>
      </c>
      <c r="I164" s="7">
        <f>IF('Per Invoice'!$U163="","",'Per Invoice'!M163)</f>
        <v/>
      </c>
      <c r="K164" s="7">
        <f>IF('Per Invoice'!$U163="","",'Per Invoice'!S163)</f>
        <v/>
      </c>
      <c r="L164" s="7">
        <f>IF('Per Invoice'!$U163="","",'Per Invoice'!R163)</f>
        <v/>
      </c>
    </row>
    <row r="165">
      <c r="A165">
        <f>IF('Per Invoice'!$U164="","",ROWS($A$3:A165))</f>
        <v/>
      </c>
      <c r="B165" s="11">
        <f>IF('Per Invoice'!$U164="","",'Per Invoice'!I164)</f>
        <v/>
      </c>
      <c r="C165">
        <f>IF('Per Invoice'!$U164="","",'Per Invoice'!E164)</f>
        <v/>
      </c>
      <c r="D165">
        <f>IF('Per Invoice'!$U164="","",'Per Invoice'!D164)</f>
        <v/>
      </c>
      <c r="E165">
        <f>IF('Per Invoice'!$U164="","",'Per Invoice'!C164)</f>
        <v/>
      </c>
      <c r="F165" s="7">
        <f>IF('Per Invoice'!$U164="","",'Per Invoice'!O164)</f>
        <v/>
      </c>
      <c r="G165" s="7">
        <f>IF('Per Invoice'!$U164="","",'Per Invoice'!P164)</f>
        <v/>
      </c>
      <c r="H165" s="7">
        <f>IF('Per Invoice'!$U164="","",'Per Invoice'!L164)</f>
        <v/>
      </c>
      <c r="I165" s="7">
        <f>IF('Per Invoice'!$U164="","",'Per Invoice'!M164)</f>
        <v/>
      </c>
      <c r="K165" s="7">
        <f>IF('Per Invoice'!$U164="","",'Per Invoice'!S164)</f>
        <v/>
      </c>
      <c r="L165" s="7">
        <f>IF('Per Invoice'!$U164="","",'Per Invoice'!R164)</f>
        <v/>
      </c>
    </row>
    <row r="166">
      <c r="A166">
        <f>IF('Per Invoice'!$U165="","",ROWS($A$3:A166))</f>
        <v/>
      </c>
      <c r="B166" s="11">
        <f>IF('Per Invoice'!$U165="","",'Per Invoice'!I165)</f>
        <v/>
      </c>
      <c r="C166">
        <f>IF('Per Invoice'!$U165="","",'Per Invoice'!E165)</f>
        <v/>
      </c>
      <c r="D166">
        <f>IF('Per Invoice'!$U165="","",'Per Invoice'!D165)</f>
        <v/>
      </c>
      <c r="E166">
        <f>IF('Per Invoice'!$U165="","",'Per Invoice'!C165)</f>
        <v/>
      </c>
      <c r="F166" s="7">
        <f>IF('Per Invoice'!$U165="","",'Per Invoice'!O165)</f>
        <v/>
      </c>
      <c r="G166" s="7">
        <f>IF('Per Invoice'!$U165="","",'Per Invoice'!P165)</f>
        <v/>
      </c>
      <c r="H166" s="7">
        <f>IF('Per Invoice'!$U165="","",'Per Invoice'!L165)</f>
        <v/>
      </c>
      <c r="I166" s="7">
        <f>IF('Per Invoice'!$U165="","",'Per Invoice'!M165)</f>
        <v/>
      </c>
      <c r="K166" s="7">
        <f>IF('Per Invoice'!$U165="","",'Per Invoice'!S165)</f>
        <v/>
      </c>
      <c r="L166" s="7">
        <f>IF('Per Invoice'!$U165="","",'Per Invoice'!R165)</f>
        <v/>
      </c>
    </row>
    <row r="167">
      <c r="A167">
        <f>IF('Per Invoice'!$U166="","",ROWS($A$3:A167))</f>
        <v/>
      </c>
      <c r="B167" s="11">
        <f>IF('Per Invoice'!$U166="","",'Per Invoice'!I166)</f>
        <v/>
      </c>
      <c r="C167">
        <f>IF('Per Invoice'!$U166="","",'Per Invoice'!E166)</f>
        <v/>
      </c>
      <c r="D167">
        <f>IF('Per Invoice'!$U166="","",'Per Invoice'!D166)</f>
        <v/>
      </c>
      <c r="E167">
        <f>IF('Per Invoice'!$U166="","",'Per Invoice'!C166)</f>
        <v/>
      </c>
      <c r="F167" s="7">
        <f>IF('Per Invoice'!$U166="","",'Per Invoice'!O166)</f>
        <v/>
      </c>
      <c r="G167" s="7">
        <f>IF('Per Invoice'!$U166="","",'Per Invoice'!P166)</f>
        <v/>
      </c>
      <c r="H167" s="7">
        <f>IF('Per Invoice'!$U166="","",'Per Invoice'!L166)</f>
        <v/>
      </c>
      <c r="I167" s="7">
        <f>IF('Per Invoice'!$U166="","",'Per Invoice'!M166)</f>
        <v/>
      </c>
      <c r="K167" s="7">
        <f>IF('Per Invoice'!$U166="","",'Per Invoice'!S166)</f>
        <v/>
      </c>
      <c r="L167" s="7">
        <f>IF('Per Invoice'!$U166="","",'Per Invoice'!R166)</f>
        <v/>
      </c>
    </row>
    <row r="168">
      <c r="A168">
        <f>IF('Per Invoice'!$U167="","",ROWS($A$3:A168))</f>
        <v/>
      </c>
      <c r="B168" s="11">
        <f>IF('Per Invoice'!$U167="","",'Per Invoice'!I167)</f>
        <v/>
      </c>
      <c r="C168">
        <f>IF('Per Invoice'!$U167="","",'Per Invoice'!E167)</f>
        <v/>
      </c>
      <c r="D168">
        <f>IF('Per Invoice'!$U167="","",'Per Invoice'!D167)</f>
        <v/>
      </c>
      <c r="E168">
        <f>IF('Per Invoice'!$U167="","",'Per Invoice'!C167)</f>
        <v/>
      </c>
      <c r="F168" s="7">
        <f>IF('Per Invoice'!$U167="","",'Per Invoice'!O167)</f>
        <v/>
      </c>
      <c r="G168" s="7">
        <f>IF('Per Invoice'!$U167="","",'Per Invoice'!P167)</f>
        <v/>
      </c>
      <c r="H168" s="7">
        <f>IF('Per Invoice'!$U167="","",'Per Invoice'!L167)</f>
        <v/>
      </c>
      <c r="I168" s="7">
        <f>IF('Per Invoice'!$U167="","",'Per Invoice'!M167)</f>
        <v/>
      </c>
      <c r="K168" s="7">
        <f>IF('Per Invoice'!$U167="","",'Per Invoice'!S167)</f>
        <v/>
      </c>
      <c r="L168" s="7">
        <f>IF('Per Invoice'!$U167="","",'Per Invoice'!R167)</f>
        <v/>
      </c>
    </row>
    <row r="169">
      <c r="A169">
        <f>IF('Per Invoice'!$U168="","",ROWS($A$3:A169))</f>
        <v/>
      </c>
      <c r="B169" s="11">
        <f>IF('Per Invoice'!$U168="","",'Per Invoice'!I168)</f>
        <v/>
      </c>
      <c r="C169">
        <f>IF('Per Invoice'!$U168="","",'Per Invoice'!E168)</f>
        <v/>
      </c>
      <c r="D169">
        <f>IF('Per Invoice'!$U168="","",'Per Invoice'!D168)</f>
        <v/>
      </c>
      <c r="E169">
        <f>IF('Per Invoice'!$U168="","",'Per Invoice'!C168)</f>
        <v/>
      </c>
      <c r="F169" s="7">
        <f>IF('Per Invoice'!$U168="","",'Per Invoice'!O168)</f>
        <v/>
      </c>
      <c r="G169" s="7">
        <f>IF('Per Invoice'!$U168="","",'Per Invoice'!P168)</f>
        <v/>
      </c>
      <c r="H169" s="7">
        <f>IF('Per Invoice'!$U168="","",'Per Invoice'!L168)</f>
        <v/>
      </c>
      <c r="I169" s="7">
        <f>IF('Per Invoice'!$U168="","",'Per Invoice'!M168)</f>
        <v/>
      </c>
      <c r="K169" s="7">
        <f>IF('Per Invoice'!$U168="","",'Per Invoice'!S168)</f>
        <v/>
      </c>
      <c r="L169" s="7">
        <f>IF('Per Invoice'!$U168="","",'Per Invoice'!R168)</f>
        <v/>
      </c>
    </row>
    <row r="170">
      <c r="A170">
        <f>IF('Per Invoice'!$U169="","",ROWS($A$3:A170))</f>
        <v/>
      </c>
      <c r="B170" s="11">
        <f>IF('Per Invoice'!$U169="","",'Per Invoice'!I169)</f>
        <v/>
      </c>
      <c r="C170">
        <f>IF('Per Invoice'!$U169="","",'Per Invoice'!E169)</f>
        <v/>
      </c>
      <c r="D170">
        <f>IF('Per Invoice'!$U169="","",'Per Invoice'!D169)</f>
        <v/>
      </c>
      <c r="E170">
        <f>IF('Per Invoice'!$U169="","",'Per Invoice'!C169)</f>
        <v/>
      </c>
      <c r="F170" s="7">
        <f>IF('Per Invoice'!$U169="","",'Per Invoice'!O169)</f>
        <v/>
      </c>
      <c r="G170" s="7">
        <f>IF('Per Invoice'!$U169="","",'Per Invoice'!P169)</f>
        <v/>
      </c>
      <c r="H170" s="7">
        <f>IF('Per Invoice'!$U169="","",'Per Invoice'!L169)</f>
        <v/>
      </c>
      <c r="I170" s="7">
        <f>IF('Per Invoice'!$U169="","",'Per Invoice'!M169)</f>
        <v/>
      </c>
      <c r="K170" s="7">
        <f>IF('Per Invoice'!$U169="","",'Per Invoice'!S169)</f>
        <v/>
      </c>
      <c r="L170" s="7">
        <f>IF('Per Invoice'!$U169="","",'Per Invoice'!R169)</f>
        <v/>
      </c>
    </row>
    <row r="171">
      <c r="A171">
        <f>IF('Per Invoice'!$U170="","",ROWS($A$3:A171))</f>
        <v/>
      </c>
      <c r="B171" s="11">
        <f>IF('Per Invoice'!$U170="","",'Per Invoice'!I170)</f>
        <v/>
      </c>
      <c r="C171">
        <f>IF('Per Invoice'!$U170="","",'Per Invoice'!E170)</f>
        <v/>
      </c>
      <c r="D171">
        <f>IF('Per Invoice'!$U170="","",'Per Invoice'!D170)</f>
        <v/>
      </c>
      <c r="E171">
        <f>IF('Per Invoice'!$U170="","",'Per Invoice'!C170)</f>
        <v/>
      </c>
      <c r="F171" s="7">
        <f>IF('Per Invoice'!$U170="","",'Per Invoice'!O170)</f>
        <v/>
      </c>
      <c r="G171" s="7">
        <f>IF('Per Invoice'!$U170="","",'Per Invoice'!P170)</f>
        <v/>
      </c>
      <c r="H171" s="7">
        <f>IF('Per Invoice'!$U170="","",'Per Invoice'!L170)</f>
        <v/>
      </c>
      <c r="I171" s="7">
        <f>IF('Per Invoice'!$U170="","",'Per Invoice'!M170)</f>
        <v/>
      </c>
      <c r="K171" s="7">
        <f>IF('Per Invoice'!$U170="","",'Per Invoice'!S170)</f>
        <v/>
      </c>
      <c r="L171" s="7">
        <f>IF('Per Invoice'!$U170="","",'Per Invoice'!R170)</f>
        <v/>
      </c>
    </row>
    <row r="172">
      <c r="A172">
        <f>IF('Per Invoice'!$U171="","",ROWS($A$3:A172))</f>
        <v/>
      </c>
      <c r="B172" s="11">
        <f>IF('Per Invoice'!$U171="","",'Per Invoice'!I171)</f>
        <v/>
      </c>
      <c r="C172">
        <f>IF('Per Invoice'!$U171="","",'Per Invoice'!E171)</f>
        <v/>
      </c>
      <c r="D172">
        <f>IF('Per Invoice'!$U171="","",'Per Invoice'!D171)</f>
        <v/>
      </c>
      <c r="E172">
        <f>IF('Per Invoice'!$U171="","",'Per Invoice'!C171)</f>
        <v/>
      </c>
      <c r="F172" s="7">
        <f>IF('Per Invoice'!$U171="","",'Per Invoice'!O171)</f>
        <v/>
      </c>
      <c r="G172" s="7">
        <f>IF('Per Invoice'!$U171="","",'Per Invoice'!P171)</f>
        <v/>
      </c>
      <c r="H172" s="7">
        <f>IF('Per Invoice'!$U171="","",'Per Invoice'!L171)</f>
        <v/>
      </c>
      <c r="I172" s="7">
        <f>IF('Per Invoice'!$U171="","",'Per Invoice'!M171)</f>
        <v/>
      </c>
      <c r="K172" s="7">
        <f>IF('Per Invoice'!$U171="","",'Per Invoice'!S171)</f>
        <v/>
      </c>
      <c r="L172" s="7">
        <f>IF('Per Invoice'!$U171="","",'Per Invoice'!R171)</f>
        <v/>
      </c>
    </row>
    <row r="173">
      <c r="A173">
        <f>IF('Per Invoice'!$U172="","",ROWS($A$3:A173))</f>
        <v/>
      </c>
      <c r="B173" s="11">
        <f>IF('Per Invoice'!$U172="","",'Per Invoice'!I172)</f>
        <v/>
      </c>
      <c r="C173">
        <f>IF('Per Invoice'!$U172="","",'Per Invoice'!E172)</f>
        <v/>
      </c>
      <c r="D173">
        <f>IF('Per Invoice'!$U172="","",'Per Invoice'!D172)</f>
        <v/>
      </c>
      <c r="E173">
        <f>IF('Per Invoice'!$U172="","",'Per Invoice'!C172)</f>
        <v/>
      </c>
      <c r="F173" s="7">
        <f>IF('Per Invoice'!$U172="","",'Per Invoice'!O172)</f>
        <v/>
      </c>
      <c r="G173" s="7">
        <f>IF('Per Invoice'!$U172="","",'Per Invoice'!P172)</f>
        <v/>
      </c>
      <c r="H173" s="7">
        <f>IF('Per Invoice'!$U172="","",'Per Invoice'!L172)</f>
        <v/>
      </c>
      <c r="I173" s="7">
        <f>IF('Per Invoice'!$U172="","",'Per Invoice'!M172)</f>
        <v/>
      </c>
      <c r="K173" s="7">
        <f>IF('Per Invoice'!$U172="","",'Per Invoice'!S172)</f>
        <v/>
      </c>
      <c r="L173" s="7">
        <f>IF('Per Invoice'!$U172="","",'Per Invoice'!R172)</f>
        <v/>
      </c>
    </row>
    <row r="174">
      <c r="A174">
        <f>IF('Per Invoice'!$U173="","",ROWS($A$3:A174))</f>
        <v/>
      </c>
      <c r="B174" s="11">
        <f>IF('Per Invoice'!$U173="","",'Per Invoice'!I173)</f>
        <v/>
      </c>
      <c r="C174">
        <f>IF('Per Invoice'!$U173="","",'Per Invoice'!E173)</f>
        <v/>
      </c>
      <c r="D174">
        <f>IF('Per Invoice'!$U173="","",'Per Invoice'!D173)</f>
        <v/>
      </c>
      <c r="E174">
        <f>IF('Per Invoice'!$U173="","",'Per Invoice'!C173)</f>
        <v/>
      </c>
      <c r="F174" s="7">
        <f>IF('Per Invoice'!$U173="","",'Per Invoice'!O173)</f>
        <v/>
      </c>
      <c r="G174" s="7">
        <f>IF('Per Invoice'!$U173="","",'Per Invoice'!P173)</f>
        <v/>
      </c>
      <c r="H174" s="7">
        <f>IF('Per Invoice'!$U173="","",'Per Invoice'!L173)</f>
        <v/>
      </c>
      <c r="I174" s="7">
        <f>IF('Per Invoice'!$U173="","",'Per Invoice'!M173)</f>
        <v/>
      </c>
      <c r="K174" s="7">
        <f>IF('Per Invoice'!$U173="","",'Per Invoice'!S173)</f>
        <v/>
      </c>
      <c r="L174" s="7">
        <f>IF('Per Invoice'!$U173="","",'Per Invoice'!R173)</f>
        <v/>
      </c>
    </row>
    <row r="175">
      <c r="A175">
        <f>IF('Per Invoice'!$U174="","",ROWS($A$3:A175))</f>
        <v/>
      </c>
      <c r="B175" s="11">
        <f>IF('Per Invoice'!$U174="","",'Per Invoice'!I174)</f>
        <v/>
      </c>
      <c r="C175">
        <f>IF('Per Invoice'!$U174="","",'Per Invoice'!E174)</f>
        <v/>
      </c>
      <c r="D175">
        <f>IF('Per Invoice'!$U174="","",'Per Invoice'!D174)</f>
        <v/>
      </c>
      <c r="E175">
        <f>IF('Per Invoice'!$U174="","",'Per Invoice'!C174)</f>
        <v/>
      </c>
      <c r="F175" s="7">
        <f>IF('Per Invoice'!$U174="","",'Per Invoice'!O174)</f>
        <v/>
      </c>
      <c r="G175" s="7">
        <f>IF('Per Invoice'!$U174="","",'Per Invoice'!P174)</f>
        <v/>
      </c>
      <c r="H175" s="7">
        <f>IF('Per Invoice'!$U174="","",'Per Invoice'!L174)</f>
        <v/>
      </c>
      <c r="I175" s="7">
        <f>IF('Per Invoice'!$U174="","",'Per Invoice'!M174)</f>
        <v/>
      </c>
      <c r="K175" s="7">
        <f>IF('Per Invoice'!$U174="","",'Per Invoice'!S174)</f>
        <v/>
      </c>
      <c r="L175" s="7">
        <f>IF('Per Invoice'!$U174="","",'Per Invoice'!R174)</f>
        <v/>
      </c>
    </row>
    <row r="176">
      <c r="A176">
        <f>IF('Per Invoice'!$U175="","",ROWS($A$3:A176))</f>
        <v/>
      </c>
      <c r="B176" s="11">
        <f>IF('Per Invoice'!$U175="","",'Per Invoice'!I175)</f>
        <v/>
      </c>
      <c r="C176">
        <f>IF('Per Invoice'!$U175="","",'Per Invoice'!E175)</f>
        <v/>
      </c>
      <c r="D176">
        <f>IF('Per Invoice'!$U175="","",'Per Invoice'!D175)</f>
        <v/>
      </c>
      <c r="E176">
        <f>IF('Per Invoice'!$U175="","",'Per Invoice'!C175)</f>
        <v/>
      </c>
      <c r="F176" s="7">
        <f>IF('Per Invoice'!$U175="","",'Per Invoice'!O175)</f>
        <v/>
      </c>
      <c r="G176" s="7">
        <f>IF('Per Invoice'!$U175="","",'Per Invoice'!P175)</f>
        <v/>
      </c>
      <c r="H176" s="7">
        <f>IF('Per Invoice'!$U175="","",'Per Invoice'!L175)</f>
        <v/>
      </c>
      <c r="I176" s="7">
        <f>IF('Per Invoice'!$U175="","",'Per Invoice'!M175)</f>
        <v/>
      </c>
      <c r="K176" s="7">
        <f>IF('Per Invoice'!$U175="","",'Per Invoice'!S175)</f>
        <v/>
      </c>
      <c r="L176" s="7">
        <f>IF('Per Invoice'!$U175="","",'Per Invoice'!R175)</f>
        <v/>
      </c>
    </row>
    <row r="177">
      <c r="A177">
        <f>IF('Per Invoice'!$U176="","",ROWS($A$3:A177))</f>
        <v/>
      </c>
      <c r="B177" s="11">
        <f>IF('Per Invoice'!$U176="","",'Per Invoice'!I176)</f>
        <v/>
      </c>
      <c r="C177">
        <f>IF('Per Invoice'!$U176="","",'Per Invoice'!E176)</f>
        <v/>
      </c>
      <c r="D177">
        <f>IF('Per Invoice'!$U176="","",'Per Invoice'!D176)</f>
        <v/>
      </c>
      <c r="E177">
        <f>IF('Per Invoice'!$U176="","",'Per Invoice'!C176)</f>
        <v/>
      </c>
      <c r="F177" s="7">
        <f>IF('Per Invoice'!$U176="","",'Per Invoice'!O176)</f>
        <v/>
      </c>
      <c r="G177" s="7">
        <f>IF('Per Invoice'!$U176="","",'Per Invoice'!P176)</f>
        <v/>
      </c>
      <c r="H177" s="7">
        <f>IF('Per Invoice'!$U176="","",'Per Invoice'!L176)</f>
        <v/>
      </c>
      <c r="I177" s="7">
        <f>IF('Per Invoice'!$U176="","",'Per Invoice'!M176)</f>
        <v/>
      </c>
      <c r="K177" s="7">
        <f>IF('Per Invoice'!$U176="","",'Per Invoice'!S176)</f>
        <v/>
      </c>
      <c r="L177" s="7">
        <f>IF('Per Invoice'!$U176="","",'Per Invoice'!R176)</f>
        <v/>
      </c>
    </row>
    <row r="178">
      <c r="A178">
        <f>IF('Per Invoice'!$U177="","",ROWS($A$3:A178))</f>
        <v/>
      </c>
      <c r="B178" s="11">
        <f>IF('Per Invoice'!$U177="","",'Per Invoice'!I177)</f>
        <v/>
      </c>
      <c r="C178">
        <f>IF('Per Invoice'!$U177="","",'Per Invoice'!E177)</f>
        <v/>
      </c>
      <c r="D178">
        <f>IF('Per Invoice'!$U177="","",'Per Invoice'!D177)</f>
        <v/>
      </c>
      <c r="E178">
        <f>IF('Per Invoice'!$U177="","",'Per Invoice'!C177)</f>
        <v/>
      </c>
      <c r="F178" s="7">
        <f>IF('Per Invoice'!$U177="","",'Per Invoice'!O177)</f>
        <v/>
      </c>
      <c r="G178" s="7">
        <f>IF('Per Invoice'!$U177="","",'Per Invoice'!P177)</f>
        <v/>
      </c>
      <c r="H178" s="7">
        <f>IF('Per Invoice'!$U177="","",'Per Invoice'!L177)</f>
        <v/>
      </c>
      <c r="I178" s="7">
        <f>IF('Per Invoice'!$U177="","",'Per Invoice'!M177)</f>
        <v/>
      </c>
      <c r="K178" s="7">
        <f>IF('Per Invoice'!$U177="","",'Per Invoice'!S177)</f>
        <v/>
      </c>
      <c r="L178" s="7">
        <f>IF('Per Invoice'!$U177="","",'Per Invoice'!R177)</f>
        <v/>
      </c>
    </row>
    <row r="179">
      <c r="A179">
        <f>IF('Per Invoice'!$U178="","",ROWS($A$3:A179))</f>
        <v/>
      </c>
      <c r="B179" s="11">
        <f>IF('Per Invoice'!$U178="","",'Per Invoice'!I178)</f>
        <v/>
      </c>
      <c r="C179">
        <f>IF('Per Invoice'!$U178="","",'Per Invoice'!E178)</f>
        <v/>
      </c>
      <c r="D179">
        <f>IF('Per Invoice'!$U178="","",'Per Invoice'!D178)</f>
        <v/>
      </c>
      <c r="E179">
        <f>IF('Per Invoice'!$U178="","",'Per Invoice'!C178)</f>
        <v/>
      </c>
      <c r="F179" s="7">
        <f>IF('Per Invoice'!$U178="","",'Per Invoice'!O178)</f>
        <v/>
      </c>
      <c r="G179" s="7">
        <f>IF('Per Invoice'!$U178="","",'Per Invoice'!P178)</f>
        <v/>
      </c>
      <c r="H179" s="7">
        <f>IF('Per Invoice'!$U178="","",'Per Invoice'!L178)</f>
        <v/>
      </c>
      <c r="I179" s="7">
        <f>IF('Per Invoice'!$U178="","",'Per Invoice'!M178)</f>
        <v/>
      </c>
      <c r="K179" s="7">
        <f>IF('Per Invoice'!$U178="","",'Per Invoice'!S178)</f>
        <v/>
      </c>
      <c r="L179" s="7">
        <f>IF('Per Invoice'!$U178="","",'Per Invoice'!R178)</f>
        <v/>
      </c>
    </row>
    <row r="180">
      <c r="A180">
        <f>IF('Per Invoice'!$U179="","",ROWS($A$3:A180))</f>
        <v/>
      </c>
      <c r="B180" s="11">
        <f>IF('Per Invoice'!$U179="","",'Per Invoice'!I179)</f>
        <v/>
      </c>
      <c r="C180">
        <f>IF('Per Invoice'!$U179="","",'Per Invoice'!E179)</f>
        <v/>
      </c>
      <c r="D180">
        <f>IF('Per Invoice'!$U179="","",'Per Invoice'!D179)</f>
        <v/>
      </c>
      <c r="E180">
        <f>IF('Per Invoice'!$U179="","",'Per Invoice'!C179)</f>
        <v/>
      </c>
      <c r="F180" s="7">
        <f>IF('Per Invoice'!$U179="","",'Per Invoice'!O179)</f>
        <v/>
      </c>
      <c r="G180" s="7">
        <f>IF('Per Invoice'!$U179="","",'Per Invoice'!P179)</f>
        <v/>
      </c>
      <c r="H180" s="7">
        <f>IF('Per Invoice'!$U179="","",'Per Invoice'!L179)</f>
        <v/>
      </c>
      <c r="I180" s="7">
        <f>IF('Per Invoice'!$U179="","",'Per Invoice'!M179)</f>
        <v/>
      </c>
      <c r="K180" s="7">
        <f>IF('Per Invoice'!$U179="","",'Per Invoice'!S179)</f>
        <v/>
      </c>
      <c r="L180" s="7">
        <f>IF('Per Invoice'!$U179="","",'Per Invoice'!R179)</f>
        <v/>
      </c>
    </row>
    <row r="181">
      <c r="A181">
        <f>IF('Per Invoice'!$U180="","",ROWS($A$3:A181))</f>
        <v/>
      </c>
      <c r="B181" s="11">
        <f>IF('Per Invoice'!$U180="","",'Per Invoice'!I180)</f>
        <v/>
      </c>
      <c r="C181">
        <f>IF('Per Invoice'!$U180="","",'Per Invoice'!E180)</f>
        <v/>
      </c>
      <c r="D181">
        <f>IF('Per Invoice'!$U180="","",'Per Invoice'!D180)</f>
        <v/>
      </c>
      <c r="E181">
        <f>IF('Per Invoice'!$U180="","",'Per Invoice'!C180)</f>
        <v/>
      </c>
      <c r="F181" s="7">
        <f>IF('Per Invoice'!$U180="","",'Per Invoice'!O180)</f>
        <v/>
      </c>
      <c r="G181" s="7">
        <f>IF('Per Invoice'!$U180="","",'Per Invoice'!P180)</f>
        <v/>
      </c>
      <c r="H181" s="7">
        <f>IF('Per Invoice'!$U180="","",'Per Invoice'!L180)</f>
        <v/>
      </c>
      <c r="I181" s="7">
        <f>IF('Per Invoice'!$U180="","",'Per Invoice'!M180)</f>
        <v/>
      </c>
      <c r="K181" s="7">
        <f>IF('Per Invoice'!$U180="","",'Per Invoice'!S180)</f>
        <v/>
      </c>
      <c r="L181" s="7">
        <f>IF('Per Invoice'!$U180="","",'Per Invoice'!R180)</f>
        <v/>
      </c>
    </row>
    <row r="182">
      <c r="A182">
        <f>IF('Per Invoice'!$U181="","",ROWS($A$3:A182))</f>
        <v/>
      </c>
      <c r="B182" s="11">
        <f>IF('Per Invoice'!$U181="","",'Per Invoice'!I181)</f>
        <v/>
      </c>
      <c r="C182">
        <f>IF('Per Invoice'!$U181="","",'Per Invoice'!E181)</f>
        <v/>
      </c>
      <c r="D182">
        <f>IF('Per Invoice'!$U181="","",'Per Invoice'!D181)</f>
        <v/>
      </c>
      <c r="E182">
        <f>IF('Per Invoice'!$U181="","",'Per Invoice'!C181)</f>
        <v/>
      </c>
      <c r="F182" s="7">
        <f>IF('Per Invoice'!$U181="","",'Per Invoice'!O181)</f>
        <v/>
      </c>
      <c r="G182" s="7">
        <f>IF('Per Invoice'!$U181="","",'Per Invoice'!P181)</f>
        <v/>
      </c>
      <c r="H182" s="7">
        <f>IF('Per Invoice'!$U181="","",'Per Invoice'!L181)</f>
        <v/>
      </c>
      <c r="I182" s="7">
        <f>IF('Per Invoice'!$U181="","",'Per Invoice'!M181)</f>
        <v/>
      </c>
      <c r="K182" s="7">
        <f>IF('Per Invoice'!$U181="","",'Per Invoice'!S181)</f>
        <v/>
      </c>
      <c r="L182" s="7">
        <f>IF('Per Invoice'!$U181="","",'Per Invoice'!R181)</f>
        <v/>
      </c>
    </row>
    <row r="183">
      <c r="A183">
        <f>IF('Per Invoice'!$U182="","",ROWS($A$3:A183))</f>
        <v/>
      </c>
      <c r="B183" s="11">
        <f>IF('Per Invoice'!$U182="","",'Per Invoice'!I182)</f>
        <v/>
      </c>
      <c r="C183">
        <f>IF('Per Invoice'!$U182="","",'Per Invoice'!E182)</f>
        <v/>
      </c>
      <c r="D183">
        <f>IF('Per Invoice'!$U182="","",'Per Invoice'!D182)</f>
        <v/>
      </c>
      <c r="E183">
        <f>IF('Per Invoice'!$U182="","",'Per Invoice'!C182)</f>
        <v/>
      </c>
      <c r="F183" s="7">
        <f>IF('Per Invoice'!$U182="","",'Per Invoice'!O182)</f>
        <v/>
      </c>
      <c r="G183" s="7">
        <f>IF('Per Invoice'!$U182="","",'Per Invoice'!P182)</f>
        <v/>
      </c>
      <c r="H183" s="7">
        <f>IF('Per Invoice'!$U182="","",'Per Invoice'!L182)</f>
        <v/>
      </c>
      <c r="I183" s="7">
        <f>IF('Per Invoice'!$U182="","",'Per Invoice'!M182)</f>
        <v/>
      </c>
      <c r="K183" s="7">
        <f>IF('Per Invoice'!$U182="","",'Per Invoice'!S182)</f>
        <v/>
      </c>
      <c r="L183" s="7">
        <f>IF('Per Invoice'!$U182="","",'Per Invoice'!R182)</f>
        <v/>
      </c>
    </row>
    <row r="184">
      <c r="A184">
        <f>IF('Per Invoice'!$U183="","",ROWS($A$3:A184))</f>
        <v/>
      </c>
      <c r="B184" s="11">
        <f>IF('Per Invoice'!$U183="","",'Per Invoice'!I183)</f>
        <v/>
      </c>
      <c r="C184">
        <f>IF('Per Invoice'!$U183="","",'Per Invoice'!E183)</f>
        <v/>
      </c>
      <c r="D184">
        <f>IF('Per Invoice'!$U183="","",'Per Invoice'!D183)</f>
        <v/>
      </c>
      <c r="E184">
        <f>IF('Per Invoice'!$U183="","",'Per Invoice'!C183)</f>
        <v/>
      </c>
      <c r="F184" s="7">
        <f>IF('Per Invoice'!$U183="","",'Per Invoice'!O183)</f>
        <v/>
      </c>
      <c r="G184" s="7">
        <f>IF('Per Invoice'!$U183="","",'Per Invoice'!P183)</f>
        <v/>
      </c>
      <c r="H184" s="7">
        <f>IF('Per Invoice'!$U183="","",'Per Invoice'!L183)</f>
        <v/>
      </c>
      <c r="I184" s="7">
        <f>IF('Per Invoice'!$U183="","",'Per Invoice'!M183)</f>
        <v/>
      </c>
      <c r="K184" s="7">
        <f>IF('Per Invoice'!$U183="","",'Per Invoice'!S183)</f>
        <v/>
      </c>
      <c r="L184" s="7">
        <f>IF('Per Invoice'!$U183="","",'Per Invoice'!R183)</f>
        <v/>
      </c>
    </row>
    <row r="185">
      <c r="A185">
        <f>IF('Per Invoice'!$U184="","",ROWS($A$3:A185))</f>
        <v/>
      </c>
      <c r="B185" s="11">
        <f>IF('Per Invoice'!$U184="","",'Per Invoice'!I184)</f>
        <v/>
      </c>
      <c r="C185">
        <f>IF('Per Invoice'!$U184="","",'Per Invoice'!E184)</f>
        <v/>
      </c>
      <c r="D185">
        <f>IF('Per Invoice'!$U184="","",'Per Invoice'!D184)</f>
        <v/>
      </c>
      <c r="E185">
        <f>IF('Per Invoice'!$U184="","",'Per Invoice'!C184)</f>
        <v/>
      </c>
      <c r="F185" s="7">
        <f>IF('Per Invoice'!$U184="","",'Per Invoice'!O184)</f>
        <v/>
      </c>
      <c r="G185" s="7">
        <f>IF('Per Invoice'!$U184="","",'Per Invoice'!P184)</f>
        <v/>
      </c>
      <c r="H185" s="7">
        <f>IF('Per Invoice'!$U184="","",'Per Invoice'!L184)</f>
        <v/>
      </c>
      <c r="I185" s="7">
        <f>IF('Per Invoice'!$U184="","",'Per Invoice'!M184)</f>
        <v/>
      </c>
      <c r="K185" s="7">
        <f>IF('Per Invoice'!$U184="","",'Per Invoice'!S184)</f>
        <v/>
      </c>
      <c r="L185" s="7">
        <f>IF('Per Invoice'!$U184="","",'Per Invoice'!R184)</f>
        <v/>
      </c>
    </row>
    <row r="186">
      <c r="A186">
        <f>IF('Per Invoice'!$U185="","",ROWS($A$3:A186))</f>
        <v/>
      </c>
      <c r="B186" s="11">
        <f>IF('Per Invoice'!$U185="","",'Per Invoice'!I185)</f>
        <v/>
      </c>
      <c r="C186">
        <f>IF('Per Invoice'!$U185="","",'Per Invoice'!E185)</f>
        <v/>
      </c>
      <c r="D186">
        <f>IF('Per Invoice'!$U185="","",'Per Invoice'!D185)</f>
        <v/>
      </c>
      <c r="E186">
        <f>IF('Per Invoice'!$U185="","",'Per Invoice'!C185)</f>
        <v/>
      </c>
      <c r="F186" s="7">
        <f>IF('Per Invoice'!$U185="","",'Per Invoice'!O185)</f>
        <v/>
      </c>
      <c r="G186" s="7">
        <f>IF('Per Invoice'!$U185="","",'Per Invoice'!P185)</f>
        <v/>
      </c>
      <c r="H186" s="7">
        <f>IF('Per Invoice'!$U185="","",'Per Invoice'!L185)</f>
        <v/>
      </c>
      <c r="I186" s="7">
        <f>IF('Per Invoice'!$U185="","",'Per Invoice'!M185)</f>
        <v/>
      </c>
      <c r="K186" s="7">
        <f>IF('Per Invoice'!$U185="","",'Per Invoice'!S185)</f>
        <v/>
      </c>
      <c r="L186" s="7">
        <f>IF('Per Invoice'!$U185="","",'Per Invoice'!R185)</f>
        <v/>
      </c>
    </row>
    <row r="187">
      <c r="A187">
        <f>IF('Per Invoice'!$U186="","",ROWS($A$3:A187))</f>
        <v/>
      </c>
      <c r="B187" s="11">
        <f>IF('Per Invoice'!$U186="","",'Per Invoice'!I186)</f>
        <v/>
      </c>
      <c r="C187">
        <f>IF('Per Invoice'!$U186="","",'Per Invoice'!E186)</f>
        <v/>
      </c>
      <c r="D187">
        <f>IF('Per Invoice'!$U186="","",'Per Invoice'!D186)</f>
        <v/>
      </c>
      <c r="E187">
        <f>IF('Per Invoice'!$U186="","",'Per Invoice'!C186)</f>
        <v/>
      </c>
      <c r="F187" s="7">
        <f>IF('Per Invoice'!$U186="","",'Per Invoice'!O186)</f>
        <v/>
      </c>
      <c r="G187" s="7">
        <f>IF('Per Invoice'!$U186="","",'Per Invoice'!P186)</f>
        <v/>
      </c>
      <c r="H187" s="7">
        <f>IF('Per Invoice'!$U186="","",'Per Invoice'!L186)</f>
        <v/>
      </c>
      <c r="I187" s="7">
        <f>IF('Per Invoice'!$U186="","",'Per Invoice'!M186)</f>
        <v/>
      </c>
      <c r="K187" s="7">
        <f>IF('Per Invoice'!$U186="","",'Per Invoice'!S186)</f>
        <v/>
      </c>
      <c r="L187" s="7">
        <f>IF('Per Invoice'!$U186="","",'Per Invoice'!R186)</f>
        <v/>
      </c>
    </row>
    <row r="188">
      <c r="A188">
        <f>IF('Per Invoice'!$U187="","",ROWS($A$3:A188))</f>
        <v/>
      </c>
      <c r="B188" s="11">
        <f>IF('Per Invoice'!$U187="","",'Per Invoice'!I187)</f>
        <v/>
      </c>
      <c r="C188">
        <f>IF('Per Invoice'!$U187="","",'Per Invoice'!E187)</f>
        <v/>
      </c>
      <c r="D188">
        <f>IF('Per Invoice'!$U187="","",'Per Invoice'!D187)</f>
        <v/>
      </c>
      <c r="E188">
        <f>IF('Per Invoice'!$U187="","",'Per Invoice'!C187)</f>
        <v/>
      </c>
      <c r="F188" s="7">
        <f>IF('Per Invoice'!$U187="","",'Per Invoice'!O187)</f>
        <v/>
      </c>
      <c r="G188" s="7">
        <f>IF('Per Invoice'!$U187="","",'Per Invoice'!P187)</f>
        <v/>
      </c>
      <c r="H188" s="7">
        <f>IF('Per Invoice'!$U187="","",'Per Invoice'!L187)</f>
        <v/>
      </c>
      <c r="I188" s="7">
        <f>IF('Per Invoice'!$U187="","",'Per Invoice'!M187)</f>
        <v/>
      </c>
      <c r="K188" s="7">
        <f>IF('Per Invoice'!$U187="","",'Per Invoice'!S187)</f>
        <v/>
      </c>
      <c r="L188" s="7">
        <f>IF('Per Invoice'!$U187="","",'Per Invoice'!R187)</f>
        <v/>
      </c>
    </row>
    <row r="189">
      <c r="A189">
        <f>IF('Per Invoice'!$U188="","",ROWS($A$3:A189))</f>
        <v/>
      </c>
      <c r="B189" s="11">
        <f>IF('Per Invoice'!$U188="","",'Per Invoice'!I188)</f>
        <v/>
      </c>
      <c r="C189">
        <f>IF('Per Invoice'!$U188="","",'Per Invoice'!E188)</f>
        <v/>
      </c>
      <c r="D189">
        <f>IF('Per Invoice'!$U188="","",'Per Invoice'!D188)</f>
        <v/>
      </c>
      <c r="E189">
        <f>IF('Per Invoice'!$U188="","",'Per Invoice'!C188)</f>
        <v/>
      </c>
      <c r="F189" s="7">
        <f>IF('Per Invoice'!$U188="","",'Per Invoice'!O188)</f>
        <v/>
      </c>
      <c r="G189" s="7">
        <f>IF('Per Invoice'!$U188="","",'Per Invoice'!P188)</f>
        <v/>
      </c>
      <c r="H189" s="7">
        <f>IF('Per Invoice'!$U188="","",'Per Invoice'!L188)</f>
        <v/>
      </c>
      <c r="I189" s="7">
        <f>IF('Per Invoice'!$U188="","",'Per Invoice'!M188)</f>
        <v/>
      </c>
      <c r="K189" s="7">
        <f>IF('Per Invoice'!$U188="","",'Per Invoice'!S188)</f>
        <v/>
      </c>
      <c r="L189" s="7">
        <f>IF('Per Invoice'!$U188="","",'Per Invoice'!R188)</f>
        <v/>
      </c>
    </row>
    <row r="190">
      <c r="A190">
        <f>IF('Per Invoice'!$U189="","",ROWS($A$3:A190))</f>
        <v/>
      </c>
      <c r="B190" s="11">
        <f>IF('Per Invoice'!$U189="","",'Per Invoice'!I189)</f>
        <v/>
      </c>
      <c r="C190">
        <f>IF('Per Invoice'!$U189="","",'Per Invoice'!E189)</f>
        <v/>
      </c>
      <c r="D190">
        <f>IF('Per Invoice'!$U189="","",'Per Invoice'!D189)</f>
        <v/>
      </c>
      <c r="E190">
        <f>IF('Per Invoice'!$U189="","",'Per Invoice'!C189)</f>
        <v/>
      </c>
      <c r="F190" s="7">
        <f>IF('Per Invoice'!$U189="","",'Per Invoice'!O189)</f>
        <v/>
      </c>
      <c r="G190" s="7">
        <f>IF('Per Invoice'!$U189="","",'Per Invoice'!P189)</f>
        <v/>
      </c>
      <c r="H190" s="7">
        <f>IF('Per Invoice'!$U189="","",'Per Invoice'!L189)</f>
        <v/>
      </c>
      <c r="I190" s="7">
        <f>IF('Per Invoice'!$U189="","",'Per Invoice'!M189)</f>
        <v/>
      </c>
      <c r="K190" s="7">
        <f>IF('Per Invoice'!$U189="","",'Per Invoice'!S189)</f>
        <v/>
      </c>
      <c r="L190" s="7">
        <f>IF('Per Invoice'!$U189="","",'Per Invoice'!R189)</f>
        <v/>
      </c>
    </row>
    <row r="191">
      <c r="A191">
        <f>IF('Per Invoice'!$U190="","",ROWS($A$3:A191))</f>
        <v/>
      </c>
      <c r="B191" s="11">
        <f>IF('Per Invoice'!$U190="","",'Per Invoice'!I190)</f>
        <v/>
      </c>
      <c r="C191">
        <f>IF('Per Invoice'!$U190="","",'Per Invoice'!E190)</f>
        <v/>
      </c>
      <c r="D191">
        <f>IF('Per Invoice'!$U190="","",'Per Invoice'!D190)</f>
        <v/>
      </c>
      <c r="E191">
        <f>IF('Per Invoice'!$U190="","",'Per Invoice'!C190)</f>
        <v/>
      </c>
      <c r="F191" s="7">
        <f>IF('Per Invoice'!$U190="","",'Per Invoice'!O190)</f>
        <v/>
      </c>
      <c r="G191" s="7">
        <f>IF('Per Invoice'!$U190="","",'Per Invoice'!P190)</f>
        <v/>
      </c>
      <c r="H191" s="7">
        <f>IF('Per Invoice'!$U190="","",'Per Invoice'!L190)</f>
        <v/>
      </c>
      <c r="I191" s="7">
        <f>IF('Per Invoice'!$U190="","",'Per Invoice'!M190)</f>
        <v/>
      </c>
      <c r="K191" s="7">
        <f>IF('Per Invoice'!$U190="","",'Per Invoice'!S190)</f>
        <v/>
      </c>
      <c r="L191" s="7">
        <f>IF('Per Invoice'!$U190="","",'Per Invoice'!R190)</f>
        <v/>
      </c>
    </row>
    <row r="192">
      <c r="A192">
        <f>IF('Per Invoice'!$U191="","",ROWS($A$3:A192))</f>
        <v/>
      </c>
      <c r="B192" s="11">
        <f>IF('Per Invoice'!$U191="","",'Per Invoice'!I191)</f>
        <v/>
      </c>
      <c r="C192">
        <f>IF('Per Invoice'!$U191="","",'Per Invoice'!E191)</f>
        <v/>
      </c>
      <c r="D192">
        <f>IF('Per Invoice'!$U191="","",'Per Invoice'!D191)</f>
        <v/>
      </c>
      <c r="E192">
        <f>IF('Per Invoice'!$U191="","",'Per Invoice'!C191)</f>
        <v/>
      </c>
      <c r="F192" s="7">
        <f>IF('Per Invoice'!$U191="","",'Per Invoice'!O191)</f>
        <v/>
      </c>
      <c r="G192" s="7">
        <f>IF('Per Invoice'!$U191="","",'Per Invoice'!P191)</f>
        <v/>
      </c>
      <c r="H192" s="7">
        <f>IF('Per Invoice'!$U191="","",'Per Invoice'!L191)</f>
        <v/>
      </c>
      <c r="I192" s="7">
        <f>IF('Per Invoice'!$U191="","",'Per Invoice'!M191)</f>
        <v/>
      </c>
      <c r="K192" s="7">
        <f>IF('Per Invoice'!$U191="","",'Per Invoice'!S191)</f>
        <v/>
      </c>
      <c r="L192" s="7">
        <f>IF('Per Invoice'!$U191="","",'Per Invoice'!R191)</f>
        <v/>
      </c>
    </row>
    <row r="193">
      <c r="A193">
        <f>IF('Per Invoice'!$U192="","",ROWS($A$3:A193))</f>
        <v/>
      </c>
      <c r="B193" s="11">
        <f>IF('Per Invoice'!$U192="","",'Per Invoice'!I192)</f>
        <v/>
      </c>
      <c r="C193">
        <f>IF('Per Invoice'!$U192="","",'Per Invoice'!E192)</f>
        <v/>
      </c>
      <c r="D193">
        <f>IF('Per Invoice'!$U192="","",'Per Invoice'!D192)</f>
        <v/>
      </c>
      <c r="E193">
        <f>IF('Per Invoice'!$U192="","",'Per Invoice'!C192)</f>
        <v/>
      </c>
      <c r="F193" s="7">
        <f>IF('Per Invoice'!$U192="","",'Per Invoice'!O192)</f>
        <v/>
      </c>
      <c r="G193" s="7">
        <f>IF('Per Invoice'!$U192="","",'Per Invoice'!P192)</f>
        <v/>
      </c>
      <c r="H193" s="7">
        <f>IF('Per Invoice'!$U192="","",'Per Invoice'!L192)</f>
        <v/>
      </c>
      <c r="I193" s="7">
        <f>IF('Per Invoice'!$U192="","",'Per Invoice'!M192)</f>
        <v/>
      </c>
      <c r="K193" s="7">
        <f>IF('Per Invoice'!$U192="","",'Per Invoice'!S192)</f>
        <v/>
      </c>
      <c r="L193" s="7">
        <f>IF('Per Invoice'!$U192="","",'Per Invoice'!R192)</f>
        <v/>
      </c>
    </row>
    <row r="194">
      <c r="A194">
        <f>IF('Per Invoice'!$U193="","",ROWS($A$3:A194))</f>
        <v/>
      </c>
      <c r="B194" s="11">
        <f>IF('Per Invoice'!$U193="","",'Per Invoice'!I193)</f>
        <v/>
      </c>
      <c r="C194">
        <f>IF('Per Invoice'!$U193="","",'Per Invoice'!E193)</f>
        <v/>
      </c>
      <c r="D194">
        <f>IF('Per Invoice'!$U193="","",'Per Invoice'!D193)</f>
        <v/>
      </c>
      <c r="E194">
        <f>IF('Per Invoice'!$U193="","",'Per Invoice'!C193)</f>
        <v/>
      </c>
      <c r="F194" s="7">
        <f>IF('Per Invoice'!$U193="","",'Per Invoice'!O193)</f>
        <v/>
      </c>
      <c r="G194" s="7">
        <f>IF('Per Invoice'!$U193="","",'Per Invoice'!P193)</f>
        <v/>
      </c>
      <c r="H194" s="7">
        <f>IF('Per Invoice'!$U193="","",'Per Invoice'!L193)</f>
        <v/>
      </c>
      <c r="I194" s="7">
        <f>IF('Per Invoice'!$U193="","",'Per Invoice'!M193)</f>
        <v/>
      </c>
      <c r="K194" s="7">
        <f>IF('Per Invoice'!$U193="","",'Per Invoice'!S193)</f>
        <v/>
      </c>
      <c r="L194" s="7">
        <f>IF('Per Invoice'!$U193="","",'Per Invoice'!R193)</f>
        <v/>
      </c>
    </row>
    <row r="195">
      <c r="A195">
        <f>IF('Per Invoice'!$U194="","",ROWS($A$3:A195))</f>
        <v/>
      </c>
      <c r="B195" s="11">
        <f>IF('Per Invoice'!$U194="","",'Per Invoice'!I194)</f>
        <v/>
      </c>
      <c r="C195">
        <f>IF('Per Invoice'!$U194="","",'Per Invoice'!E194)</f>
        <v/>
      </c>
      <c r="D195">
        <f>IF('Per Invoice'!$U194="","",'Per Invoice'!D194)</f>
        <v/>
      </c>
      <c r="E195">
        <f>IF('Per Invoice'!$U194="","",'Per Invoice'!C194)</f>
        <v/>
      </c>
      <c r="F195" s="7">
        <f>IF('Per Invoice'!$U194="","",'Per Invoice'!O194)</f>
        <v/>
      </c>
      <c r="G195" s="7">
        <f>IF('Per Invoice'!$U194="","",'Per Invoice'!P194)</f>
        <v/>
      </c>
      <c r="H195" s="7">
        <f>IF('Per Invoice'!$U194="","",'Per Invoice'!L194)</f>
        <v/>
      </c>
      <c r="I195" s="7">
        <f>IF('Per Invoice'!$U194="","",'Per Invoice'!M194)</f>
        <v/>
      </c>
      <c r="K195" s="7">
        <f>IF('Per Invoice'!$U194="","",'Per Invoice'!S194)</f>
        <v/>
      </c>
      <c r="L195" s="7">
        <f>IF('Per Invoice'!$U194="","",'Per Invoice'!R194)</f>
        <v/>
      </c>
    </row>
    <row r="196">
      <c r="A196">
        <f>IF('Per Invoice'!$U195="","",ROWS($A$3:A196))</f>
        <v/>
      </c>
      <c r="B196" s="11">
        <f>IF('Per Invoice'!$U195="","",'Per Invoice'!I195)</f>
        <v/>
      </c>
      <c r="C196">
        <f>IF('Per Invoice'!$U195="","",'Per Invoice'!E195)</f>
        <v/>
      </c>
      <c r="D196">
        <f>IF('Per Invoice'!$U195="","",'Per Invoice'!D195)</f>
        <v/>
      </c>
      <c r="E196">
        <f>IF('Per Invoice'!$U195="","",'Per Invoice'!C195)</f>
        <v/>
      </c>
      <c r="F196" s="7">
        <f>IF('Per Invoice'!$U195="","",'Per Invoice'!O195)</f>
        <v/>
      </c>
      <c r="G196" s="7">
        <f>IF('Per Invoice'!$U195="","",'Per Invoice'!P195)</f>
        <v/>
      </c>
      <c r="H196" s="7">
        <f>IF('Per Invoice'!$U195="","",'Per Invoice'!L195)</f>
        <v/>
      </c>
      <c r="I196" s="7">
        <f>IF('Per Invoice'!$U195="","",'Per Invoice'!M195)</f>
        <v/>
      </c>
      <c r="K196" s="7">
        <f>IF('Per Invoice'!$U195="","",'Per Invoice'!S195)</f>
        <v/>
      </c>
      <c r="L196" s="7">
        <f>IF('Per Invoice'!$U195="","",'Per Invoice'!R195)</f>
        <v/>
      </c>
    </row>
    <row r="197">
      <c r="A197">
        <f>IF('Per Invoice'!$U196="","",ROWS($A$3:A197))</f>
        <v/>
      </c>
      <c r="B197" s="11">
        <f>IF('Per Invoice'!$U196="","",'Per Invoice'!I196)</f>
        <v/>
      </c>
      <c r="C197">
        <f>IF('Per Invoice'!$U196="","",'Per Invoice'!E196)</f>
        <v/>
      </c>
      <c r="D197">
        <f>IF('Per Invoice'!$U196="","",'Per Invoice'!D196)</f>
        <v/>
      </c>
      <c r="E197">
        <f>IF('Per Invoice'!$U196="","",'Per Invoice'!C196)</f>
        <v/>
      </c>
      <c r="F197" s="7">
        <f>IF('Per Invoice'!$U196="","",'Per Invoice'!O196)</f>
        <v/>
      </c>
      <c r="G197" s="7">
        <f>IF('Per Invoice'!$U196="","",'Per Invoice'!P196)</f>
        <v/>
      </c>
      <c r="H197" s="7">
        <f>IF('Per Invoice'!$U196="","",'Per Invoice'!L196)</f>
        <v/>
      </c>
      <c r="I197" s="7">
        <f>IF('Per Invoice'!$U196="","",'Per Invoice'!M196)</f>
        <v/>
      </c>
      <c r="K197" s="7">
        <f>IF('Per Invoice'!$U196="","",'Per Invoice'!S196)</f>
        <v/>
      </c>
      <c r="L197" s="7">
        <f>IF('Per Invoice'!$U196="","",'Per Invoice'!R196)</f>
        <v/>
      </c>
    </row>
    <row r="198">
      <c r="A198">
        <f>IF('Per Invoice'!$U197="","",ROWS($A$3:A198))</f>
        <v/>
      </c>
      <c r="B198" s="11">
        <f>IF('Per Invoice'!$U197="","",'Per Invoice'!I197)</f>
        <v/>
      </c>
      <c r="C198">
        <f>IF('Per Invoice'!$U197="","",'Per Invoice'!E197)</f>
        <v/>
      </c>
      <c r="D198">
        <f>IF('Per Invoice'!$U197="","",'Per Invoice'!D197)</f>
        <v/>
      </c>
      <c r="E198">
        <f>IF('Per Invoice'!$U197="","",'Per Invoice'!C197)</f>
        <v/>
      </c>
      <c r="F198" s="7">
        <f>IF('Per Invoice'!$U197="","",'Per Invoice'!O197)</f>
        <v/>
      </c>
      <c r="G198" s="7">
        <f>IF('Per Invoice'!$U197="","",'Per Invoice'!P197)</f>
        <v/>
      </c>
      <c r="H198" s="7">
        <f>IF('Per Invoice'!$U197="","",'Per Invoice'!L197)</f>
        <v/>
      </c>
      <c r="I198" s="7">
        <f>IF('Per Invoice'!$U197="","",'Per Invoice'!M197)</f>
        <v/>
      </c>
      <c r="K198" s="7">
        <f>IF('Per Invoice'!$U197="","",'Per Invoice'!S197)</f>
        <v/>
      </c>
      <c r="L198" s="7">
        <f>IF('Per Invoice'!$U197="","",'Per Invoice'!R197)</f>
        <v/>
      </c>
    </row>
    <row r="199">
      <c r="A199">
        <f>IF('Per Invoice'!$U198="","",ROWS($A$3:A199))</f>
        <v/>
      </c>
      <c r="B199" s="11">
        <f>IF('Per Invoice'!$U198="","",'Per Invoice'!I198)</f>
        <v/>
      </c>
      <c r="C199">
        <f>IF('Per Invoice'!$U198="","",'Per Invoice'!E198)</f>
        <v/>
      </c>
      <c r="D199">
        <f>IF('Per Invoice'!$U198="","",'Per Invoice'!D198)</f>
        <v/>
      </c>
      <c r="E199">
        <f>IF('Per Invoice'!$U198="","",'Per Invoice'!C198)</f>
        <v/>
      </c>
      <c r="F199" s="7">
        <f>IF('Per Invoice'!$U198="","",'Per Invoice'!O198)</f>
        <v/>
      </c>
      <c r="G199" s="7">
        <f>IF('Per Invoice'!$U198="","",'Per Invoice'!P198)</f>
        <v/>
      </c>
      <c r="H199" s="7">
        <f>IF('Per Invoice'!$U198="","",'Per Invoice'!L198)</f>
        <v/>
      </c>
      <c r="I199" s="7">
        <f>IF('Per Invoice'!$U198="","",'Per Invoice'!M198)</f>
        <v/>
      </c>
      <c r="K199" s="7">
        <f>IF('Per Invoice'!$U198="","",'Per Invoice'!S198)</f>
        <v/>
      </c>
      <c r="L199" s="7">
        <f>IF('Per Invoice'!$U198="","",'Per Invoice'!R198)</f>
        <v/>
      </c>
    </row>
    <row r="200">
      <c r="A200">
        <f>IF('Per Invoice'!$U199="","",ROWS($A$3:A200))</f>
        <v/>
      </c>
      <c r="B200" s="11">
        <f>IF('Per Invoice'!$U199="","",'Per Invoice'!I199)</f>
        <v/>
      </c>
      <c r="C200">
        <f>IF('Per Invoice'!$U199="","",'Per Invoice'!E199)</f>
        <v/>
      </c>
      <c r="D200">
        <f>IF('Per Invoice'!$U199="","",'Per Invoice'!D199)</f>
        <v/>
      </c>
      <c r="E200">
        <f>IF('Per Invoice'!$U199="","",'Per Invoice'!C199)</f>
        <v/>
      </c>
      <c r="F200" s="7">
        <f>IF('Per Invoice'!$U199="","",'Per Invoice'!O199)</f>
        <v/>
      </c>
      <c r="G200" s="7">
        <f>IF('Per Invoice'!$U199="","",'Per Invoice'!P199)</f>
        <v/>
      </c>
      <c r="H200" s="7">
        <f>IF('Per Invoice'!$U199="","",'Per Invoice'!L199)</f>
        <v/>
      </c>
      <c r="I200" s="7">
        <f>IF('Per Invoice'!$U199="","",'Per Invoice'!M199)</f>
        <v/>
      </c>
      <c r="K200" s="7">
        <f>IF('Per Invoice'!$U199="","",'Per Invoice'!S199)</f>
        <v/>
      </c>
      <c r="L200" s="7">
        <f>IF('Per Invoice'!$U199="","",'Per Invoice'!R199)</f>
        <v/>
      </c>
    </row>
    <row r="201">
      <c r="A201">
        <f>IF('Per Invoice'!$U200="","",ROWS($A$3:A201))</f>
        <v/>
      </c>
      <c r="B201" s="11">
        <f>IF('Per Invoice'!$U200="","",'Per Invoice'!I200)</f>
        <v/>
      </c>
      <c r="C201">
        <f>IF('Per Invoice'!$U200="","",'Per Invoice'!E200)</f>
        <v/>
      </c>
      <c r="D201">
        <f>IF('Per Invoice'!$U200="","",'Per Invoice'!D200)</f>
        <v/>
      </c>
      <c r="E201">
        <f>IF('Per Invoice'!$U200="","",'Per Invoice'!C200)</f>
        <v/>
      </c>
      <c r="F201" s="7">
        <f>IF('Per Invoice'!$U200="","",'Per Invoice'!O200)</f>
        <v/>
      </c>
      <c r="G201" s="7">
        <f>IF('Per Invoice'!$U200="","",'Per Invoice'!P200)</f>
        <v/>
      </c>
      <c r="H201" s="7">
        <f>IF('Per Invoice'!$U200="","",'Per Invoice'!L200)</f>
        <v/>
      </c>
      <c r="I201" s="7">
        <f>IF('Per Invoice'!$U200="","",'Per Invoice'!M200)</f>
        <v/>
      </c>
      <c r="K201" s="7">
        <f>IF('Per Invoice'!$U200="","",'Per Invoice'!S200)</f>
        <v/>
      </c>
      <c r="L201" s="7">
        <f>IF('Per Invoice'!$U200="","",'Per Invoice'!R200)</f>
        <v/>
      </c>
    </row>
    <row r="202">
      <c r="A202">
        <f>IF('Per Invoice'!$U201="","",ROWS($A$3:A202))</f>
        <v/>
      </c>
      <c r="B202" s="11">
        <f>IF('Per Invoice'!$U201="","",'Per Invoice'!I201)</f>
        <v/>
      </c>
      <c r="C202">
        <f>IF('Per Invoice'!$U201="","",'Per Invoice'!E201)</f>
        <v/>
      </c>
      <c r="D202">
        <f>IF('Per Invoice'!$U201="","",'Per Invoice'!D201)</f>
        <v/>
      </c>
      <c r="E202">
        <f>IF('Per Invoice'!$U201="","",'Per Invoice'!C201)</f>
        <v/>
      </c>
      <c r="F202" s="7">
        <f>IF('Per Invoice'!$U201="","",'Per Invoice'!O201)</f>
        <v/>
      </c>
      <c r="G202" s="7">
        <f>IF('Per Invoice'!$U201="","",'Per Invoice'!P201)</f>
        <v/>
      </c>
      <c r="H202" s="7">
        <f>IF('Per Invoice'!$U201="","",'Per Invoice'!L201)</f>
        <v/>
      </c>
      <c r="I202" s="7">
        <f>IF('Per Invoice'!$U201="","",'Per Invoice'!M201)</f>
        <v/>
      </c>
      <c r="K202" s="7">
        <f>IF('Per Invoice'!$U201="","",'Per Invoice'!S201)</f>
        <v/>
      </c>
      <c r="L202" s="7">
        <f>IF('Per Invoice'!$U201="","",'Per Invoice'!R201)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2026-10-12T10:25:00Z</dcterms:created>
  <dcterms:modified xmlns:dcterms="http://purl.org/dc/terms/" xmlns:xsi="http://www.w3.org/2001/XMLSchema-instance" xsi:type="dcterms:W3CDTF">2026-10-12T10:25:00Z</dcterms:modified>
</cp:coreProperties>
</file>