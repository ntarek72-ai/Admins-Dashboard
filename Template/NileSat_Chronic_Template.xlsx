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w To Use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Per Line" sheetId="3" state="visible" r:id="rId3"/>
    <sheet xmlns:r="http://schemas.openxmlformats.org/officeDocument/2006/relationships" name="Per Invoice" sheetId="4" state="visible" r:id="rId4"/>
  </sheets>
  <definedNames>
    <definedName name="_xlnm._FilterDatabase" localSheetId="2" hidden="1">'Per Line'!$A$1:$AQ$1001</definedName>
    <definedName name="_xlnm._FilterDatabase" localSheetId="3" hidden="1">'Per Invoice'!$A$1:$Z$301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dd/mm/yyyy hh:mm"/>
    <numFmt numFmtId="165" formatCode="#,##0.00####"/>
    <numFmt numFmtId="166" formatCode="0.0%"/>
  </numFmts>
  <fonts count="6">
    <font>
      <name val="Calibri"/>
      <family val="2"/>
      <color theme="1"/>
      <sz val="11"/>
      <scheme val="minor"/>
    </font>
    <font>
      <b val="1"/>
    </font>
    <font>
      <color rgb="FF0000FF"/>
    </font>
    <font>
      <color rgb="FF808080"/>
    </font>
    <font>
      <b val="1"/>
      <sz val="14"/>
    </font>
    <font>
      <b val="1"/>
      <sz val="11"/>
    </font>
  </fonts>
  <fills count="6">
    <fill>
      <patternFill/>
    </fill>
    <fill>
      <patternFill patternType="gray125"/>
    </fill>
    <fill>
      <patternFill patternType="solid">
        <fgColor rgb="FFDDEBF7"/>
      </patternFill>
    </fill>
    <fill>
      <patternFill patternType="solid">
        <fgColor rgb="FFE2EFDA"/>
      </patternFill>
    </fill>
    <fill>
      <patternFill patternType="solid">
        <fgColor rgb="FFD9D9D9"/>
      </patternFill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4" fillId="0" borderId="0" pivotButton="0" quotePrefix="0" xfId="0"/>
    <xf numFmtId="166" fontId="0" fillId="5" borderId="0" pivotButton="0" quotePrefix="0" xfId="0"/>
    <xf numFmtId="0" fontId="1" fillId="0" borderId="0" pivotButton="0" quotePrefix="0" xfId="0"/>
    <xf numFmtId="165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164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0"/>
  <sheetViews>
    <sheetView workbookViewId="0">
      <selection activeCell="A1" sqref="A1"/>
    </sheetView>
  </sheetViews>
  <sheetFormatPr baseColWidth="8" defaultRowHeight="15"/>
  <cols>
    <col width="150" customWidth="1" min="1" max="1"/>
  </cols>
  <sheetData>
    <row r="1">
      <c r="A1" s="1" t="inlineStr">
        <is>
          <t>Claims Template - NILESAT (Chronic)</t>
        </is>
      </c>
    </row>
    <row r="3">
      <c r="A3" s="2" t="inlineStr">
        <is>
          <t>Monthly steps</t>
        </is>
      </c>
    </row>
    <row r="4">
      <c r="A4" s="3" t="inlineStr">
        <is>
          <t>1. Open the 'Per Line' tab. Delete the old data in the BLUE columns only (row 2 down). Never delete the green or grey columns.</t>
        </is>
      </c>
    </row>
    <row r="5">
      <c r="A5" s="3" t="inlineStr">
        <is>
          <t>2. Paste the new month's data as VALUES starting at A2, into the blue columns: A-P, R-Y, AC, AE-AL (same order as the system export).</t>
        </is>
      </c>
    </row>
    <row r="6">
      <c r="A6" s="3" t="inlineStr">
        <is>
          <t>3. Green columns (Q, Z, AA, AB, AD) and the grey helper columns (AM-AQ) calculate automatically - do not paste over them.</t>
        </is>
      </c>
    </row>
    <row r="7">
      <c r="A7" s="3" t="inlineStr">
        <is>
          <t>4. 'Per Invoice' fills itself from 'Per Line' (one row per Order #, split into IMP / Local). No pivot table, no refresh.</t>
        </is>
      </c>
    </row>
    <row r="8">
      <c r="A8" s="3" t="inlineStr">
        <is>
          <t>5. The ONLY manual column in 'Per Invoice' is column A 'Invoice' (blue): type the invoice number yourself. Everything else is formula.</t>
        </is>
      </c>
    </row>
    <row r="9">
      <c r="A9" s="3" t="inlineStr">
        <is>
          <t>6. Open 'Settings' and check STATUS says OK (Per Line totals = Per Invoice totals).</t>
        </is>
      </c>
    </row>
    <row r="11">
      <c r="A11" s="2" t="inlineStr">
        <is>
          <t>Colour legend</t>
        </is>
      </c>
    </row>
    <row r="12">
      <c r="A12" s="3" t="inlineStr">
        <is>
          <t>Blue header = typed/pasted by you (raw data, and 'Invoice' in Per Invoice).   Green header = formula (do not paste over).   Grey header = helper formula (do not touch).   Yellow cell (Settings) = editable rate.</t>
        </is>
      </c>
    </row>
    <row r="14">
      <c r="A14" s="2" t="inlineStr">
        <is>
          <t>Calculation rules (taken from the October 2026 sheet)</t>
        </is>
      </c>
    </row>
    <row r="15">
      <c r="A15" s="3" t="inlineStr">
        <is>
          <t>Co val = Order Co Payment x Total / 100.   Discount = Total x Rebates / 100.   Subtotal = Total - Discount.   Net = Subtotal - Co val.   (Total = 'Product Total')</t>
        </is>
      </c>
    </row>
    <row r="16">
      <c r="A16" s="3" t="inlineStr">
        <is>
          <t>Rebates per line = Local rate (15%) if Local is TRUE, otherwise Imported rate (6%). Lines with 'Special Rebates?' = Yes get 0%. Rates are set in 'Settings'.</t>
        </is>
      </c>
    </row>
    <row r="18">
      <c r="A18" s="3" t="inlineStr">
        <is>
          <t>Per Invoice: IMP = sum of Total of non-local lines; Local = sum of Total of local lines; Special = sum of Total of special-rebate lines (no discount). Grand Total = Special + IMP + Local. Discount = IMP val + Local val. Subtotal = Grand Total - Discount. Co val = Co Payment x Grand Total / 100. Net = Subtotal - Co val.</t>
        </is>
      </c>
    </row>
    <row r="20">
      <c r="A20" s="3" t="inlineStr">
        <is>
          <t>Capacity: up to 1,000 lines and 300 invoices per month. A line with an empty Order # is ignored.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D23"/>
  <sheetViews>
    <sheetView workbookViewId="0">
      <selection activeCell="A1" sqref="A1"/>
    </sheetView>
  </sheetViews>
  <sheetFormatPr baseColWidth="8" defaultRowHeight="15"/>
  <cols>
    <col width="3" customWidth="1" min="1" max="1"/>
    <col width="42" customWidth="1" min="2" max="2"/>
    <col width="26" customWidth="1" min="3" max="3"/>
    <col width="90" customWidth="1" min="4" max="4"/>
  </cols>
  <sheetData>
    <row r="1">
      <c r="B1" s="4" t="inlineStr">
        <is>
          <t>Company settings &amp; checks</t>
        </is>
      </c>
    </row>
    <row r="3">
      <c r="B3" t="inlineStr">
        <is>
          <t>Insurance Company</t>
        </is>
      </c>
      <c r="C3" t="inlineStr">
        <is>
          <t>NILESAT</t>
        </is>
      </c>
      <c r="D3" t="inlineStr">
        <is>
          <t>Informational only</t>
        </is>
      </c>
    </row>
    <row r="4">
      <c r="B4" t="inlineStr">
        <is>
          <t>Corporate</t>
        </is>
      </c>
      <c r="C4" t="inlineStr">
        <is>
          <t>NileSat individual</t>
        </is>
      </c>
      <c r="D4" t="inlineStr">
        <is>
          <t>Informational only</t>
        </is>
      </c>
    </row>
    <row r="5">
      <c r="B5" t="inlineStr">
        <is>
          <t>Sheet type</t>
        </is>
      </c>
      <c r="C5" t="inlineStr">
        <is>
          <t>Chronic</t>
        </is>
      </c>
      <c r="D5" t="inlineStr">
        <is>
          <t>Informational only</t>
        </is>
      </c>
    </row>
    <row r="6">
      <c r="B6" t="inlineStr">
        <is>
          <t>Local products rebate %</t>
        </is>
      </c>
      <c r="C6" s="5" t="n">
        <v>0.15</v>
      </c>
      <c r="D6" t="inlineStr">
        <is>
          <t>Source: Oct sheet (Rebates = 15 on Local lines).</t>
        </is>
      </c>
    </row>
    <row r="7">
      <c r="B7" t="inlineStr">
        <is>
          <t>Imported (IMP) products rebate %</t>
        </is>
      </c>
      <c r="C7" s="5" t="n">
        <v>0.06</v>
      </c>
      <c r="D7" t="inlineStr">
        <is>
          <t>Source: Oct sheet (Rebates = 6 on non-local lines).</t>
        </is>
      </c>
    </row>
    <row r="9">
      <c r="B9" s="6" t="inlineStr">
        <is>
          <t>Month totals / reconciliation</t>
        </is>
      </c>
    </row>
    <row r="10">
      <c r="B10" t="inlineStr">
        <is>
          <t>Lines loaded</t>
        </is>
      </c>
      <c r="C10">
        <f>COUNTA('Per Line'!$D$2:$D$1001)</f>
        <v/>
      </c>
    </row>
    <row r="11">
      <c r="B11" t="inlineStr">
        <is>
          <t>Invoices (unique Order #)</t>
        </is>
      </c>
      <c r="C11">
        <f>MAX('Per Line'!$AN$2:$AN$1001)</f>
        <v/>
      </c>
    </row>
    <row r="12">
      <c r="B12" t="inlineStr">
        <is>
          <t>Invoices shown in Per Invoice</t>
        </is>
      </c>
      <c r="C12">
        <f>SUMPRODUCT(--('Per Invoice'!$B$2:$B$301&lt;&gt;""))</f>
        <v/>
      </c>
    </row>
    <row r="13">
      <c r="B13" t="inlineStr">
        <is>
          <t>Grand Total - Per Line (Product Total)</t>
        </is>
      </c>
      <c r="C13" s="7">
        <f>SUM('Per Line'!$Y$2:$Y$1001)</f>
        <v/>
      </c>
    </row>
    <row r="14">
      <c r="B14" t="inlineStr">
        <is>
          <t>Grand Total - Per Invoice</t>
        </is>
      </c>
      <c r="C14" s="7">
        <f>SUM('Per Invoice'!$X$2:$X$301)</f>
        <v/>
      </c>
    </row>
    <row r="15">
      <c r="B15" t="inlineStr">
        <is>
          <t>Discount - Per Line</t>
        </is>
      </c>
      <c r="C15" s="7">
        <f>SUM('Per Line'!$Z$2:$Z$1001)</f>
        <v/>
      </c>
    </row>
    <row r="16">
      <c r="B16" t="inlineStr">
        <is>
          <t>Discount - Per Invoice</t>
        </is>
      </c>
      <c r="C16" s="7">
        <f>SUM('Per Invoice'!$V$2:$V$301)</f>
        <v/>
      </c>
    </row>
    <row r="17">
      <c r="B17" t="inlineStr">
        <is>
          <t>Co val - Per Line</t>
        </is>
      </c>
      <c r="C17" s="7">
        <f>SUM('Per Line'!$Q$2:$Q$1001)</f>
        <v/>
      </c>
    </row>
    <row r="18">
      <c r="B18" t="inlineStr">
        <is>
          <t>Co val - Per Invoice</t>
        </is>
      </c>
      <c r="C18" s="7">
        <f>SUM('Per Invoice'!$N$2:$N$301)</f>
        <v/>
      </c>
    </row>
    <row r="19">
      <c r="B19" t="inlineStr">
        <is>
          <t>Net - Per Line</t>
        </is>
      </c>
      <c r="C19" s="7">
        <f>SUM('Per Line'!$AB$2:$AB$1001)</f>
        <v/>
      </c>
    </row>
    <row r="20">
      <c r="B20" t="inlineStr">
        <is>
          <t>Net - Per Invoice</t>
        </is>
      </c>
      <c r="C20" s="7">
        <f>SUM('Per Invoice'!$Y$2:$Y$301)</f>
        <v/>
      </c>
    </row>
    <row r="21">
      <c r="B21" t="inlineStr">
        <is>
          <t>Max Limit adjustment (Co val, Per Invoice only)</t>
        </is>
      </c>
      <c r="C21" s="7" t="n">
        <v>0</v>
      </c>
      <c r="D21" t="inlineStr">
        <is>
          <t>This company's Per Invoice has no Max Limit rule.</t>
        </is>
      </c>
    </row>
    <row r="23">
      <c r="B23" s="6" t="inlineStr">
        <is>
          <t>STATUS</t>
        </is>
      </c>
      <c r="C23" s="6">
        <f>IF(C10=0,"No data loaded",IF(COUNTA('Per Line'!$D:$D)-1&gt;1000,"TOO MANY LINES - extend template",IF(C11&gt;300,"TOO MANY INVOICES - extend template",IF(AND(ROUND(C13-C14,2)=0,ROUND(C15-C16,2)=0,ROUND(C17+C21-C18,2)=0,ROUND(C19-C21-C20,2)=0,C11=C12),"OK","CHECK - Per Line and Per Invoice do not match"))))</f>
        <v/>
      </c>
      <c r="D23" t="inlineStr">
        <is>
          <t>Must say OK after you paste the month data.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Q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0" customWidth="1" min="4" max="4"/>
    <col width="14" customWidth="1" min="5" max="5"/>
    <col width="36" customWidth="1" min="6" max="6"/>
    <col width="17" customWidth="1" min="7" max="7"/>
    <col width="18" customWidth="1" min="8" max="8"/>
    <col width="12" customWidth="1" min="9" max="9"/>
    <col width="24" customWidth="1" min="10" max="10"/>
    <col width="12" customWidth="1" min="11" max="11"/>
    <col width="26" customWidth="1" min="12" max="12"/>
    <col width="14" customWidth="1" min="13" max="13"/>
    <col width="12" customWidth="1" min="14" max="14"/>
    <col width="12" customWidth="1" min="15" max="15"/>
    <col width="12" customWidth="1" min="16" max="16"/>
    <col width="11" customWidth="1" min="17" max="17"/>
    <col width="12" customWidth="1" min="18" max="18"/>
    <col width="12" customWidth="1" min="19" max="19"/>
    <col width="44" customWidth="1" min="20" max="20"/>
    <col width="12" customWidth="1" min="21" max="21"/>
    <col width="20" customWidth="1" min="22" max="22"/>
    <col width="12" customWidth="1" min="23" max="23"/>
    <col width="12" customWidth="1" min="24" max="24"/>
    <col width="12" customWidth="1" min="25" max="25"/>
    <col width="11" customWidth="1" min="26" max="26"/>
    <col width="11" customWidth="1" min="27" max="27"/>
    <col width="11" customWidth="1" min="28" max="28"/>
    <col width="12" customWidth="1" min="29" max="29"/>
    <col width="11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7" customWidth="1" min="37" max="37"/>
    <col width="12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</cols>
  <sheetData>
    <row r="1" ht="32" customHeight="1">
      <c r="A1" s="8" t="inlineStr">
        <is>
          <t>Ticket #</t>
        </is>
      </c>
      <c r="B1" s="8" t="inlineStr">
        <is>
          <t>Stage</t>
        </is>
      </c>
      <c r="C1" s="8" t="inlineStr">
        <is>
          <t>Approval Ref</t>
        </is>
      </c>
      <c r="D1" s="8" t="inlineStr">
        <is>
          <t>Order #</t>
        </is>
      </c>
      <c r="E1" s="8" t="inlineStr">
        <is>
          <t>Channel</t>
        </is>
      </c>
      <c r="F1" s="8" t="inlineStr">
        <is>
          <t>ERX ID</t>
        </is>
      </c>
      <c r="G1" s="8" t="inlineStr">
        <is>
          <t>Create At</t>
        </is>
      </c>
      <c r="H1" s="8" t="inlineStr">
        <is>
          <t>Insurance Company</t>
        </is>
      </c>
      <c r="I1" s="8" t="inlineStr">
        <is>
          <t>Country Portal ID</t>
        </is>
      </c>
      <c r="J1" s="8" t="inlineStr">
        <is>
          <t>Corporate</t>
        </is>
      </c>
      <c r="K1" s="8" t="inlineStr">
        <is>
          <t>Card</t>
        </is>
      </c>
      <c r="L1" s="8" t="inlineStr">
        <is>
          <t>Name</t>
        </is>
      </c>
      <c r="M1" s="8" t="inlineStr">
        <is>
          <t>Status</t>
        </is>
      </c>
      <c r="N1" s="8" t="inlineStr">
        <is>
          <t>Local Rebates</t>
        </is>
      </c>
      <c r="O1" s="8" t="inlineStr">
        <is>
          <t>Imported Rebates</t>
        </is>
      </c>
      <c r="P1" s="8" t="inlineStr">
        <is>
          <t>Order Co Payment</t>
        </is>
      </c>
      <c r="Q1" s="9" t="inlineStr">
        <is>
          <t>Co val</t>
        </is>
      </c>
      <c r="R1" s="8" t="inlineStr">
        <is>
          <t>By Patient</t>
        </is>
      </c>
      <c r="S1" s="8" t="inlineStr">
        <is>
          <t>heisenberg id</t>
        </is>
      </c>
      <c r="T1" s="8" t="inlineStr">
        <is>
          <t>Product Name</t>
        </is>
      </c>
      <c r="U1" s="8" t="inlineStr">
        <is>
          <t>Local</t>
        </is>
      </c>
      <c r="V1" s="8" t="inlineStr">
        <is>
          <t>Unit</t>
        </is>
      </c>
      <c r="W1" s="8" t="inlineStr">
        <is>
          <t>Quantity</t>
        </is>
      </c>
      <c r="X1" s="8" t="inlineStr">
        <is>
          <t>Unit Price</t>
        </is>
      </c>
      <c r="Y1" s="8" t="inlineStr">
        <is>
          <t>Product Total</t>
        </is>
      </c>
      <c r="Z1" s="9" t="inlineStr">
        <is>
          <t>Discount</t>
        </is>
      </c>
      <c r="AA1" s="9" t="inlineStr">
        <is>
          <t>Subtotal</t>
        </is>
      </c>
      <c r="AB1" s="9" t="inlineStr">
        <is>
          <t>Net</t>
        </is>
      </c>
      <c r="AC1" s="8" t="inlineStr">
        <is>
          <t>Special Rebates?</t>
        </is>
      </c>
      <c r="AD1" s="9" t="inlineStr">
        <is>
          <t>Rebates</t>
        </is>
      </c>
      <c r="AE1" s="8" t="inlineStr">
        <is>
          <t>Approval Type</t>
        </is>
      </c>
      <c r="AF1" s="8" t="inlineStr">
        <is>
          <t>Max Limit</t>
        </is>
      </c>
      <c r="AG1" s="8" t="inlineStr">
        <is>
          <t>Exceeding Limit</t>
        </is>
      </c>
      <c r="AH1" s="8" t="inlineStr">
        <is>
          <t>Amount collected from customer</t>
        </is>
      </c>
      <c r="AI1" s="8" t="inlineStr">
        <is>
          <t>By Patient (Delivered)</t>
        </is>
      </c>
      <c r="AJ1" s="8" t="inlineStr">
        <is>
          <t>Dispense Number</t>
        </is>
      </c>
      <c r="AK1" s="8" t="inlineStr">
        <is>
          <t>Dispense Date</t>
        </is>
      </c>
      <c r="AL1" s="8" t="inlineStr">
        <is>
          <t>Has OTP?</t>
        </is>
      </c>
      <c r="AM1" s="10" t="inlineStr">
        <is>
          <t>Order 1st Row (helper)</t>
        </is>
      </c>
      <c r="AN1" s="10" t="inlineStr">
        <is>
          <t>Invoice # (helper)</t>
        </is>
      </c>
      <c r="AO1" s="10" t="inlineStr">
        <is>
          <t>Is Local (helper)</t>
        </is>
      </c>
      <c r="AP1" s="10" t="inlineStr">
        <is>
          <t>Is Special (helper)</t>
        </is>
      </c>
      <c r="AQ1" s="10" t="inlineStr">
        <is>
          <t>Sort Key (helper)</t>
        </is>
      </c>
    </row>
    <row r="2">
      <c r="G2" s="11" t="n"/>
      <c r="Q2" s="7">
        <f>IF($D2="","",P2*Y2/100)</f>
        <v/>
      </c>
      <c r="R2" s="7" t="n"/>
      <c r="X2" s="7" t="n"/>
      <c r="Y2" s="7" t="n"/>
      <c r="Z2" s="7">
        <f>IF($D2="","",Y2*AD2/100)</f>
        <v/>
      </c>
      <c r="AA2" s="7">
        <f>IF($D2="","",Y2-Z2)</f>
        <v/>
      </c>
      <c r="AB2" s="7">
        <f>IF($D2="","",AA2-Q2)</f>
        <v/>
      </c>
      <c r="AD2">
        <f>IF($D2="","",IF($AP2=1,0,IF($AO2=1,Settings!$C$6,Settings!$C$7))*100)</f>
        <v/>
      </c>
      <c r="AH2" s="7" t="n"/>
      <c r="AK2" s="11" t="n"/>
      <c r="AM2">
        <f>IF($D2="","",IF(COUNTIF($D$2:$D2,$D2)=1,1,0))</f>
        <v/>
      </c>
      <c r="AN2">
        <f>IF($AM2=1,SUMPRODUCT(--($AQ$2:$AQ$1001&lt;$AQ2))+1,"")</f>
        <v/>
      </c>
      <c r="AO2">
        <f>IF($D2="","",IF(OR($U2=TRUE(),$U2="TRUE"),1,0))</f>
        <v/>
      </c>
      <c r="AP2">
        <f>IF($D2="","",IF($AC2="Yes",1,0))</f>
        <v/>
      </c>
      <c r="AQ2">
        <f>IF($AM2=1,IFERROR(VALUE(MID($D2,2,20)),1000000000)+ROW()/100000,"")</f>
        <v/>
      </c>
    </row>
    <row r="3">
      <c r="G3" s="11" t="n"/>
      <c r="Q3" s="7">
        <f>IF($D3="","",P3*Y3/100)</f>
        <v/>
      </c>
      <c r="R3" s="7" t="n"/>
      <c r="X3" s="7" t="n"/>
      <c r="Y3" s="7" t="n"/>
      <c r="Z3" s="7">
        <f>IF($D3="","",Y3*AD3/100)</f>
        <v/>
      </c>
      <c r="AA3" s="7">
        <f>IF($D3="","",Y3-Z3)</f>
        <v/>
      </c>
      <c r="AB3" s="7">
        <f>IF($D3="","",AA3-Q3)</f>
        <v/>
      </c>
      <c r="AD3">
        <f>IF($D3="","",IF($AP3=1,0,IF($AO3=1,Settings!$C$6,Settings!$C$7))*100)</f>
        <v/>
      </c>
      <c r="AH3" s="7" t="n"/>
      <c r="AK3" s="11" t="n"/>
      <c r="AM3">
        <f>IF($D3="","",IF(COUNTIF($D$2:$D3,$D3)=1,1,0))</f>
        <v/>
      </c>
      <c r="AN3">
        <f>IF($AM3=1,SUMPRODUCT(--($AQ$2:$AQ$1001&lt;$AQ3))+1,"")</f>
        <v/>
      </c>
      <c r="AO3">
        <f>IF($D3="","",IF(OR($U3=TRUE(),$U3="TRUE"),1,0))</f>
        <v/>
      </c>
      <c r="AP3">
        <f>IF($D3="","",IF($AC3="Yes",1,0))</f>
        <v/>
      </c>
      <c r="AQ3">
        <f>IF($AM3=1,IFERROR(VALUE(MID($D3,2,20)),1000000000)+ROW()/100000,"")</f>
        <v/>
      </c>
    </row>
    <row r="4">
      <c r="G4" s="11" t="n"/>
      <c r="Q4" s="7">
        <f>IF($D4="","",P4*Y4/100)</f>
        <v/>
      </c>
      <c r="R4" s="7" t="n"/>
      <c r="X4" s="7" t="n"/>
      <c r="Y4" s="7" t="n"/>
      <c r="Z4" s="7">
        <f>IF($D4="","",Y4*AD4/100)</f>
        <v/>
      </c>
      <c r="AA4" s="7">
        <f>IF($D4="","",Y4-Z4)</f>
        <v/>
      </c>
      <c r="AB4" s="7">
        <f>IF($D4="","",AA4-Q4)</f>
        <v/>
      </c>
      <c r="AD4">
        <f>IF($D4="","",IF($AP4=1,0,IF($AO4=1,Settings!$C$6,Settings!$C$7))*100)</f>
        <v/>
      </c>
      <c r="AH4" s="7" t="n"/>
      <c r="AK4" s="11" t="n"/>
      <c r="AM4">
        <f>IF($D4="","",IF(COUNTIF($D$2:$D4,$D4)=1,1,0))</f>
        <v/>
      </c>
      <c r="AN4">
        <f>IF($AM4=1,SUMPRODUCT(--($AQ$2:$AQ$1001&lt;$AQ4))+1,"")</f>
        <v/>
      </c>
      <c r="AO4">
        <f>IF($D4="","",IF(OR($U4=TRUE(),$U4="TRUE"),1,0))</f>
        <v/>
      </c>
      <c r="AP4">
        <f>IF($D4="","",IF($AC4="Yes",1,0))</f>
        <v/>
      </c>
      <c r="AQ4">
        <f>IF($AM4=1,IFERROR(VALUE(MID($D4,2,20)),1000000000)+ROW()/100000,"")</f>
        <v/>
      </c>
    </row>
    <row r="5">
      <c r="G5" s="11" t="n"/>
      <c r="Q5" s="7">
        <f>IF($D5="","",P5*Y5/100)</f>
        <v/>
      </c>
      <c r="R5" s="7" t="n"/>
      <c r="X5" s="7" t="n"/>
      <c r="Y5" s="7" t="n"/>
      <c r="Z5" s="7">
        <f>IF($D5="","",Y5*AD5/100)</f>
        <v/>
      </c>
      <c r="AA5" s="7">
        <f>IF($D5="","",Y5-Z5)</f>
        <v/>
      </c>
      <c r="AB5" s="7">
        <f>IF($D5="","",AA5-Q5)</f>
        <v/>
      </c>
      <c r="AD5">
        <f>IF($D5="","",IF($AP5=1,0,IF($AO5=1,Settings!$C$6,Settings!$C$7))*100)</f>
        <v/>
      </c>
      <c r="AH5" s="7" t="n"/>
      <c r="AK5" s="11" t="n"/>
      <c r="AM5">
        <f>IF($D5="","",IF(COUNTIF($D$2:$D5,$D5)=1,1,0))</f>
        <v/>
      </c>
      <c r="AN5">
        <f>IF($AM5=1,SUMPRODUCT(--($AQ$2:$AQ$1001&lt;$AQ5))+1,"")</f>
        <v/>
      </c>
      <c r="AO5">
        <f>IF($D5="","",IF(OR($U5=TRUE(),$U5="TRUE"),1,0))</f>
        <v/>
      </c>
      <c r="AP5">
        <f>IF($D5="","",IF($AC5="Yes",1,0))</f>
        <v/>
      </c>
      <c r="AQ5">
        <f>IF($AM5=1,IFERROR(VALUE(MID($D5,2,20)),1000000000)+ROW()/100000,"")</f>
        <v/>
      </c>
    </row>
    <row r="6">
      <c r="G6" s="11" t="n"/>
      <c r="Q6" s="7">
        <f>IF($D6="","",P6*Y6/100)</f>
        <v/>
      </c>
      <c r="R6" s="7" t="n"/>
      <c r="X6" s="7" t="n"/>
      <c r="Y6" s="7" t="n"/>
      <c r="Z6" s="7">
        <f>IF($D6="","",Y6*AD6/100)</f>
        <v/>
      </c>
      <c r="AA6" s="7">
        <f>IF($D6="","",Y6-Z6)</f>
        <v/>
      </c>
      <c r="AB6" s="7">
        <f>IF($D6="","",AA6-Q6)</f>
        <v/>
      </c>
      <c r="AD6">
        <f>IF($D6="","",IF($AP6=1,0,IF($AO6=1,Settings!$C$6,Settings!$C$7))*100)</f>
        <v/>
      </c>
      <c r="AH6" s="7" t="n"/>
      <c r="AK6" s="11" t="n"/>
      <c r="AM6">
        <f>IF($D6="","",IF(COUNTIF($D$2:$D6,$D6)=1,1,0))</f>
        <v/>
      </c>
      <c r="AN6">
        <f>IF($AM6=1,SUMPRODUCT(--($AQ$2:$AQ$1001&lt;$AQ6))+1,"")</f>
        <v/>
      </c>
      <c r="AO6">
        <f>IF($D6="","",IF(OR($U6=TRUE(),$U6="TRUE"),1,0))</f>
        <v/>
      </c>
      <c r="AP6">
        <f>IF($D6="","",IF($AC6="Yes",1,0))</f>
        <v/>
      </c>
      <c r="AQ6">
        <f>IF($AM6=1,IFERROR(VALUE(MID($D6,2,20)),1000000000)+ROW()/100000,"")</f>
        <v/>
      </c>
    </row>
    <row r="7">
      <c r="G7" s="11" t="n"/>
      <c r="Q7" s="7">
        <f>IF($D7="","",P7*Y7/100)</f>
        <v/>
      </c>
      <c r="R7" s="7" t="n"/>
      <c r="X7" s="7" t="n"/>
      <c r="Y7" s="7" t="n"/>
      <c r="Z7" s="7">
        <f>IF($D7="","",Y7*AD7/100)</f>
        <v/>
      </c>
      <c r="AA7" s="7">
        <f>IF($D7="","",Y7-Z7)</f>
        <v/>
      </c>
      <c r="AB7" s="7">
        <f>IF($D7="","",AA7-Q7)</f>
        <v/>
      </c>
      <c r="AD7">
        <f>IF($D7="","",IF($AP7=1,0,IF($AO7=1,Settings!$C$6,Settings!$C$7))*100)</f>
        <v/>
      </c>
      <c r="AH7" s="7" t="n"/>
      <c r="AK7" s="11" t="n"/>
      <c r="AM7">
        <f>IF($D7="","",IF(COUNTIF($D$2:$D7,$D7)=1,1,0))</f>
        <v/>
      </c>
      <c r="AN7">
        <f>IF($AM7=1,SUMPRODUCT(--($AQ$2:$AQ$1001&lt;$AQ7))+1,"")</f>
        <v/>
      </c>
      <c r="AO7">
        <f>IF($D7="","",IF(OR($U7=TRUE(),$U7="TRUE"),1,0))</f>
        <v/>
      </c>
      <c r="AP7">
        <f>IF($D7="","",IF($AC7="Yes",1,0))</f>
        <v/>
      </c>
      <c r="AQ7">
        <f>IF($AM7=1,IFERROR(VALUE(MID($D7,2,20)),1000000000)+ROW()/100000,"")</f>
        <v/>
      </c>
    </row>
    <row r="8">
      <c r="G8" s="11" t="n"/>
      <c r="Q8" s="7">
        <f>IF($D8="","",P8*Y8/100)</f>
        <v/>
      </c>
      <c r="R8" s="7" t="n"/>
      <c r="X8" s="7" t="n"/>
      <c r="Y8" s="7" t="n"/>
      <c r="Z8" s="7">
        <f>IF($D8="","",Y8*AD8/100)</f>
        <v/>
      </c>
      <c r="AA8" s="7">
        <f>IF($D8="","",Y8-Z8)</f>
        <v/>
      </c>
      <c r="AB8" s="7">
        <f>IF($D8="","",AA8-Q8)</f>
        <v/>
      </c>
      <c r="AD8">
        <f>IF($D8="","",IF($AP8=1,0,IF($AO8=1,Settings!$C$6,Settings!$C$7))*100)</f>
        <v/>
      </c>
      <c r="AH8" s="7" t="n"/>
      <c r="AK8" s="11" t="n"/>
      <c r="AM8">
        <f>IF($D8="","",IF(COUNTIF($D$2:$D8,$D8)=1,1,0))</f>
        <v/>
      </c>
      <c r="AN8">
        <f>IF($AM8=1,SUMPRODUCT(--($AQ$2:$AQ$1001&lt;$AQ8))+1,"")</f>
        <v/>
      </c>
      <c r="AO8">
        <f>IF($D8="","",IF(OR($U8=TRUE(),$U8="TRUE"),1,0))</f>
        <v/>
      </c>
      <c r="AP8">
        <f>IF($D8="","",IF($AC8="Yes",1,0))</f>
        <v/>
      </c>
      <c r="AQ8">
        <f>IF($AM8=1,IFERROR(VALUE(MID($D8,2,20)),1000000000)+ROW()/100000,"")</f>
        <v/>
      </c>
    </row>
    <row r="9">
      <c r="G9" s="11" t="n"/>
      <c r="Q9" s="7">
        <f>IF($D9="","",P9*Y9/100)</f>
        <v/>
      </c>
      <c r="R9" s="7" t="n"/>
      <c r="X9" s="7" t="n"/>
      <c r="Y9" s="7" t="n"/>
      <c r="Z9" s="7">
        <f>IF($D9="","",Y9*AD9/100)</f>
        <v/>
      </c>
      <c r="AA9" s="7">
        <f>IF($D9="","",Y9-Z9)</f>
        <v/>
      </c>
      <c r="AB9" s="7">
        <f>IF($D9="","",AA9-Q9)</f>
        <v/>
      </c>
      <c r="AD9">
        <f>IF($D9="","",IF($AP9=1,0,IF($AO9=1,Settings!$C$6,Settings!$C$7))*100)</f>
        <v/>
      </c>
      <c r="AH9" s="7" t="n"/>
      <c r="AK9" s="11" t="n"/>
      <c r="AM9">
        <f>IF($D9="","",IF(COUNTIF($D$2:$D9,$D9)=1,1,0))</f>
        <v/>
      </c>
      <c r="AN9">
        <f>IF($AM9=1,SUMPRODUCT(--($AQ$2:$AQ$1001&lt;$AQ9))+1,"")</f>
        <v/>
      </c>
      <c r="AO9">
        <f>IF($D9="","",IF(OR($U9=TRUE(),$U9="TRUE"),1,0))</f>
        <v/>
      </c>
      <c r="AP9">
        <f>IF($D9="","",IF($AC9="Yes",1,0))</f>
        <v/>
      </c>
      <c r="AQ9">
        <f>IF($AM9=1,IFERROR(VALUE(MID($D9,2,20)),1000000000)+ROW()/100000,"")</f>
        <v/>
      </c>
    </row>
    <row r="10">
      <c r="G10" s="11" t="n"/>
      <c r="Q10" s="7">
        <f>IF($D10="","",P10*Y10/100)</f>
        <v/>
      </c>
      <c r="R10" s="7" t="n"/>
      <c r="X10" s="7" t="n"/>
      <c r="Y10" s="7" t="n"/>
      <c r="Z10" s="7">
        <f>IF($D10="","",Y10*AD10/100)</f>
        <v/>
      </c>
      <c r="AA10" s="7">
        <f>IF($D10="","",Y10-Z10)</f>
        <v/>
      </c>
      <c r="AB10" s="7">
        <f>IF($D10="","",AA10-Q10)</f>
        <v/>
      </c>
      <c r="AD10">
        <f>IF($D10="","",IF($AP10=1,0,IF($AO10=1,Settings!$C$6,Settings!$C$7))*100)</f>
        <v/>
      </c>
      <c r="AH10" s="7" t="n"/>
      <c r="AK10" s="11" t="n"/>
      <c r="AM10">
        <f>IF($D10="","",IF(COUNTIF($D$2:$D10,$D10)=1,1,0))</f>
        <v/>
      </c>
      <c r="AN10">
        <f>IF($AM10=1,SUMPRODUCT(--($AQ$2:$AQ$1001&lt;$AQ10))+1,"")</f>
        <v/>
      </c>
      <c r="AO10">
        <f>IF($D10="","",IF(OR($U10=TRUE(),$U10="TRUE"),1,0))</f>
        <v/>
      </c>
      <c r="AP10">
        <f>IF($D10="","",IF($AC10="Yes",1,0))</f>
        <v/>
      </c>
      <c r="AQ10">
        <f>IF($AM10=1,IFERROR(VALUE(MID($D10,2,20)),1000000000)+ROW()/100000,"")</f>
        <v/>
      </c>
    </row>
    <row r="11">
      <c r="G11" s="11" t="n"/>
      <c r="Q11" s="7">
        <f>IF($D11="","",P11*Y11/100)</f>
        <v/>
      </c>
      <c r="R11" s="7" t="n"/>
      <c r="X11" s="7" t="n"/>
      <c r="Y11" s="7" t="n"/>
      <c r="Z11" s="7">
        <f>IF($D11="","",Y11*AD11/100)</f>
        <v/>
      </c>
      <c r="AA11" s="7">
        <f>IF($D11="","",Y11-Z11)</f>
        <v/>
      </c>
      <c r="AB11" s="7">
        <f>IF($D11="","",AA11-Q11)</f>
        <v/>
      </c>
      <c r="AD11">
        <f>IF($D11="","",IF($AP11=1,0,IF($AO11=1,Settings!$C$6,Settings!$C$7))*100)</f>
        <v/>
      </c>
      <c r="AH11" s="7" t="n"/>
      <c r="AK11" s="11" t="n"/>
      <c r="AM11">
        <f>IF($D11="","",IF(COUNTIF($D$2:$D11,$D11)=1,1,0))</f>
        <v/>
      </c>
      <c r="AN11">
        <f>IF($AM11=1,SUMPRODUCT(--($AQ$2:$AQ$1001&lt;$AQ11))+1,"")</f>
        <v/>
      </c>
      <c r="AO11">
        <f>IF($D11="","",IF(OR($U11=TRUE(),$U11="TRUE"),1,0))</f>
        <v/>
      </c>
      <c r="AP11">
        <f>IF($D11="","",IF($AC11="Yes",1,0))</f>
        <v/>
      </c>
      <c r="AQ11">
        <f>IF($AM11=1,IFERROR(VALUE(MID($D11,2,20)),1000000000)+ROW()/100000,"")</f>
        <v/>
      </c>
    </row>
    <row r="12">
      <c r="G12" s="11" t="n"/>
      <c r="Q12" s="7">
        <f>IF($D12="","",P12*Y12/100)</f>
        <v/>
      </c>
      <c r="R12" s="7" t="n"/>
      <c r="X12" s="7" t="n"/>
      <c r="Y12" s="7" t="n"/>
      <c r="Z12" s="7">
        <f>IF($D12="","",Y12*AD12/100)</f>
        <v/>
      </c>
      <c r="AA12" s="7">
        <f>IF($D12="","",Y12-Z12)</f>
        <v/>
      </c>
      <c r="AB12" s="7">
        <f>IF($D12="","",AA12-Q12)</f>
        <v/>
      </c>
      <c r="AD12">
        <f>IF($D12="","",IF($AP12=1,0,IF($AO12=1,Settings!$C$6,Settings!$C$7))*100)</f>
        <v/>
      </c>
      <c r="AH12" s="7" t="n"/>
      <c r="AK12" s="11" t="n"/>
      <c r="AM12">
        <f>IF($D12="","",IF(COUNTIF($D$2:$D12,$D12)=1,1,0))</f>
        <v/>
      </c>
      <c r="AN12">
        <f>IF($AM12=1,SUMPRODUCT(--($AQ$2:$AQ$1001&lt;$AQ12))+1,"")</f>
        <v/>
      </c>
      <c r="AO12">
        <f>IF($D12="","",IF(OR($U12=TRUE(),$U12="TRUE"),1,0))</f>
        <v/>
      </c>
      <c r="AP12">
        <f>IF($D12="","",IF($AC12="Yes",1,0))</f>
        <v/>
      </c>
      <c r="AQ12">
        <f>IF($AM12=1,IFERROR(VALUE(MID($D12,2,20)),1000000000)+ROW()/100000,"")</f>
        <v/>
      </c>
    </row>
    <row r="13">
      <c r="G13" s="11" t="n"/>
      <c r="Q13" s="7">
        <f>IF($D13="","",P13*Y13/100)</f>
        <v/>
      </c>
      <c r="R13" s="7" t="n"/>
      <c r="X13" s="7" t="n"/>
      <c r="Y13" s="7" t="n"/>
      <c r="Z13" s="7">
        <f>IF($D13="","",Y13*AD13/100)</f>
        <v/>
      </c>
      <c r="AA13" s="7">
        <f>IF($D13="","",Y13-Z13)</f>
        <v/>
      </c>
      <c r="AB13" s="7">
        <f>IF($D13="","",AA13-Q13)</f>
        <v/>
      </c>
      <c r="AD13">
        <f>IF($D13="","",IF($AP13=1,0,IF($AO13=1,Settings!$C$6,Settings!$C$7))*100)</f>
        <v/>
      </c>
      <c r="AH13" s="7" t="n"/>
      <c r="AK13" s="11" t="n"/>
      <c r="AM13">
        <f>IF($D13="","",IF(COUNTIF($D$2:$D13,$D13)=1,1,0))</f>
        <v/>
      </c>
      <c r="AN13">
        <f>IF($AM13=1,SUMPRODUCT(--($AQ$2:$AQ$1001&lt;$AQ13))+1,"")</f>
        <v/>
      </c>
      <c r="AO13">
        <f>IF($D13="","",IF(OR($U13=TRUE(),$U13="TRUE"),1,0))</f>
        <v/>
      </c>
      <c r="AP13">
        <f>IF($D13="","",IF($AC13="Yes",1,0))</f>
        <v/>
      </c>
      <c r="AQ13">
        <f>IF($AM13=1,IFERROR(VALUE(MID($D13,2,20)),1000000000)+ROW()/100000,"")</f>
        <v/>
      </c>
    </row>
    <row r="14">
      <c r="G14" s="11" t="n"/>
      <c r="Q14" s="7">
        <f>IF($D14="","",P14*Y14/100)</f>
        <v/>
      </c>
      <c r="R14" s="7" t="n"/>
      <c r="X14" s="7" t="n"/>
      <c r="Y14" s="7" t="n"/>
      <c r="Z14" s="7">
        <f>IF($D14="","",Y14*AD14/100)</f>
        <v/>
      </c>
      <c r="AA14" s="7">
        <f>IF($D14="","",Y14-Z14)</f>
        <v/>
      </c>
      <c r="AB14" s="7">
        <f>IF($D14="","",AA14-Q14)</f>
        <v/>
      </c>
      <c r="AD14">
        <f>IF($D14="","",IF($AP14=1,0,IF($AO14=1,Settings!$C$6,Settings!$C$7))*100)</f>
        <v/>
      </c>
      <c r="AH14" s="7" t="n"/>
      <c r="AK14" s="11" t="n"/>
      <c r="AM14">
        <f>IF($D14="","",IF(COUNTIF($D$2:$D14,$D14)=1,1,0))</f>
        <v/>
      </c>
      <c r="AN14">
        <f>IF($AM14=1,SUMPRODUCT(--($AQ$2:$AQ$1001&lt;$AQ14))+1,"")</f>
        <v/>
      </c>
      <c r="AO14">
        <f>IF($D14="","",IF(OR($U14=TRUE(),$U14="TRUE"),1,0))</f>
        <v/>
      </c>
      <c r="AP14">
        <f>IF($D14="","",IF($AC14="Yes",1,0))</f>
        <v/>
      </c>
      <c r="AQ14">
        <f>IF($AM14=1,IFERROR(VALUE(MID($D14,2,20)),1000000000)+ROW()/100000,"")</f>
        <v/>
      </c>
    </row>
    <row r="15">
      <c r="G15" s="11" t="n"/>
      <c r="Q15" s="7">
        <f>IF($D15="","",P15*Y15/100)</f>
        <v/>
      </c>
      <c r="R15" s="7" t="n"/>
      <c r="X15" s="7" t="n"/>
      <c r="Y15" s="7" t="n"/>
      <c r="Z15" s="7">
        <f>IF($D15="","",Y15*AD15/100)</f>
        <v/>
      </c>
      <c r="AA15" s="7">
        <f>IF($D15="","",Y15-Z15)</f>
        <v/>
      </c>
      <c r="AB15" s="7">
        <f>IF($D15="","",AA15-Q15)</f>
        <v/>
      </c>
      <c r="AD15">
        <f>IF($D15="","",IF($AP15=1,0,IF($AO15=1,Settings!$C$6,Settings!$C$7))*100)</f>
        <v/>
      </c>
      <c r="AH15" s="7" t="n"/>
      <c r="AK15" s="11" t="n"/>
      <c r="AM15">
        <f>IF($D15="","",IF(COUNTIF($D$2:$D15,$D15)=1,1,0))</f>
        <v/>
      </c>
      <c r="AN15">
        <f>IF($AM15=1,SUMPRODUCT(--($AQ$2:$AQ$1001&lt;$AQ15))+1,"")</f>
        <v/>
      </c>
      <c r="AO15">
        <f>IF($D15="","",IF(OR($U15=TRUE(),$U15="TRUE"),1,0))</f>
        <v/>
      </c>
      <c r="AP15">
        <f>IF($D15="","",IF($AC15="Yes",1,0))</f>
        <v/>
      </c>
      <c r="AQ15">
        <f>IF($AM15=1,IFERROR(VALUE(MID($D15,2,20)),1000000000)+ROW()/100000,"")</f>
        <v/>
      </c>
    </row>
    <row r="16">
      <c r="G16" s="11" t="n"/>
      <c r="Q16" s="7">
        <f>IF($D16="","",P16*Y16/100)</f>
        <v/>
      </c>
      <c r="R16" s="7" t="n"/>
      <c r="X16" s="7" t="n"/>
      <c r="Y16" s="7" t="n"/>
      <c r="Z16" s="7">
        <f>IF($D16="","",Y16*AD16/100)</f>
        <v/>
      </c>
      <c r="AA16" s="7">
        <f>IF($D16="","",Y16-Z16)</f>
        <v/>
      </c>
      <c r="AB16" s="7">
        <f>IF($D16="","",AA16-Q16)</f>
        <v/>
      </c>
      <c r="AD16">
        <f>IF($D16="","",IF($AP16=1,0,IF($AO16=1,Settings!$C$6,Settings!$C$7))*100)</f>
        <v/>
      </c>
      <c r="AH16" s="7" t="n"/>
      <c r="AK16" s="11" t="n"/>
      <c r="AM16">
        <f>IF($D16="","",IF(COUNTIF($D$2:$D16,$D16)=1,1,0))</f>
        <v/>
      </c>
      <c r="AN16">
        <f>IF($AM16=1,SUMPRODUCT(--($AQ$2:$AQ$1001&lt;$AQ16))+1,"")</f>
        <v/>
      </c>
      <c r="AO16">
        <f>IF($D16="","",IF(OR($U16=TRUE(),$U16="TRUE"),1,0))</f>
        <v/>
      </c>
      <c r="AP16">
        <f>IF($D16="","",IF($AC16="Yes",1,0))</f>
        <v/>
      </c>
      <c r="AQ16">
        <f>IF($AM16=1,IFERROR(VALUE(MID($D16,2,20)),1000000000)+ROW()/100000,"")</f>
        <v/>
      </c>
    </row>
    <row r="17">
      <c r="G17" s="11" t="n"/>
      <c r="Q17" s="7">
        <f>IF($D17="","",P17*Y17/100)</f>
        <v/>
      </c>
      <c r="R17" s="7" t="n"/>
      <c r="X17" s="7" t="n"/>
      <c r="Y17" s="7" t="n"/>
      <c r="Z17" s="7">
        <f>IF($D17="","",Y17*AD17/100)</f>
        <v/>
      </c>
      <c r="AA17" s="7">
        <f>IF($D17="","",Y17-Z17)</f>
        <v/>
      </c>
      <c r="AB17" s="7">
        <f>IF($D17="","",AA17-Q17)</f>
        <v/>
      </c>
      <c r="AD17">
        <f>IF($D17="","",IF($AP17=1,0,IF($AO17=1,Settings!$C$6,Settings!$C$7))*100)</f>
        <v/>
      </c>
      <c r="AH17" s="7" t="n"/>
      <c r="AK17" s="11" t="n"/>
      <c r="AM17">
        <f>IF($D17="","",IF(COUNTIF($D$2:$D17,$D17)=1,1,0))</f>
        <v/>
      </c>
      <c r="AN17">
        <f>IF($AM17=1,SUMPRODUCT(--($AQ$2:$AQ$1001&lt;$AQ17))+1,"")</f>
        <v/>
      </c>
      <c r="AO17">
        <f>IF($D17="","",IF(OR($U17=TRUE(),$U17="TRUE"),1,0))</f>
        <v/>
      </c>
      <c r="AP17">
        <f>IF($D17="","",IF($AC17="Yes",1,0))</f>
        <v/>
      </c>
      <c r="AQ17">
        <f>IF($AM17=1,IFERROR(VALUE(MID($D17,2,20)),1000000000)+ROW()/100000,"")</f>
        <v/>
      </c>
    </row>
    <row r="18">
      <c r="G18" s="11" t="n"/>
      <c r="Q18" s="7">
        <f>IF($D18="","",P18*Y18/100)</f>
        <v/>
      </c>
      <c r="R18" s="7" t="n"/>
      <c r="X18" s="7" t="n"/>
      <c r="Y18" s="7" t="n"/>
      <c r="Z18" s="7">
        <f>IF($D18="","",Y18*AD18/100)</f>
        <v/>
      </c>
      <c r="AA18" s="7">
        <f>IF($D18="","",Y18-Z18)</f>
        <v/>
      </c>
      <c r="AB18" s="7">
        <f>IF($D18="","",AA18-Q18)</f>
        <v/>
      </c>
      <c r="AD18">
        <f>IF($D18="","",IF($AP18=1,0,IF($AO18=1,Settings!$C$6,Settings!$C$7))*100)</f>
        <v/>
      </c>
      <c r="AH18" s="7" t="n"/>
      <c r="AK18" s="11" t="n"/>
      <c r="AM18">
        <f>IF($D18="","",IF(COUNTIF($D$2:$D18,$D18)=1,1,0))</f>
        <v/>
      </c>
      <c r="AN18">
        <f>IF($AM18=1,SUMPRODUCT(--($AQ$2:$AQ$1001&lt;$AQ18))+1,"")</f>
        <v/>
      </c>
      <c r="AO18">
        <f>IF($D18="","",IF(OR($U18=TRUE(),$U18="TRUE"),1,0))</f>
        <v/>
      </c>
      <c r="AP18">
        <f>IF($D18="","",IF($AC18="Yes",1,0))</f>
        <v/>
      </c>
      <c r="AQ18">
        <f>IF($AM18=1,IFERROR(VALUE(MID($D18,2,20)),1000000000)+ROW()/100000,"")</f>
        <v/>
      </c>
    </row>
    <row r="19">
      <c r="G19" s="11" t="n"/>
      <c r="Q19" s="7">
        <f>IF($D19="","",P19*Y19/100)</f>
        <v/>
      </c>
      <c r="R19" s="7" t="n"/>
      <c r="X19" s="7" t="n"/>
      <c r="Y19" s="7" t="n"/>
      <c r="Z19" s="7">
        <f>IF($D19="","",Y19*AD19/100)</f>
        <v/>
      </c>
      <c r="AA19" s="7">
        <f>IF($D19="","",Y19-Z19)</f>
        <v/>
      </c>
      <c r="AB19" s="7">
        <f>IF($D19="","",AA19-Q19)</f>
        <v/>
      </c>
      <c r="AD19">
        <f>IF($D19="","",IF($AP19=1,0,IF($AO19=1,Settings!$C$6,Settings!$C$7))*100)</f>
        <v/>
      </c>
      <c r="AH19" s="7" t="n"/>
      <c r="AK19" s="11" t="n"/>
      <c r="AM19">
        <f>IF($D19="","",IF(COUNTIF($D$2:$D19,$D19)=1,1,0))</f>
        <v/>
      </c>
      <c r="AN19">
        <f>IF($AM19=1,SUMPRODUCT(--($AQ$2:$AQ$1001&lt;$AQ19))+1,"")</f>
        <v/>
      </c>
      <c r="AO19">
        <f>IF($D19="","",IF(OR($U19=TRUE(),$U19="TRUE"),1,0))</f>
        <v/>
      </c>
      <c r="AP19">
        <f>IF($D19="","",IF($AC19="Yes",1,0))</f>
        <v/>
      </c>
      <c r="AQ19">
        <f>IF($AM19=1,IFERROR(VALUE(MID($D19,2,20)),1000000000)+ROW()/100000,"")</f>
        <v/>
      </c>
    </row>
    <row r="20">
      <c r="G20" s="11" t="n"/>
      <c r="Q20" s="7">
        <f>IF($D20="","",P20*Y20/100)</f>
        <v/>
      </c>
      <c r="R20" s="7" t="n"/>
      <c r="X20" s="7" t="n"/>
      <c r="Y20" s="7" t="n"/>
      <c r="Z20" s="7">
        <f>IF($D20="","",Y20*AD20/100)</f>
        <v/>
      </c>
      <c r="AA20" s="7">
        <f>IF($D20="","",Y20-Z20)</f>
        <v/>
      </c>
      <c r="AB20" s="7">
        <f>IF($D20="","",AA20-Q20)</f>
        <v/>
      </c>
      <c r="AD20">
        <f>IF($D20="","",IF($AP20=1,0,IF($AO20=1,Settings!$C$6,Settings!$C$7))*100)</f>
        <v/>
      </c>
      <c r="AH20" s="7" t="n"/>
      <c r="AK20" s="11" t="n"/>
      <c r="AM20">
        <f>IF($D20="","",IF(COUNTIF($D$2:$D20,$D20)=1,1,0))</f>
        <v/>
      </c>
      <c r="AN20">
        <f>IF($AM20=1,SUMPRODUCT(--($AQ$2:$AQ$1001&lt;$AQ20))+1,"")</f>
        <v/>
      </c>
      <c r="AO20">
        <f>IF($D20="","",IF(OR($U20=TRUE(),$U20="TRUE"),1,0))</f>
        <v/>
      </c>
      <c r="AP20">
        <f>IF($D20="","",IF($AC20="Yes",1,0))</f>
        <v/>
      </c>
      <c r="AQ20">
        <f>IF($AM20=1,IFERROR(VALUE(MID($D20,2,20)),1000000000)+ROW()/100000,"")</f>
        <v/>
      </c>
    </row>
    <row r="21">
      <c r="G21" s="11" t="n"/>
      <c r="Q21" s="7">
        <f>IF($D21="","",P21*Y21/100)</f>
        <v/>
      </c>
      <c r="R21" s="7" t="n"/>
      <c r="X21" s="7" t="n"/>
      <c r="Y21" s="7" t="n"/>
      <c r="Z21" s="7">
        <f>IF($D21="","",Y21*AD21/100)</f>
        <v/>
      </c>
      <c r="AA21" s="7">
        <f>IF($D21="","",Y21-Z21)</f>
        <v/>
      </c>
      <c r="AB21" s="7">
        <f>IF($D21="","",AA21-Q21)</f>
        <v/>
      </c>
      <c r="AD21">
        <f>IF($D21="","",IF($AP21=1,0,IF($AO21=1,Settings!$C$6,Settings!$C$7))*100)</f>
        <v/>
      </c>
      <c r="AH21" s="7" t="n"/>
      <c r="AK21" s="11" t="n"/>
      <c r="AM21">
        <f>IF($D21="","",IF(COUNTIF($D$2:$D21,$D21)=1,1,0))</f>
        <v/>
      </c>
      <c r="AN21">
        <f>IF($AM21=1,SUMPRODUCT(--($AQ$2:$AQ$1001&lt;$AQ21))+1,"")</f>
        <v/>
      </c>
      <c r="AO21">
        <f>IF($D21="","",IF(OR($U21=TRUE(),$U21="TRUE"),1,0))</f>
        <v/>
      </c>
      <c r="AP21">
        <f>IF($D21="","",IF($AC21="Yes",1,0))</f>
        <v/>
      </c>
      <c r="AQ21">
        <f>IF($AM21=1,IFERROR(VALUE(MID($D21,2,20)),1000000000)+ROW()/100000,"")</f>
        <v/>
      </c>
    </row>
    <row r="22">
      <c r="G22" s="11" t="n"/>
      <c r="Q22" s="7">
        <f>IF($D22="","",P22*Y22/100)</f>
        <v/>
      </c>
      <c r="R22" s="7" t="n"/>
      <c r="X22" s="7" t="n"/>
      <c r="Y22" s="7" t="n"/>
      <c r="Z22" s="7">
        <f>IF($D22="","",Y22*AD22/100)</f>
        <v/>
      </c>
      <c r="AA22" s="7">
        <f>IF($D22="","",Y22-Z22)</f>
        <v/>
      </c>
      <c r="AB22" s="7">
        <f>IF($D22="","",AA22-Q22)</f>
        <v/>
      </c>
      <c r="AD22">
        <f>IF($D22="","",IF($AP22=1,0,IF($AO22=1,Settings!$C$6,Settings!$C$7))*100)</f>
        <v/>
      </c>
      <c r="AH22" s="7" t="n"/>
      <c r="AK22" s="11" t="n"/>
      <c r="AM22">
        <f>IF($D22="","",IF(COUNTIF($D$2:$D22,$D22)=1,1,0))</f>
        <v/>
      </c>
      <c r="AN22">
        <f>IF($AM22=1,SUMPRODUCT(--($AQ$2:$AQ$1001&lt;$AQ22))+1,"")</f>
        <v/>
      </c>
      <c r="AO22">
        <f>IF($D22="","",IF(OR($U22=TRUE(),$U22="TRUE"),1,0))</f>
        <v/>
      </c>
      <c r="AP22">
        <f>IF($D22="","",IF($AC22="Yes",1,0))</f>
        <v/>
      </c>
      <c r="AQ22">
        <f>IF($AM22=1,IFERROR(VALUE(MID($D22,2,20)),1000000000)+ROW()/100000,"")</f>
        <v/>
      </c>
    </row>
    <row r="23">
      <c r="G23" s="11" t="n"/>
      <c r="Q23" s="7">
        <f>IF($D23="","",P23*Y23/100)</f>
        <v/>
      </c>
      <c r="R23" s="7" t="n"/>
      <c r="X23" s="7" t="n"/>
      <c r="Y23" s="7" t="n"/>
      <c r="Z23" s="7">
        <f>IF($D23="","",Y23*AD23/100)</f>
        <v/>
      </c>
      <c r="AA23" s="7">
        <f>IF($D23="","",Y23-Z23)</f>
        <v/>
      </c>
      <c r="AB23" s="7">
        <f>IF($D23="","",AA23-Q23)</f>
        <v/>
      </c>
      <c r="AD23">
        <f>IF($D23="","",IF($AP23=1,0,IF($AO23=1,Settings!$C$6,Settings!$C$7))*100)</f>
        <v/>
      </c>
      <c r="AH23" s="7" t="n"/>
      <c r="AK23" s="11" t="n"/>
      <c r="AM23">
        <f>IF($D23="","",IF(COUNTIF($D$2:$D23,$D23)=1,1,0))</f>
        <v/>
      </c>
      <c r="AN23">
        <f>IF($AM23=1,SUMPRODUCT(--($AQ$2:$AQ$1001&lt;$AQ23))+1,"")</f>
        <v/>
      </c>
      <c r="AO23">
        <f>IF($D23="","",IF(OR($U23=TRUE(),$U23="TRUE"),1,0))</f>
        <v/>
      </c>
      <c r="AP23">
        <f>IF($D23="","",IF($AC23="Yes",1,0))</f>
        <v/>
      </c>
      <c r="AQ23">
        <f>IF($AM23=1,IFERROR(VALUE(MID($D23,2,20)),1000000000)+ROW()/100000,"")</f>
        <v/>
      </c>
    </row>
    <row r="24">
      <c r="G24" s="11" t="n"/>
      <c r="Q24" s="7">
        <f>IF($D24="","",P24*Y24/100)</f>
        <v/>
      </c>
      <c r="R24" s="7" t="n"/>
      <c r="X24" s="7" t="n"/>
      <c r="Y24" s="7" t="n"/>
      <c r="Z24" s="7">
        <f>IF($D24="","",Y24*AD24/100)</f>
        <v/>
      </c>
      <c r="AA24" s="7">
        <f>IF($D24="","",Y24-Z24)</f>
        <v/>
      </c>
      <c r="AB24" s="7">
        <f>IF($D24="","",AA24-Q24)</f>
        <v/>
      </c>
      <c r="AD24">
        <f>IF($D24="","",IF($AP24=1,0,IF($AO24=1,Settings!$C$6,Settings!$C$7))*100)</f>
        <v/>
      </c>
      <c r="AH24" s="7" t="n"/>
      <c r="AK24" s="11" t="n"/>
      <c r="AM24">
        <f>IF($D24="","",IF(COUNTIF($D$2:$D24,$D24)=1,1,0))</f>
        <v/>
      </c>
      <c r="AN24">
        <f>IF($AM24=1,SUMPRODUCT(--($AQ$2:$AQ$1001&lt;$AQ24))+1,"")</f>
        <v/>
      </c>
      <c r="AO24">
        <f>IF($D24="","",IF(OR($U24=TRUE(),$U24="TRUE"),1,0))</f>
        <v/>
      </c>
      <c r="AP24">
        <f>IF($D24="","",IF($AC24="Yes",1,0))</f>
        <v/>
      </c>
      <c r="AQ24">
        <f>IF($AM24=1,IFERROR(VALUE(MID($D24,2,20)),1000000000)+ROW()/100000,"")</f>
        <v/>
      </c>
    </row>
    <row r="25">
      <c r="G25" s="11" t="n"/>
      <c r="Q25" s="7">
        <f>IF($D25="","",P25*Y25/100)</f>
        <v/>
      </c>
      <c r="R25" s="7" t="n"/>
      <c r="X25" s="7" t="n"/>
      <c r="Y25" s="7" t="n"/>
      <c r="Z25" s="7">
        <f>IF($D25="","",Y25*AD25/100)</f>
        <v/>
      </c>
      <c r="AA25" s="7">
        <f>IF($D25="","",Y25-Z25)</f>
        <v/>
      </c>
      <c r="AB25" s="7">
        <f>IF($D25="","",AA25-Q25)</f>
        <v/>
      </c>
      <c r="AD25">
        <f>IF($D25="","",IF($AP25=1,0,IF($AO25=1,Settings!$C$6,Settings!$C$7))*100)</f>
        <v/>
      </c>
      <c r="AH25" s="7" t="n"/>
      <c r="AK25" s="11" t="n"/>
      <c r="AM25">
        <f>IF($D25="","",IF(COUNTIF($D$2:$D25,$D25)=1,1,0))</f>
        <v/>
      </c>
      <c r="AN25">
        <f>IF($AM25=1,SUMPRODUCT(--($AQ$2:$AQ$1001&lt;$AQ25))+1,"")</f>
        <v/>
      </c>
      <c r="AO25">
        <f>IF($D25="","",IF(OR($U25=TRUE(),$U25="TRUE"),1,0))</f>
        <v/>
      </c>
      <c r="AP25">
        <f>IF($D25="","",IF($AC25="Yes",1,0))</f>
        <v/>
      </c>
      <c r="AQ25">
        <f>IF($AM25=1,IFERROR(VALUE(MID($D25,2,20)),1000000000)+ROW()/100000,"")</f>
        <v/>
      </c>
    </row>
    <row r="26">
      <c r="G26" s="11" t="n"/>
      <c r="Q26" s="7">
        <f>IF($D26="","",P26*Y26/100)</f>
        <v/>
      </c>
      <c r="R26" s="7" t="n"/>
      <c r="X26" s="7" t="n"/>
      <c r="Y26" s="7" t="n"/>
      <c r="Z26" s="7">
        <f>IF($D26="","",Y26*AD26/100)</f>
        <v/>
      </c>
      <c r="AA26" s="7">
        <f>IF($D26="","",Y26-Z26)</f>
        <v/>
      </c>
      <c r="AB26" s="7">
        <f>IF($D26="","",AA26-Q26)</f>
        <v/>
      </c>
      <c r="AD26">
        <f>IF($D26="","",IF($AP26=1,0,IF($AO26=1,Settings!$C$6,Settings!$C$7))*100)</f>
        <v/>
      </c>
      <c r="AH26" s="7" t="n"/>
      <c r="AK26" s="11" t="n"/>
      <c r="AM26">
        <f>IF($D26="","",IF(COUNTIF($D$2:$D26,$D26)=1,1,0))</f>
        <v/>
      </c>
      <c r="AN26">
        <f>IF($AM26=1,SUMPRODUCT(--($AQ$2:$AQ$1001&lt;$AQ26))+1,"")</f>
        <v/>
      </c>
      <c r="AO26">
        <f>IF($D26="","",IF(OR($U26=TRUE(),$U26="TRUE"),1,0))</f>
        <v/>
      </c>
      <c r="AP26">
        <f>IF($D26="","",IF($AC26="Yes",1,0))</f>
        <v/>
      </c>
      <c r="AQ26">
        <f>IF($AM26=1,IFERROR(VALUE(MID($D26,2,20)),1000000000)+ROW()/100000,"")</f>
        <v/>
      </c>
    </row>
    <row r="27">
      <c r="G27" s="11" t="n"/>
      <c r="Q27" s="7">
        <f>IF($D27="","",P27*Y27/100)</f>
        <v/>
      </c>
      <c r="R27" s="7" t="n"/>
      <c r="X27" s="7" t="n"/>
      <c r="Y27" s="7" t="n"/>
      <c r="Z27" s="7">
        <f>IF($D27="","",Y27*AD27/100)</f>
        <v/>
      </c>
      <c r="AA27" s="7">
        <f>IF($D27="","",Y27-Z27)</f>
        <v/>
      </c>
      <c r="AB27" s="7">
        <f>IF($D27="","",AA27-Q27)</f>
        <v/>
      </c>
      <c r="AD27">
        <f>IF($D27="","",IF($AP27=1,0,IF($AO27=1,Settings!$C$6,Settings!$C$7))*100)</f>
        <v/>
      </c>
      <c r="AH27" s="7" t="n"/>
      <c r="AK27" s="11" t="n"/>
      <c r="AM27">
        <f>IF($D27="","",IF(COUNTIF($D$2:$D27,$D27)=1,1,0))</f>
        <v/>
      </c>
      <c r="AN27">
        <f>IF($AM27=1,SUMPRODUCT(--($AQ$2:$AQ$1001&lt;$AQ27))+1,"")</f>
        <v/>
      </c>
      <c r="AO27">
        <f>IF($D27="","",IF(OR($U27=TRUE(),$U27="TRUE"),1,0))</f>
        <v/>
      </c>
      <c r="AP27">
        <f>IF($D27="","",IF($AC27="Yes",1,0))</f>
        <v/>
      </c>
      <c r="AQ27">
        <f>IF($AM27=1,IFERROR(VALUE(MID($D27,2,20)),1000000000)+ROW()/100000,"")</f>
        <v/>
      </c>
    </row>
    <row r="28">
      <c r="G28" s="11" t="n"/>
      <c r="Q28" s="7">
        <f>IF($D28="","",P28*Y28/100)</f>
        <v/>
      </c>
      <c r="R28" s="7" t="n"/>
      <c r="X28" s="7" t="n"/>
      <c r="Y28" s="7" t="n"/>
      <c r="Z28" s="7">
        <f>IF($D28="","",Y28*AD28/100)</f>
        <v/>
      </c>
      <c r="AA28" s="7">
        <f>IF($D28="","",Y28-Z28)</f>
        <v/>
      </c>
      <c r="AB28" s="7">
        <f>IF($D28="","",AA28-Q28)</f>
        <v/>
      </c>
      <c r="AD28">
        <f>IF($D28="","",IF($AP28=1,0,IF($AO28=1,Settings!$C$6,Settings!$C$7))*100)</f>
        <v/>
      </c>
      <c r="AH28" s="7" t="n"/>
      <c r="AK28" s="11" t="n"/>
      <c r="AM28">
        <f>IF($D28="","",IF(COUNTIF($D$2:$D28,$D28)=1,1,0))</f>
        <v/>
      </c>
      <c r="AN28">
        <f>IF($AM28=1,SUMPRODUCT(--($AQ$2:$AQ$1001&lt;$AQ28))+1,"")</f>
        <v/>
      </c>
      <c r="AO28">
        <f>IF($D28="","",IF(OR($U28=TRUE(),$U28="TRUE"),1,0))</f>
        <v/>
      </c>
      <c r="AP28">
        <f>IF($D28="","",IF($AC28="Yes",1,0))</f>
        <v/>
      </c>
      <c r="AQ28">
        <f>IF($AM28=1,IFERROR(VALUE(MID($D28,2,20)),1000000000)+ROW()/100000,"")</f>
        <v/>
      </c>
    </row>
    <row r="29">
      <c r="G29" s="11" t="n"/>
      <c r="Q29" s="7">
        <f>IF($D29="","",P29*Y29/100)</f>
        <v/>
      </c>
      <c r="R29" s="7" t="n"/>
      <c r="X29" s="7" t="n"/>
      <c r="Y29" s="7" t="n"/>
      <c r="Z29" s="7">
        <f>IF($D29="","",Y29*AD29/100)</f>
        <v/>
      </c>
      <c r="AA29" s="7">
        <f>IF($D29="","",Y29-Z29)</f>
        <v/>
      </c>
      <c r="AB29" s="7">
        <f>IF($D29="","",AA29-Q29)</f>
        <v/>
      </c>
      <c r="AD29">
        <f>IF($D29="","",IF($AP29=1,0,IF($AO29=1,Settings!$C$6,Settings!$C$7))*100)</f>
        <v/>
      </c>
      <c r="AH29" s="7" t="n"/>
      <c r="AK29" s="11" t="n"/>
      <c r="AM29">
        <f>IF($D29="","",IF(COUNTIF($D$2:$D29,$D29)=1,1,0))</f>
        <v/>
      </c>
      <c r="AN29">
        <f>IF($AM29=1,SUMPRODUCT(--($AQ$2:$AQ$1001&lt;$AQ29))+1,"")</f>
        <v/>
      </c>
      <c r="AO29">
        <f>IF($D29="","",IF(OR($U29=TRUE(),$U29="TRUE"),1,0))</f>
        <v/>
      </c>
      <c r="AP29">
        <f>IF($D29="","",IF($AC29="Yes",1,0))</f>
        <v/>
      </c>
      <c r="AQ29">
        <f>IF($AM29=1,IFERROR(VALUE(MID($D29,2,20)),1000000000)+ROW()/100000,"")</f>
        <v/>
      </c>
    </row>
    <row r="30">
      <c r="G30" s="11" t="n"/>
      <c r="Q30" s="7">
        <f>IF($D30="","",P30*Y30/100)</f>
        <v/>
      </c>
      <c r="R30" s="7" t="n"/>
      <c r="X30" s="7" t="n"/>
      <c r="Y30" s="7" t="n"/>
      <c r="Z30" s="7">
        <f>IF($D30="","",Y30*AD30/100)</f>
        <v/>
      </c>
      <c r="AA30" s="7">
        <f>IF($D30="","",Y30-Z30)</f>
        <v/>
      </c>
      <c r="AB30" s="7">
        <f>IF($D30="","",AA30-Q30)</f>
        <v/>
      </c>
      <c r="AD30">
        <f>IF($D30="","",IF($AP30=1,0,IF($AO30=1,Settings!$C$6,Settings!$C$7))*100)</f>
        <v/>
      </c>
      <c r="AH30" s="7" t="n"/>
      <c r="AK30" s="11" t="n"/>
      <c r="AM30">
        <f>IF($D30="","",IF(COUNTIF($D$2:$D30,$D30)=1,1,0))</f>
        <v/>
      </c>
      <c r="AN30">
        <f>IF($AM30=1,SUMPRODUCT(--($AQ$2:$AQ$1001&lt;$AQ30))+1,"")</f>
        <v/>
      </c>
      <c r="AO30">
        <f>IF($D30="","",IF(OR($U30=TRUE(),$U30="TRUE"),1,0))</f>
        <v/>
      </c>
      <c r="AP30">
        <f>IF($D30="","",IF($AC30="Yes",1,0))</f>
        <v/>
      </c>
      <c r="AQ30">
        <f>IF($AM30=1,IFERROR(VALUE(MID($D30,2,20)),1000000000)+ROW()/100000,"")</f>
        <v/>
      </c>
    </row>
    <row r="31">
      <c r="G31" s="11" t="n"/>
      <c r="Q31" s="7">
        <f>IF($D31="","",P31*Y31/100)</f>
        <v/>
      </c>
      <c r="R31" s="7" t="n"/>
      <c r="X31" s="7" t="n"/>
      <c r="Y31" s="7" t="n"/>
      <c r="Z31" s="7">
        <f>IF($D31="","",Y31*AD31/100)</f>
        <v/>
      </c>
      <c r="AA31" s="7">
        <f>IF($D31="","",Y31-Z31)</f>
        <v/>
      </c>
      <c r="AB31" s="7">
        <f>IF($D31="","",AA31-Q31)</f>
        <v/>
      </c>
      <c r="AD31">
        <f>IF($D31="","",IF($AP31=1,0,IF($AO31=1,Settings!$C$6,Settings!$C$7))*100)</f>
        <v/>
      </c>
      <c r="AH31" s="7" t="n"/>
      <c r="AK31" s="11" t="n"/>
      <c r="AM31">
        <f>IF($D31="","",IF(COUNTIF($D$2:$D31,$D31)=1,1,0))</f>
        <v/>
      </c>
      <c r="AN31">
        <f>IF($AM31=1,SUMPRODUCT(--($AQ$2:$AQ$1001&lt;$AQ31))+1,"")</f>
        <v/>
      </c>
      <c r="AO31">
        <f>IF($D31="","",IF(OR($U31=TRUE(),$U31="TRUE"),1,0))</f>
        <v/>
      </c>
      <c r="AP31">
        <f>IF($D31="","",IF($AC31="Yes",1,0))</f>
        <v/>
      </c>
      <c r="AQ31">
        <f>IF($AM31=1,IFERROR(VALUE(MID($D31,2,20)),1000000000)+ROW()/100000,"")</f>
        <v/>
      </c>
    </row>
    <row r="32">
      <c r="G32" s="11" t="n"/>
      <c r="Q32" s="7">
        <f>IF($D32="","",P32*Y32/100)</f>
        <v/>
      </c>
      <c r="R32" s="7" t="n"/>
      <c r="X32" s="7" t="n"/>
      <c r="Y32" s="7" t="n"/>
      <c r="Z32" s="7">
        <f>IF($D32="","",Y32*AD32/100)</f>
        <v/>
      </c>
      <c r="AA32" s="7">
        <f>IF($D32="","",Y32-Z32)</f>
        <v/>
      </c>
      <c r="AB32" s="7">
        <f>IF($D32="","",AA32-Q32)</f>
        <v/>
      </c>
      <c r="AD32">
        <f>IF($D32="","",IF($AP32=1,0,IF($AO32=1,Settings!$C$6,Settings!$C$7))*100)</f>
        <v/>
      </c>
      <c r="AH32" s="7" t="n"/>
      <c r="AK32" s="11" t="n"/>
      <c r="AM32">
        <f>IF($D32="","",IF(COUNTIF($D$2:$D32,$D32)=1,1,0))</f>
        <v/>
      </c>
      <c r="AN32">
        <f>IF($AM32=1,SUMPRODUCT(--($AQ$2:$AQ$1001&lt;$AQ32))+1,"")</f>
        <v/>
      </c>
      <c r="AO32">
        <f>IF($D32="","",IF(OR($U32=TRUE(),$U32="TRUE"),1,0))</f>
        <v/>
      </c>
      <c r="AP32">
        <f>IF($D32="","",IF($AC32="Yes",1,0))</f>
        <v/>
      </c>
      <c r="AQ32">
        <f>IF($AM32=1,IFERROR(VALUE(MID($D32,2,20)),1000000000)+ROW()/100000,"")</f>
        <v/>
      </c>
    </row>
    <row r="33">
      <c r="G33" s="11" t="n"/>
      <c r="Q33" s="7">
        <f>IF($D33="","",P33*Y33/100)</f>
        <v/>
      </c>
      <c r="R33" s="7" t="n"/>
      <c r="X33" s="7" t="n"/>
      <c r="Y33" s="7" t="n"/>
      <c r="Z33" s="7">
        <f>IF($D33="","",Y33*AD33/100)</f>
        <v/>
      </c>
      <c r="AA33" s="7">
        <f>IF($D33="","",Y33-Z33)</f>
        <v/>
      </c>
      <c r="AB33" s="7">
        <f>IF($D33="","",AA33-Q33)</f>
        <v/>
      </c>
      <c r="AD33">
        <f>IF($D33="","",IF($AP33=1,0,IF($AO33=1,Settings!$C$6,Settings!$C$7))*100)</f>
        <v/>
      </c>
      <c r="AH33" s="7" t="n"/>
      <c r="AK33" s="11" t="n"/>
      <c r="AM33">
        <f>IF($D33="","",IF(COUNTIF($D$2:$D33,$D33)=1,1,0))</f>
        <v/>
      </c>
      <c r="AN33">
        <f>IF($AM33=1,SUMPRODUCT(--($AQ$2:$AQ$1001&lt;$AQ33))+1,"")</f>
        <v/>
      </c>
      <c r="AO33">
        <f>IF($D33="","",IF(OR($U33=TRUE(),$U33="TRUE"),1,0))</f>
        <v/>
      </c>
      <c r="AP33">
        <f>IF($D33="","",IF($AC33="Yes",1,0))</f>
        <v/>
      </c>
      <c r="AQ33">
        <f>IF($AM33=1,IFERROR(VALUE(MID($D33,2,20)),1000000000)+ROW()/100000,"")</f>
        <v/>
      </c>
    </row>
    <row r="34">
      <c r="G34" s="11" t="n"/>
      <c r="Q34" s="7">
        <f>IF($D34="","",P34*Y34/100)</f>
        <v/>
      </c>
      <c r="R34" s="7" t="n"/>
      <c r="X34" s="7" t="n"/>
      <c r="Y34" s="7" t="n"/>
      <c r="Z34" s="7">
        <f>IF($D34="","",Y34*AD34/100)</f>
        <v/>
      </c>
      <c r="AA34" s="7">
        <f>IF($D34="","",Y34-Z34)</f>
        <v/>
      </c>
      <c r="AB34" s="7">
        <f>IF($D34="","",AA34-Q34)</f>
        <v/>
      </c>
      <c r="AD34">
        <f>IF($D34="","",IF($AP34=1,0,IF($AO34=1,Settings!$C$6,Settings!$C$7))*100)</f>
        <v/>
      </c>
      <c r="AH34" s="7" t="n"/>
      <c r="AK34" s="11" t="n"/>
      <c r="AM34">
        <f>IF($D34="","",IF(COUNTIF($D$2:$D34,$D34)=1,1,0))</f>
        <v/>
      </c>
      <c r="AN34">
        <f>IF($AM34=1,SUMPRODUCT(--($AQ$2:$AQ$1001&lt;$AQ34))+1,"")</f>
        <v/>
      </c>
      <c r="AO34">
        <f>IF($D34="","",IF(OR($U34=TRUE(),$U34="TRUE"),1,0))</f>
        <v/>
      </c>
      <c r="AP34">
        <f>IF($D34="","",IF($AC34="Yes",1,0))</f>
        <v/>
      </c>
      <c r="AQ34">
        <f>IF($AM34=1,IFERROR(VALUE(MID($D34,2,20)),1000000000)+ROW()/100000,"")</f>
        <v/>
      </c>
    </row>
    <row r="35">
      <c r="G35" s="11" t="n"/>
      <c r="Q35" s="7">
        <f>IF($D35="","",P35*Y35/100)</f>
        <v/>
      </c>
      <c r="R35" s="7" t="n"/>
      <c r="X35" s="7" t="n"/>
      <c r="Y35" s="7" t="n"/>
      <c r="Z35" s="7">
        <f>IF($D35="","",Y35*AD35/100)</f>
        <v/>
      </c>
      <c r="AA35" s="7">
        <f>IF($D35="","",Y35-Z35)</f>
        <v/>
      </c>
      <c r="AB35" s="7">
        <f>IF($D35="","",AA35-Q35)</f>
        <v/>
      </c>
      <c r="AD35">
        <f>IF($D35="","",IF($AP35=1,0,IF($AO35=1,Settings!$C$6,Settings!$C$7))*100)</f>
        <v/>
      </c>
      <c r="AH35" s="7" t="n"/>
      <c r="AK35" s="11" t="n"/>
      <c r="AM35">
        <f>IF($D35="","",IF(COUNTIF($D$2:$D35,$D35)=1,1,0))</f>
        <v/>
      </c>
      <c r="AN35">
        <f>IF($AM35=1,SUMPRODUCT(--($AQ$2:$AQ$1001&lt;$AQ35))+1,"")</f>
        <v/>
      </c>
      <c r="AO35">
        <f>IF($D35="","",IF(OR($U35=TRUE(),$U35="TRUE"),1,0))</f>
        <v/>
      </c>
      <c r="AP35">
        <f>IF($D35="","",IF($AC35="Yes",1,0))</f>
        <v/>
      </c>
      <c r="AQ35">
        <f>IF($AM35=1,IFERROR(VALUE(MID($D35,2,20)),1000000000)+ROW()/100000,"")</f>
        <v/>
      </c>
    </row>
    <row r="36">
      <c r="G36" s="11" t="n"/>
      <c r="Q36" s="7">
        <f>IF($D36="","",P36*Y36/100)</f>
        <v/>
      </c>
      <c r="R36" s="7" t="n"/>
      <c r="X36" s="7" t="n"/>
      <c r="Y36" s="7" t="n"/>
      <c r="Z36" s="7">
        <f>IF($D36="","",Y36*AD36/100)</f>
        <v/>
      </c>
      <c r="AA36" s="7">
        <f>IF($D36="","",Y36-Z36)</f>
        <v/>
      </c>
      <c r="AB36" s="7">
        <f>IF($D36="","",AA36-Q36)</f>
        <v/>
      </c>
      <c r="AD36">
        <f>IF($D36="","",IF($AP36=1,0,IF($AO36=1,Settings!$C$6,Settings!$C$7))*100)</f>
        <v/>
      </c>
      <c r="AH36" s="7" t="n"/>
      <c r="AK36" s="11" t="n"/>
      <c r="AM36">
        <f>IF($D36="","",IF(COUNTIF($D$2:$D36,$D36)=1,1,0))</f>
        <v/>
      </c>
      <c r="AN36">
        <f>IF($AM36=1,SUMPRODUCT(--($AQ$2:$AQ$1001&lt;$AQ36))+1,"")</f>
        <v/>
      </c>
      <c r="AO36">
        <f>IF($D36="","",IF(OR($U36=TRUE(),$U36="TRUE"),1,0))</f>
        <v/>
      </c>
      <c r="AP36">
        <f>IF($D36="","",IF($AC36="Yes",1,0))</f>
        <v/>
      </c>
      <c r="AQ36">
        <f>IF($AM36=1,IFERROR(VALUE(MID($D36,2,20)),1000000000)+ROW()/100000,"")</f>
        <v/>
      </c>
    </row>
    <row r="37">
      <c r="G37" s="11" t="n"/>
      <c r="Q37" s="7">
        <f>IF($D37="","",P37*Y37/100)</f>
        <v/>
      </c>
      <c r="R37" s="7" t="n"/>
      <c r="X37" s="7" t="n"/>
      <c r="Y37" s="7" t="n"/>
      <c r="Z37" s="7">
        <f>IF($D37="","",Y37*AD37/100)</f>
        <v/>
      </c>
      <c r="AA37" s="7">
        <f>IF($D37="","",Y37-Z37)</f>
        <v/>
      </c>
      <c r="AB37" s="7">
        <f>IF($D37="","",AA37-Q37)</f>
        <v/>
      </c>
      <c r="AD37">
        <f>IF($D37="","",IF($AP37=1,0,IF($AO37=1,Settings!$C$6,Settings!$C$7))*100)</f>
        <v/>
      </c>
      <c r="AH37" s="7" t="n"/>
      <c r="AK37" s="11" t="n"/>
      <c r="AM37">
        <f>IF($D37="","",IF(COUNTIF($D$2:$D37,$D37)=1,1,0))</f>
        <v/>
      </c>
      <c r="AN37">
        <f>IF($AM37=1,SUMPRODUCT(--($AQ$2:$AQ$1001&lt;$AQ37))+1,"")</f>
        <v/>
      </c>
      <c r="AO37">
        <f>IF($D37="","",IF(OR($U37=TRUE(),$U37="TRUE"),1,0))</f>
        <v/>
      </c>
      <c r="AP37">
        <f>IF($D37="","",IF($AC37="Yes",1,0))</f>
        <v/>
      </c>
      <c r="AQ37">
        <f>IF($AM37=1,IFERROR(VALUE(MID($D37,2,20)),1000000000)+ROW()/100000,"")</f>
        <v/>
      </c>
    </row>
    <row r="38">
      <c r="G38" s="11" t="n"/>
      <c r="Q38" s="7">
        <f>IF($D38="","",P38*Y38/100)</f>
        <v/>
      </c>
      <c r="R38" s="7" t="n"/>
      <c r="X38" s="7" t="n"/>
      <c r="Y38" s="7" t="n"/>
      <c r="Z38" s="7">
        <f>IF($D38="","",Y38*AD38/100)</f>
        <v/>
      </c>
      <c r="AA38" s="7">
        <f>IF($D38="","",Y38-Z38)</f>
        <v/>
      </c>
      <c r="AB38" s="7">
        <f>IF($D38="","",AA38-Q38)</f>
        <v/>
      </c>
      <c r="AD38">
        <f>IF($D38="","",IF($AP38=1,0,IF($AO38=1,Settings!$C$6,Settings!$C$7))*100)</f>
        <v/>
      </c>
      <c r="AH38" s="7" t="n"/>
      <c r="AK38" s="11" t="n"/>
      <c r="AM38">
        <f>IF($D38="","",IF(COUNTIF($D$2:$D38,$D38)=1,1,0))</f>
        <v/>
      </c>
      <c r="AN38">
        <f>IF($AM38=1,SUMPRODUCT(--($AQ$2:$AQ$1001&lt;$AQ38))+1,"")</f>
        <v/>
      </c>
      <c r="AO38">
        <f>IF($D38="","",IF(OR($U38=TRUE(),$U38="TRUE"),1,0))</f>
        <v/>
      </c>
      <c r="AP38">
        <f>IF($D38="","",IF($AC38="Yes",1,0))</f>
        <v/>
      </c>
      <c r="AQ38">
        <f>IF($AM38=1,IFERROR(VALUE(MID($D38,2,20)),1000000000)+ROW()/100000,"")</f>
        <v/>
      </c>
    </row>
    <row r="39">
      <c r="G39" s="11" t="n"/>
      <c r="Q39" s="7">
        <f>IF($D39="","",P39*Y39/100)</f>
        <v/>
      </c>
      <c r="R39" s="7" t="n"/>
      <c r="X39" s="7" t="n"/>
      <c r="Y39" s="7" t="n"/>
      <c r="Z39" s="7">
        <f>IF($D39="","",Y39*AD39/100)</f>
        <v/>
      </c>
      <c r="AA39" s="7">
        <f>IF($D39="","",Y39-Z39)</f>
        <v/>
      </c>
      <c r="AB39" s="7">
        <f>IF($D39="","",AA39-Q39)</f>
        <v/>
      </c>
      <c r="AD39">
        <f>IF($D39="","",IF($AP39=1,0,IF($AO39=1,Settings!$C$6,Settings!$C$7))*100)</f>
        <v/>
      </c>
      <c r="AH39" s="7" t="n"/>
      <c r="AK39" s="11" t="n"/>
      <c r="AM39">
        <f>IF($D39="","",IF(COUNTIF($D$2:$D39,$D39)=1,1,0))</f>
        <v/>
      </c>
      <c r="AN39">
        <f>IF($AM39=1,SUMPRODUCT(--($AQ$2:$AQ$1001&lt;$AQ39))+1,"")</f>
        <v/>
      </c>
      <c r="AO39">
        <f>IF($D39="","",IF(OR($U39=TRUE(),$U39="TRUE"),1,0))</f>
        <v/>
      </c>
      <c r="AP39">
        <f>IF($D39="","",IF($AC39="Yes",1,0))</f>
        <v/>
      </c>
      <c r="AQ39">
        <f>IF($AM39=1,IFERROR(VALUE(MID($D39,2,20)),1000000000)+ROW()/100000,"")</f>
        <v/>
      </c>
    </row>
    <row r="40">
      <c r="G40" s="11" t="n"/>
      <c r="Q40" s="7">
        <f>IF($D40="","",P40*Y40/100)</f>
        <v/>
      </c>
      <c r="R40" s="7" t="n"/>
      <c r="X40" s="7" t="n"/>
      <c r="Y40" s="7" t="n"/>
      <c r="Z40" s="7">
        <f>IF($D40="","",Y40*AD40/100)</f>
        <v/>
      </c>
      <c r="AA40" s="7">
        <f>IF($D40="","",Y40-Z40)</f>
        <v/>
      </c>
      <c r="AB40" s="7">
        <f>IF($D40="","",AA40-Q40)</f>
        <v/>
      </c>
      <c r="AD40">
        <f>IF($D40="","",IF($AP40=1,0,IF($AO40=1,Settings!$C$6,Settings!$C$7))*100)</f>
        <v/>
      </c>
      <c r="AH40" s="7" t="n"/>
      <c r="AK40" s="11" t="n"/>
      <c r="AM40">
        <f>IF($D40="","",IF(COUNTIF($D$2:$D40,$D40)=1,1,0))</f>
        <v/>
      </c>
      <c r="AN40">
        <f>IF($AM40=1,SUMPRODUCT(--($AQ$2:$AQ$1001&lt;$AQ40))+1,"")</f>
        <v/>
      </c>
      <c r="AO40">
        <f>IF($D40="","",IF(OR($U40=TRUE(),$U40="TRUE"),1,0))</f>
        <v/>
      </c>
      <c r="AP40">
        <f>IF($D40="","",IF($AC40="Yes",1,0))</f>
        <v/>
      </c>
      <c r="AQ40">
        <f>IF($AM40=1,IFERROR(VALUE(MID($D40,2,20)),1000000000)+ROW()/100000,"")</f>
        <v/>
      </c>
    </row>
    <row r="41">
      <c r="G41" s="11" t="n"/>
      <c r="Q41" s="7">
        <f>IF($D41="","",P41*Y41/100)</f>
        <v/>
      </c>
      <c r="R41" s="7" t="n"/>
      <c r="X41" s="7" t="n"/>
      <c r="Y41" s="7" t="n"/>
      <c r="Z41" s="7">
        <f>IF($D41="","",Y41*AD41/100)</f>
        <v/>
      </c>
      <c r="AA41" s="7">
        <f>IF($D41="","",Y41-Z41)</f>
        <v/>
      </c>
      <c r="AB41" s="7">
        <f>IF($D41="","",AA41-Q41)</f>
        <v/>
      </c>
      <c r="AD41">
        <f>IF($D41="","",IF($AP41=1,0,IF($AO41=1,Settings!$C$6,Settings!$C$7))*100)</f>
        <v/>
      </c>
      <c r="AH41" s="7" t="n"/>
      <c r="AK41" s="11" t="n"/>
      <c r="AM41">
        <f>IF($D41="","",IF(COUNTIF($D$2:$D41,$D41)=1,1,0))</f>
        <v/>
      </c>
      <c r="AN41">
        <f>IF($AM41=1,SUMPRODUCT(--($AQ$2:$AQ$1001&lt;$AQ41))+1,"")</f>
        <v/>
      </c>
      <c r="AO41">
        <f>IF($D41="","",IF(OR($U41=TRUE(),$U41="TRUE"),1,0))</f>
        <v/>
      </c>
      <c r="AP41">
        <f>IF($D41="","",IF($AC41="Yes",1,0))</f>
        <v/>
      </c>
      <c r="AQ41">
        <f>IF($AM41=1,IFERROR(VALUE(MID($D41,2,20)),1000000000)+ROW()/100000,"")</f>
        <v/>
      </c>
    </row>
    <row r="42">
      <c r="G42" s="11" t="n"/>
      <c r="Q42" s="7">
        <f>IF($D42="","",P42*Y42/100)</f>
        <v/>
      </c>
      <c r="R42" s="7" t="n"/>
      <c r="X42" s="7" t="n"/>
      <c r="Y42" s="7" t="n"/>
      <c r="Z42" s="7">
        <f>IF($D42="","",Y42*AD42/100)</f>
        <v/>
      </c>
      <c r="AA42" s="7">
        <f>IF($D42="","",Y42-Z42)</f>
        <v/>
      </c>
      <c r="AB42" s="7">
        <f>IF($D42="","",AA42-Q42)</f>
        <v/>
      </c>
      <c r="AD42">
        <f>IF($D42="","",IF($AP42=1,0,IF($AO42=1,Settings!$C$6,Settings!$C$7))*100)</f>
        <v/>
      </c>
      <c r="AH42" s="7" t="n"/>
      <c r="AK42" s="11" t="n"/>
      <c r="AM42">
        <f>IF($D42="","",IF(COUNTIF($D$2:$D42,$D42)=1,1,0))</f>
        <v/>
      </c>
      <c r="AN42">
        <f>IF($AM42=1,SUMPRODUCT(--($AQ$2:$AQ$1001&lt;$AQ42))+1,"")</f>
        <v/>
      </c>
      <c r="AO42">
        <f>IF($D42="","",IF(OR($U42=TRUE(),$U42="TRUE"),1,0))</f>
        <v/>
      </c>
      <c r="AP42">
        <f>IF($D42="","",IF($AC42="Yes",1,0))</f>
        <v/>
      </c>
      <c r="AQ42">
        <f>IF($AM42=1,IFERROR(VALUE(MID($D42,2,20)),1000000000)+ROW()/100000,"")</f>
        <v/>
      </c>
    </row>
    <row r="43">
      <c r="G43" s="11" t="n"/>
      <c r="Q43" s="7">
        <f>IF($D43="","",P43*Y43/100)</f>
        <v/>
      </c>
      <c r="R43" s="7" t="n"/>
      <c r="X43" s="7" t="n"/>
      <c r="Y43" s="7" t="n"/>
      <c r="Z43" s="7">
        <f>IF($D43="","",Y43*AD43/100)</f>
        <v/>
      </c>
      <c r="AA43" s="7">
        <f>IF($D43="","",Y43-Z43)</f>
        <v/>
      </c>
      <c r="AB43" s="7">
        <f>IF($D43="","",AA43-Q43)</f>
        <v/>
      </c>
      <c r="AD43">
        <f>IF($D43="","",IF($AP43=1,0,IF($AO43=1,Settings!$C$6,Settings!$C$7))*100)</f>
        <v/>
      </c>
      <c r="AH43" s="7" t="n"/>
      <c r="AK43" s="11" t="n"/>
      <c r="AM43">
        <f>IF($D43="","",IF(COUNTIF($D$2:$D43,$D43)=1,1,0))</f>
        <v/>
      </c>
      <c r="AN43">
        <f>IF($AM43=1,SUMPRODUCT(--($AQ$2:$AQ$1001&lt;$AQ43))+1,"")</f>
        <v/>
      </c>
      <c r="AO43">
        <f>IF($D43="","",IF(OR($U43=TRUE(),$U43="TRUE"),1,0))</f>
        <v/>
      </c>
      <c r="AP43">
        <f>IF($D43="","",IF($AC43="Yes",1,0))</f>
        <v/>
      </c>
      <c r="AQ43">
        <f>IF($AM43=1,IFERROR(VALUE(MID($D43,2,20)),1000000000)+ROW()/100000,"")</f>
        <v/>
      </c>
    </row>
    <row r="44">
      <c r="G44" s="11" t="n"/>
      <c r="Q44" s="7">
        <f>IF($D44="","",P44*Y44/100)</f>
        <v/>
      </c>
      <c r="R44" s="7" t="n"/>
      <c r="X44" s="7" t="n"/>
      <c r="Y44" s="7" t="n"/>
      <c r="Z44" s="7">
        <f>IF($D44="","",Y44*AD44/100)</f>
        <v/>
      </c>
      <c r="AA44" s="7">
        <f>IF($D44="","",Y44-Z44)</f>
        <v/>
      </c>
      <c r="AB44" s="7">
        <f>IF($D44="","",AA44-Q44)</f>
        <v/>
      </c>
      <c r="AD44">
        <f>IF($D44="","",IF($AP44=1,0,IF($AO44=1,Settings!$C$6,Settings!$C$7))*100)</f>
        <v/>
      </c>
      <c r="AH44" s="7" t="n"/>
      <c r="AK44" s="11" t="n"/>
      <c r="AM44">
        <f>IF($D44="","",IF(COUNTIF($D$2:$D44,$D44)=1,1,0))</f>
        <v/>
      </c>
      <c r="AN44">
        <f>IF($AM44=1,SUMPRODUCT(--($AQ$2:$AQ$1001&lt;$AQ44))+1,"")</f>
        <v/>
      </c>
      <c r="AO44">
        <f>IF($D44="","",IF(OR($U44=TRUE(),$U44="TRUE"),1,0))</f>
        <v/>
      </c>
      <c r="AP44">
        <f>IF($D44="","",IF($AC44="Yes",1,0))</f>
        <v/>
      </c>
      <c r="AQ44">
        <f>IF($AM44=1,IFERROR(VALUE(MID($D44,2,20)),1000000000)+ROW()/100000,"")</f>
        <v/>
      </c>
    </row>
    <row r="45">
      <c r="G45" s="11" t="n"/>
      <c r="Q45" s="7">
        <f>IF($D45="","",P45*Y45/100)</f>
        <v/>
      </c>
      <c r="R45" s="7" t="n"/>
      <c r="X45" s="7" t="n"/>
      <c r="Y45" s="7" t="n"/>
      <c r="Z45" s="7">
        <f>IF($D45="","",Y45*AD45/100)</f>
        <v/>
      </c>
      <c r="AA45" s="7">
        <f>IF($D45="","",Y45-Z45)</f>
        <v/>
      </c>
      <c r="AB45" s="7">
        <f>IF($D45="","",AA45-Q45)</f>
        <v/>
      </c>
      <c r="AD45">
        <f>IF($D45="","",IF($AP45=1,0,IF($AO45=1,Settings!$C$6,Settings!$C$7))*100)</f>
        <v/>
      </c>
      <c r="AH45" s="7" t="n"/>
      <c r="AK45" s="11" t="n"/>
      <c r="AM45">
        <f>IF($D45="","",IF(COUNTIF($D$2:$D45,$D45)=1,1,0))</f>
        <v/>
      </c>
      <c r="AN45">
        <f>IF($AM45=1,SUMPRODUCT(--($AQ$2:$AQ$1001&lt;$AQ45))+1,"")</f>
        <v/>
      </c>
      <c r="AO45">
        <f>IF($D45="","",IF(OR($U45=TRUE(),$U45="TRUE"),1,0))</f>
        <v/>
      </c>
      <c r="AP45">
        <f>IF($D45="","",IF($AC45="Yes",1,0))</f>
        <v/>
      </c>
      <c r="AQ45">
        <f>IF($AM45=1,IFERROR(VALUE(MID($D45,2,20)),1000000000)+ROW()/100000,"")</f>
        <v/>
      </c>
    </row>
    <row r="46">
      <c r="G46" s="11" t="n"/>
      <c r="Q46" s="7">
        <f>IF($D46="","",P46*Y46/100)</f>
        <v/>
      </c>
      <c r="R46" s="7" t="n"/>
      <c r="X46" s="7" t="n"/>
      <c r="Y46" s="7" t="n"/>
      <c r="Z46" s="7">
        <f>IF($D46="","",Y46*AD46/100)</f>
        <v/>
      </c>
      <c r="AA46" s="7">
        <f>IF($D46="","",Y46-Z46)</f>
        <v/>
      </c>
      <c r="AB46" s="7">
        <f>IF($D46="","",AA46-Q46)</f>
        <v/>
      </c>
      <c r="AD46">
        <f>IF($D46="","",IF($AP46=1,0,IF($AO46=1,Settings!$C$6,Settings!$C$7))*100)</f>
        <v/>
      </c>
      <c r="AH46" s="7" t="n"/>
      <c r="AK46" s="11" t="n"/>
      <c r="AM46">
        <f>IF($D46="","",IF(COUNTIF($D$2:$D46,$D46)=1,1,0))</f>
        <v/>
      </c>
      <c r="AN46">
        <f>IF($AM46=1,SUMPRODUCT(--($AQ$2:$AQ$1001&lt;$AQ46))+1,"")</f>
        <v/>
      </c>
      <c r="AO46">
        <f>IF($D46="","",IF(OR($U46=TRUE(),$U46="TRUE"),1,0))</f>
        <v/>
      </c>
      <c r="AP46">
        <f>IF($D46="","",IF($AC46="Yes",1,0))</f>
        <v/>
      </c>
      <c r="AQ46">
        <f>IF($AM46=1,IFERROR(VALUE(MID($D46,2,20)),1000000000)+ROW()/100000,"")</f>
        <v/>
      </c>
    </row>
    <row r="47">
      <c r="G47" s="11" t="n"/>
      <c r="Q47" s="7">
        <f>IF($D47="","",P47*Y47/100)</f>
        <v/>
      </c>
      <c r="R47" s="7" t="n"/>
      <c r="X47" s="7" t="n"/>
      <c r="Y47" s="7" t="n"/>
      <c r="Z47" s="7">
        <f>IF($D47="","",Y47*AD47/100)</f>
        <v/>
      </c>
      <c r="AA47" s="7">
        <f>IF($D47="","",Y47-Z47)</f>
        <v/>
      </c>
      <c r="AB47" s="7">
        <f>IF($D47="","",AA47-Q47)</f>
        <v/>
      </c>
      <c r="AD47">
        <f>IF($D47="","",IF($AP47=1,0,IF($AO47=1,Settings!$C$6,Settings!$C$7))*100)</f>
        <v/>
      </c>
      <c r="AH47" s="7" t="n"/>
      <c r="AK47" s="11" t="n"/>
      <c r="AM47">
        <f>IF($D47="","",IF(COUNTIF($D$2:$D47,$D47)=1,1,0))</f>
        <v/>
      </c>
      <c r="AN47">
        <f>IF($AM47=1,SUMPRODUCT(--($AQ$2:$AQ$1001&lt;$AQ47))+1,"")</f>
        <v/>
      </c>
      <c r="AO47">
        <f>IF($D47="","",IF(OR($U47=TRUE(),$U47="TRUE"),1,0))</f>
        <v/>
      </c>
      <c r="AP47">
        <f>IF($D47="","",IF($AC47="Yes",1,0))</f>
        <v/>
      </c>
      <c r="AQ47">
        <f>IF($AM47=1,IFERROR(VALUE(MID($D47,2,20)),1000000000)+ROW()/100000,"")</f>
        <v/>
      </c>
    </row>
    <row r="48">
      <c r="G48" s="11" t="n"/>
      <c r="Q48" s="7">
        <f>IF($D48="","",P48*Y48/100)</f>
        <v/>
      </c>
      <c r="R48" s="7" t="n"/>
      <c r="X48" s="7" t="n"/>
      <c r="Y48" s="7" t="n"/>
      <c r="Z48" s="7">
        <f>IF($D48="","",Y48*AD48/100)</f>
        <v/>
      </c>
      <c r="AA48" s="7">
        <f>IF($D48="","",Y48-Z48)</f>
        <v/>
      </c>
      <c r="AB48" s="7">
        <f>IF($D48="","",AA48-Q48)</f>
        <v/>
      </c>
      <c r="AD48">
        <f>IF($D48="","",IF($AP48=1,0,IF($AO48=1,Settings!$C$6,Settings!$C$7))*100)</f>
        <v/>
      </c>
      <c r="AH48" s="7" t="n"/>
      <c r="AK48" s="11" t="n"/>
      <c r="AM48">
        <f>IF($D48="","",IF(COUNTIF($D$2:$D48,$D48)=1,1,0))</f>
        <v/>
      </c>
      <c r="AN48">
        <f>IF($AM48=1,SUMPRODUCT(--($AQ$2:$AQ$1001&lt;$AQ48))+1,"")</f>
        <v/>
      </c>
      <c r="AO48">
        <f>IF($D48="","",IF(OR($U48=TRUE(),$U48="TRUE"),1,0))</f>
        <v/>
      </c>
      <c r="AP48">
        <f>IF($D48="","",IF($AC48="Yes",1,0))</f>
        <v/>
      </c>
      <c r="AQ48">
        <f>IF($AM48=1,IFERROR(VALUE(MID($D48,2,20)),1000000000)+ROW()/100000,"")</f>
        <v/>
      </c>
    </row>
    <row r="49">
      <c r="G49" s="11" t="n"/>
      <c r="Q49" s="7">
        <f>IF($D49="","",P49*Y49/100)</f>
        <v/>
      </c>
      <c r="R49" s="7" t="n"/>
      <c r="X49" s="7" t="n"/>
      <c r="Y49" s="7" t="n"/>
      <c r="Z49" s="7">
        <f>IF($D49="","",Y49*AD49/100)</f>
        <v/>
      </c>
      <c r="AA49" s="7">
        <f>IF($D49="","",Y49-Z49)</f>
        <v/>
      </c>
      <c r="AB49" s="7">
        <f>IF($D49="","",AA49-Q49)</f>
        <v/>
      </c>
      <c r="AD49">
        <f>IF($D49="","",IF($AP49=1,0,IF($AO49=1,Settings!$C$6,Settings!$C$7))*100)</f>
        <v/>
      </c>
      <c r="AH49" s="7" t="n"/>
      <c r="AK49" s="11" t="n"/>
      <c r="AM49">
        <f>IF($D49="","",IF(COUNTIF($D$2:$D49,$D49)=1,1,0))</f>
        <v/>
      </c>
      <c r="AN49">
        <f>IF($AM49=1,SUMPRODUCT(--($AQ$2:$AQ$1001&lt;$AQ49))+1,"")</f>
        <v/>
      </c>
      <c r="AO49">
        <f>IF($D49="","",IF(OR($U49=TRUE(),$U49="TRUE"),1,0))</f>
        <v/>
      </c>
      <c r="AP49">
        <f>IF($D49="","",IF($AC49="Yes",1,0))</f>
        <v/>
      </c>
      <c r="AQ49">
        <f>IF($AM49=1,IFERROR(VALUE(MID($D49,2,20)),1000000000)+ROW()/100000,"")</f>
        <v/>
      </c>
    </row>
    <row r="50">
      <c r="G50" s="11" t="n"/>
      <c r="Q50" s="7">
        <f>IF($D50="","",P50*Y50/100)</f>
        <v/>
      </c>
      <c r="R50" s="7" t="n"/>
      <c r="X50" s="7" t="n"/>
      <c r="Y50" s="7" t="n"/>
      <c r="Z50" s="7">
        <f>IF($D50="","",Y50*AD50/100)</f>
        <v/>
      </c>
      <c r="AA50" s="7">
        <f>IF($D50="","",Y50-Z50)</f>
        <v/>
      </c>
      <c r="AB50" s="7">
        <f>IF($D50="","",AA50-Q50)</f>
        <v/>
      </c>
      <c r="AD50">
        <f>IF($D50="","",IF($AP50=1,0,IF($AO50=1,Settings!$C$6,Settings!$C$7))*100)</f>
        <v/>
      </c>
      <c r="AH50" s="7" t="n"/>
      <c r="AK50" s="11" t="n"/>
      <c r="AM50">
        <f>IF($D50="","",IF(COUNTIF($D$2:$D50,$D50)=1,1,0))</f>
        <v/>
      </c>
      <c r="AN50">
        <f>IF($AM50=1,SUMPRODUCT(--($AQ$2:$AQ$1001&lt;$AQ50))+1,"")</f>
        <v/>
      </c>
      <c r="AO50">
        <f>IF($D50="","",IF(OR($U50=TRUE(),$U50="TRUE"),1,0))</f>
        <v/>
      </c>
      <c r="AP50">
        <f>IF($D50="","",IF($AC50="Yes",1,0))</f>
        <v/>
      </c>
      <c r="AQ50">
        <f>IF($AM50=1,IFERROR(VALUE(MID($D50,2,20)),1000000000)+ROW()/100000,"")</f>
        <v/>
      </c>
    </row>
    <row r="51">
      <c r="G51" s="11" t="n"/>
      <c r="Q51" s="7">
        <f>IF($D51="","",P51*Y51/100)</f>
        <v/>
      </c>
      <c r="R51" s="7" t="n"/>
      <c r="X51" s="7" t="n"/>
      <c r="Y51" s="7" t="n"/>
      <c r="Z51" s="7">
        <f>IF($D51="","",Y51*AD51/100)</f>
        <v/>
      </c>
      <c r="AA51" s="7">
        <f>IF($D51="","",Y51-Z51)</f>
        <v/>
      </c>
      <c r="AB51" s="7">
        <f>IF($D51="","",AA51-Q51)</f>
        <v/>
      </c>
      <c r="AD51">
        <f>IF($D51="","",IF($AP51=1,0,IF($AO51=1,Settings!$C$6,Settings!$C$7))*100)</f>
        <v/>
      </c>
      <c r="AH51" s="7" t="n"/>
      <c r="AK51" s="11" t="n"/>
      <c r="AM51">
        <f>IF($D51="","",IF(COUNTIF($D$2:$D51,$D51)=1,1,0))</f>
        <v/>
      </c>
      <c r="AN51">
        <f>IF($AM51=1,SUMPRODUCT(--($AQ$2:$AQ$1001&lt;$AQ51))+1,"")</f>
        <v/>
      </c>
      <c r="AO51">
        <f>IF($D51="","",IF(OR($U51=TRUE(),$U51="TRUE"),1,0))</f>
        <v/>
      </c>
      <c r="AP51">
        <f>IF($D51="","",IF($AC51="Yes",1,0))</f>
        <v/>
      </c>
      <c r="AQ51">
        <f>IF($AM51=1,IFERROR(VALUE(MID($D51,2,20)),1000000000)+ROW()/100000,"")</f>
        <v/>
      </c>
    </row>
    <row r="52">
      <c r="G52" s="11" t="n"/>
      <c r="Q52" s="7">
        <f>IF($D52="","",P52*Y52/100)</f>
        <v/>
      </c>
      <c r="R52" s="7" t="n"/>
      <c r="X52" s="7" t="n"/>
      <c r="Y52" s="7" t="n"/>
      <c r="Z52" s="7">
        <f>IF($D52="","",Y52*AD52/100)</f>
        <v/>
      </c>
      <c r="AA52" s="7">
        <f>IF($D52="","",Y52-Z52)</f>
        <v/>
      </c>
      <c r="AB52" s="7">
        <f>IF($D52="","",AA52-Q52)</f>
        <v/>
      </c>
      <c r="AD52">
        <f>IF($D52="","",IF($AP52=1,0,IF($AO52=1,Settings!$C$6,Settings!$C$7))*100)</f>
        <v/>
      </c>
      <c r="AH52" s="7" t="n"/>
      <c r="AK52" s="11" t="n"/>
      <c r="AM52">
        <f>IF($D52="","",IF(COUNTIF($D$2:$D52,$D52)=1,1,0))</f>
        <v/>
      </c>
      <c r="AN52">
        <f>IF($AM52=1,SUMPRODUCT(--($AQ$2:$AQ$1001&lt;$AQ52))+1,"")</f>
        <v/>
      </c>
      <c r="AO52">
        <f>IF($D52="","",IF(OR($U52=TRUE(),$U52="TRUE"),1,0))</f>
        <v/>
      </c>
      <c r="AP52">
        <f>IF($D52="","",IF($AC52="Yes",1,0))</f>
        <v/>
      </c>
      <c r="AQ52">
        <f>IF($AM52=1,IFERROR(VALUE(MID($D52,2,20)),1000000000)+ROW()/100000,"")</f>
        <v/>
      </c>
    </row>
    <row r="53">
      <c r="G53" s="11" t="n"/>
      <c r="Q53" s="7">
        <f>IF($D53="","",P53*Y53/100)</f>
        <v/>
      </c>
      <c r="R53" s="7" t="n"/>
      <c r="X53" s="7" t="n"/>
      <c r="Y53" s="7" t="n"/>
      <c r="Z53" s="7">
        <f>IF($D53="","",Y53*AD53/100)</f>
        <v/>
      </c>
      <c r="AA53" s="7">
        <f>IF($D53="","",Y53-Z53)</f>
        <v/>
      </c>
      <c r="AB53" s="7">
        <f>IF($D53="","",AA53-Q53)</f>
        <v/>
      </c>
      <c r="AD53">
        <f>IF($D53="","",IF($AP53=1,0,IF($AO53=1,Settings!$C$6,Settings!$C$7))*100)</f>
        <v/>
      </c>
      <c r="AH53" s="7" t="n"/>
      <c r="AK53" s="11" t="n"/>
      <c r="AM53">
        <f>IF($D53="","",IF(COUNTIF($D$2:$D53,$D53)=1,1,0))</f>
        <v/>
      </c>
      <c r="AN53">
        <f>IF($AM53=1,SUMPRODUCT(--($AQ$2:$AQ$1001&lt;$AQ53))+1,"")</f>
        <v/>
      </c>
      <c r="AO53">
        <f>IF($D53="","",IF(OR($U53=TRUE(),$U53="TRUE"),1,0))</f>
        <v/>
      </c>
      <c r="AP53">
        <f>IF($D53="","",IF($AC53="Yes",1,0))</f>
        <v/>
      </c>
      <c r="AQ53">
        <f>IF($AM53=1,IFERROR(VALUE(MID($D53,2,20)),1000000000)+ROW()/100000,"")</f>
        <v/>
      </c>
    </row>
    <row r="54">
      <c r="G54" s="11" t="n"/>
      <c r="Q54" s="7">
        <f>IF($D54="","",P54*Y54/100)</f>
        <v/>
      </c>
      <c r="R54" s="7" t="n"/>
      <c r="X54" s="7" t="n"/>
      <c r="Y54" s="7" t="n"/>
      <c r="Z54" s="7">
        <f>IF($D54="","",Y54*AD54/100)</f>
        <v/>
      </c>
      <c r="AA54" s="7">
        <f>IF($D54="","",Y54-Z54)</f>
        <v/>
      </c>
      <c r="AB54" s="7">
        <f>IF($D54="","",AA54-Q54)</f>
        <v/>
      </c>
      <c r="AD54">
        <f>IF($D54="","",IF($AP54=1,0,IF($AO54=1,Settings!$C$6,Settings!$C$7))*100)</f>
        <v/>
      </c>
      <c r="AH54" s="7" t="n"/>
      <c r="AK54" s="11" t="n"/>
      <c r="AM54">
        <f>IF($D54="","",IF(COUNTIF($D$2:$D54,$D54)=1,1,0))</f>
        <v/>
      </c>
      <c r="AN54">
        <f>IF($AM54=1,SUMPRODUCT(--($AQ$2:$AQ$1001&lt;$AQ54))+1,"")</f>
        <v/>
      </c>
      <c r="AO54">
        <f>IF($D54="","",IF(OR($U54=TRUE(),$U54="TRUE"),1,0))</f>
        <v/>
      </c>
      <c r="AP54">
        <f>IF($D54="","",IF($AC54="Yes",1,0))</f>
        <v/>
      </c>
      <c r="AQ54">
        <f>IF($AM54=1,IFERROR(VALUE(MID($D54,2,20)),1000000000)+ROW()/100000,"")</f>
        <v/>
      </c>
    </row>
    <row r="55">
      <c r="G55" s="11" t="n"/>
      <c r="Q55" s="7">
        <f>IF($D55="","",P55*Y55/100)</f>
        <v/>
      </c>
      <c r="R55" s="7" t="n"/>
      <c r="X55" s="7" t="n"/>
      <c r="Y55" s="7" t="n"/>
      <c r="Z55" s="7">
        <f>IF($D55="","",Y55*AD55/100)</f>
        <v/>
      </c>
      <c r="AA55" s="7">
        <f>IF($D55="","",Y55-Z55)</f>
        <v/>
      </c>
      <c r="AB55" s="7">
        <f>IF($D55="","",AA55-Q55)</f>
        <v/>
      </c>
      <c r="AD55">
        <f>IF($D55="","",IF($AP55=1,0,IF($AO55=1,Settings!$C$6,Settings!$C$7))*100)</f>
        <v/>
      </c>
      <c r="AH55" s="7" t="n"/>
      <c r="AK55" s="11" t="n"/>
      <c r="AM55">
        <f>IF($D55="","",IF(COUNTIF($D$2:$D55,$D55)=1,1,0))</f>
        <v/>
      </c>
      <c r="AN55">
        <f>IF($AM55=1,SUMPRODUCT(--($AQ$2:$AQ$1001&lt;$AQ55))+1,"")</f>
        <v/>
      </c>
      <c r="AO55">
        <f>IF($D55="","",IF(OR($U55=TRUE(),$U55="TRUE"),1,0))</f>
        <v/>
      </c>
      <c r="AP55">
        <f>IF($D55="","",IF($AC55="Yes",1,0))</f>
        <v/>
      </c>
      <c r="AQ55">
        <f>IF($AM55=1,IFERROR(VALUE(MID($D55,2,20)),1000000000)+ROW()/100000,"")</f>
        <v/>
      </c>
    </row>
    <row r="56">
      <c r="G56" s="11" t="n"/>
      <c r="Q56" s="7">
        <f>IF($D56="","",P56*Y56/100)</f>
        <v/>
      </c>
      <c r="R56" s="7" t="n"/>
      <c r="X56" s="7" t="n"/>
      <c r="Y56" s="7" t="n"/>
      <c r="Z56" s="7">
        <f>IF($D56="","",Y56*AD56/100)</f>
        <v/>
      </c>
      <c r="AA56" s="7">
        <f>IF($D56="","",Y56-Z56)</f>
        <v/>
      </c>
      <c r="AB56" s="7">
        <f>IF($D56="","",AA56-Q56)</f>
        <v/>
      </c>
      <c r="AD56">
        <f>IF($D56="","",IF($AP56=1,0,IF($AO56=1,Settings!$C$6,Settings!$C$7))*100)</f>
        <v/>
      </c>
      <c r="AH56" s="7" t="n"/>
      <c r="AK56" s="11" t="n"/>
      <c r="AM56">
        <f>IF($D56="","",IF(COUNTIF($D$2:$D56,$D56)=1,1,0))</f>
        <v/>
      </c>
      <c r="AN56">
        <f>IF($AM56=1,SUMPRODUCT(--($AQ$2:$AQ$1001&lt;$AQ56))+1,"")</f>
        <v/>
      </c>
      <c r="AO56">
        <f>IF($D56="","",IF(OR($U56=TRUE(),$U56="TRUE"),1,0))</f>
        <v/>
      </c>
      <c r="AP56">
        <f>IF($D56="","",IF($AC56="Yes",1,0))</f>
        <v/>
      </c>
      <c r="AQ56">
        <f>IF($AM56=1,IFERROR(VALUE(MID($D56,2,20)),1000000000)+ROW()/100000,"")</f>
        <v/>
      </c>
    </row>
    <row r="57">
      <c r="G57" s="11" t="n"/>
      <c r="Q57" s="7">
        <f>IF($D57="","",P57*Y57/100)</f>
        <v/>
      </c>
      <c r="R57" s="7" t="n"/>
      <c r="X57" s="7" t="n"/>
      <c r="Y57" s="7" t="n"/>
      <c r="Z57" s="7">
        <f>IF($D57="","",Y57*AD57/100)</f>
        <v/>
      </c>
      <c r="AA57" s="7">
        <f>IF($D57="","",Y57-Z57)</f>
        <v/>
      </c>
      <c r="AB57" s="7">
        <f>IF($D57="","",AA57-Q57)</f>
        <v/>
      </c>
      <c r="AD57">
        <f>IF($D57="","",IF($AP57=1,0,IF($AO57=1,Settings!$C$6,Settings!$C$7))*100)</f>
        <v/>
      </c>
      <c r="AH57" s="7" t="n"/>
      <c r="AK57" s="11" t="n"/>
      <c r="AM57">
        <f>IF($D57="","",IF(COUNTIF($D$2:$D57,$D57)=1,1,0))</f>
        <v/>
      </c>
      <c r="AN57">
        <f>IF($AM57=1,SUMPRODUCT(--($AQ$2:$AQ$1001&lt;$AQ57))+1,"")</f>
        <v/>
      </c>
      <c r="AO57">
        <f>IF($D57="","",IF(OR($U57=TRUE(),$U57="TRUE"),1,0))</f>
        <v/>
      </c>
      <c r="AP57">
        <f>IF($D57="","",IF($AC57="Yes",1,0))</f>
        <v/>
      </c>
      <c r="AQ57">
        <f>IF($AM57=1,IFERROR(VALUE(MID($D57,2,20)),1000000000)+ROW()/100000,"")</f>
        <v/>
      </c>
    </row>
    <row r="58">
      <c r="G58" s="11" t="n"/>
      <c r="Q58" s="7">
        <f>IF($D58="","",P58*Y58/100)</f>
        <v/>
      </c>
      <c r="R58" s="7" t="n"/>
      <c r="X58" s="7" t="n"/>
      <c r="Y58" s="7" t="n"/>
      <c r="Z58" s="7">
        <f>IF($D58="","",Y58*AD58/100)</f>
        <v/>
      </c>
      <c r="AA58" s="7">
        <f>IF($D58="","",Y58-Z58)</f>
        <v/>
      </c>
      <c r="AB58" s="7">
        <f>IF($D58="","",AA58-Q58)</f>
        <v/>
      </c>
      <c r="AD58">
        <f>IF($D58="","",IF($AP58=1,0,IF($AO58=1,Settings!$C$6,Settings!$C$7))*100)</f>
        <v/>
      </c>
      <c r="AH58" s="7" t="n"/>
      <c r="AK58" s="11" t="n"/>
      <c r="AM58">
        <f>IF($D58="","",IF(COUNTIF($D$2:$D58,$D58)=1,1,0))</f>
        <v/>
      </c>
      <c r="AN58">
        <f>IF($AM58=1,SUMPRODUCT(--($AQ$2:$AQ$1001&lt;$AQ58))+1,"")</f>
        <v/>
      </c>
      <c r="AO58">
        <f>IF($D58="","",IF(OR($U58=TRUE(),$U58="TRUE"),1,0))</f>
        <v/>
      </c>
      <c r="AP58">
        <f>IF($D58="","",IF($AC58="Yes",1,0))</f>
        <v/>
      </c>
      <c r="AQ58">
        <f>IF($AM58=1,IFERROR(VALUE(MID($D58,2,20)),1000000000)+ROW()/100000,"")</f>
        <v/>
      </c>
    </row>
    <row r="59">
      <c r="G59" s="11" t="n"/>
      <c r="Q59" s="7">
        <f>IF($D59="","",P59*Y59/100)</f>
        <v/>
      </c>
      <c r="R59" s="7" t="n"/>
      <c r="X59" s="7" t="n"/>
      <c r="Y59" s="7" t="n"/>
      <c r="Z59" s="7">
        <f>IF($D59="","",Y59*AD59/100)</f>
        <v/>
      </c>
      <c r="AA59" s="7">
        <f>IF($D59="","",Y59-Z59)</f>
        <v/>
      </c>
      <c r="AB59" s="7">
        <f>IF($D59="","",AA59-Q59)</f>
        <v/>
      </c>
      <c r="AD59">
        <f>IF($D59="","",IF($AP59=1,0,IF($AO59=1,Settings!$C$6,Settings!$C$7))*100)</f>
        <v/>
      </c>
      <c r="AH59" s="7" t="n"/>
      <c r="AK59" s="11" t="n"/>
      <c r="AM59">
        <f>IF($D59="","",IF(COUNTIF($D$2:$D59,$D59)=1,1,0))</f>
        <v/>
      </c>
      <c r="AN59">
        <f>IF($AM59=1,SUMPRODUCT(--($AQ$2:$AQ$1001&lt;$AQ59))+1,"")</f>
        <v/>
      </c>
      <c r="AO59">
        <f>IF($D59="","",IF(OR($U59=TRUE(),$U59="TRUE"),1,0))</f>
        <v/>
      </c>
      <c r="AP59">
        <f>IF($D59="","",IF($AC59="Yes",1,0))</f>
        <v/>
      </c>
      <c r="AQ59">
        <f>IF($AM59=1,IFERROR(VALUE(MID($D59,2,20)),1000000000)+ROW()/100000,"")</f>
        <v/>
      </c>
    </row>
    <row r="60">
      <c r="G60" s="11" t="n"/>
      <c r="Q60" s="7">
        <f>IF($D60="","",P60*Y60/100)</f>
        <v/>
      </c>
      <c r="R60" s="7" t="n"/>
      <c r="X60" s="7" t="n"/>
      <c r="Y60" s="7" t="n"/>
      <c r="Z60" s="7">
        <f>IF($D60="","",Y60*AD60/100)</f>
        <v/>
      </c>
      <c r="AA60" s="7">
        <f>IF($D60="","",Y60-Z60)</f>
        <v/>
      </c>
      <c r="AB60" s="7">
        <f>IF($D60="","",AA60-Q60)</f>
        <v/>
      </c>
      <c r="AD60">
        <f>IF($D60="","",IF($AP60=1,0,IF($AO60=1,Settings!$C$6,Settings!$C$7))*100)</f>
        <v/>
      </c>
      <c r="AH60" s="7" t="n"/>
      <c r="AK60" s="11" t="n"/>
      <c r="AM60">
        <f>IF($D60="","",IF(COUNTIF($D$2:$D60,$D60)=1,1,0))</f>
        <v/>
      </c>
      <c r="AN60">
        <f>IF($AM60=1,SUMPRODUCT(--($AQ$2:$AQ$1001&lt;$AQ60))+1,"")</f>
        <v/>
      </c>
      <c r="AO60">
        <f>IF($D60="","",IF(OR($U60=TRUE(),$U60="TRUE"),1,0))</f>
        <v/>
      </c>
      <c r="AP60">
        <f>IF($D60="","",IF($AC60="Yes",1,0))</f>
        <v/>
      </c>
      <c r="AQ60">
        <f>IF($AM60=1,IFERROR(VALUE(MID($D60,2,20)),1000000000)+ROW()/100000,"")</f>
        <v/>
      </c>
    </row>
    <row r="61">
      <c r="G61" s="11" t="n"/>
      <c r="Q61" s="7">
        <f>IF($D61="","",P61*Y61/100)</f>
        <v/>
      </c>
      <c r="R61" s="7" t="n"/>
      <c r="X61" s="7" t="n"/>
      <c r="Y61" s="7" t="n"/>
      <c r="Z61" s="7">
        <f>IF($D61="","",Y61*AD61/100)</f>
        <v/>
      </c>
      <c r="AA61" s="7">
        <f>IF($D61="","",Y61-Z61)</f>
        <v/>
      </c>
      <c r="AB61" s="7">
        <f>IF($D61="","",AA61-Q61)</f>
        <v/>
      </c>
      <c r="AD61">
        <f>IF($D61="","",IF($AP61=1,0,IF($AO61=1,Settings!$C$6,Settings!$C$7))*100)</f>
        <v/>
      </c>
      <c r="AH61" s="7" t="n"/>
      <c r="AK61" s="11" t="n"/>
      <c r="AM61">
        <f>IF($D61="","",IF(COUNTIF($D$2:$D61,$D61)=1,1,0))</f>
        <v/>
      </c>
      <c r="AN61">
        <f>IF($AM61=1,SUMPRODUCT(--($AQ$2:$AQ$1001&lt;$AQ61))+1,"")</f>
        <v/>
      </c>
      <c r="AO61">
        <f>IF($D61="","",IF(OR($U61=TRUE(),$U61="TRUE"),1,0))</f>
        <v/>
      </c>
      <c r="AP61">
        <f>IF($D61="","",IF($AC61="Yes",1,0))</f>
        <v/>
      </c>
      <c r="AQ61">
        <f>IF($AM61=1,IFERROR(VALUE(MID($D61,2,20)),1000000000)+ROW()/100000,"")</f>
        <v/>
      </c>
    </row>
    <row r="62">
      <c r="G62" s="11" t="n"/>
      <c r="Q62" s="7">
        <f>IF($D62="","",P62*Y62/100)</f>
        <v/>
      </c>
      <c r="R62" s="7" t="n"/>
      <c r="X62" s="7" t="n"/>
      <c r="Y62" s="7" t="n"/>
      <c r="Z62" s="7">
        <f>IF($D62="","",Y62*AD62/100)</f>
        <v/>
      </c>
      <c r="AA62" s="7">
        <f>IF($D62="","",Y62-Z62)</f>
        <v/>
      </c>
      <c r="AB62" s="7">
        <f>IF($D62="","",AA62-Q62)</f>
        <v/>
      </c>
      <c r="AD62">
        <f>IF($D62="","",IF($AP62=1,0,IF($AO62=1,Settings!$C$6,Settings!$C$7))*100)</f>
        <v/>
      </c>
      <c r="AH62" s="7" t="n"/>
      <c r="AK62" s="11" t="n"/>
      <c r="AM62">
        <f>IF($D62="","",IF(COUNTIF($D$2:$D62,$D62)=1,1,0))</f>
        <v/>
      </c>
      <c r="AN62">
        <f>IF($AM62=1,SUMPRODUCT(--($AQ$2:$AQ$1001&lt;$AQ62))+1,"")</f>
        <v/>
      </c>
      <c r="AO62">
        <f>IF($D62="","",IF(OR($U62=TRUE(),$U62="TRUE"),1,0))</f>
        <v/>
      </c>
      <c r="AP62">
        <f>IF($D62="","",IF($AC62="Yes",1,0))</f>
        <v/>
      </c>
      <c r="AQ62">
        <f>IF($AM62=1,IFERROR(VALUE(MID($D62,2,20)),1000000000)+ROW()/100000,"")</f>
        <v/>
      </c>
    </row>
    <row r="63">
      <c r="G63" s="11" t="n"/>
      <c r="Q63" s="7">
        <f>IF($D63="","",P63*Y63/100)</f>
        <v/>
      </c>
      <c r="R63" s="7" t="n"/>
      <c r="X63" s="7" t="n"/>
      <c r="Y63" s="7" t="n"/>
      <c r="Z63" s="7">
        <f>IF($D63="","",Y63*AD63/100)</f>
        <v/>
      </c>
      <c r="AA63" s="7">
        <f>IF($D63="","",Y63-Z63)</f>
        <v/>
      </c>
      <c r="AB63" s="7">
        <f>IF($D63="","",AA63-Q63)</f>
        <v/>
      </c>
      <c r="AD63">
        <f>IF($D63="","",IF($AP63=1,0,IF($AO63=1,Settings!$C$6,Settings!$C$7))*100)</f>
        <v/>
      </c>
      <c r="AH63" s="7" t="n"/>
      <c r="AK63" s="11" t="n"/>
      <c r="AM63">
        <f>IF($D63="","",IF(COUNTIF($D$2:$D63,$D63)=1,1,0))</f>
        <v/>
      </c>
      <c r="AN63">
        <f>IF($AM63=1,SUMPRODUCT(--($AQ$2:$AQ$1001&lt;$AQ63))+1,"")</f>
        <v/>
      </c>
      <c r="AO63">
        <f>IF($D63="","",IF(OR($U63=TRUE(),$U63="TRUE"),1,0))</f>
        <v/>
      </c>
      <c r="AP63">
        <f>IF($D63="","",IF($AC63="Yes",1,0))</f>
        <v/>
      </c>
      <c r="AQ63">
        <f>IF($AM63=1,IFERROR(VALUE(MID($D63,2,20)),1000000000)+ROW()/100000,"")</f>
        <v/>
      </c>
    </row>
    <row r="64">
      <c r="G64" s="11" t="n"/>
      <c r="Q64" s="7">
        <f>IF($D64="","",P64*Y64/100)</f>
        <v/>
      </c>
      <c r="R64" s="7" t="n"/>
      <c r="X64" s="7" t="n"/>
      <c r="Y64" s="7" t="n"/>
      <c r="Z64" s="7">
        <f>IF($D64="","",Y64*AD64/100)</f>
        <v/>
      </c>
      <c r="AA64" s="7">
        <f>IF($D64="","",Y64-Z64)</f>
        <v/>
      </c>
      <c r="AB64" s="7">
        <f>IF($D64="","",AA64-Q64)</f>
        <v/>
      </c>
      <c r="AD64">
        <f>IF($D64="","",IF($AP64=1,0,IF($AO64=1,Settings!$C$6,Settings!$C$7))*100)</f>
        <v/>
      </c>
      <c r="AH64" s="7" t="n"/>
      <c r="AK64" s="11" t="n"/>
      <c r="AM64">
        <f>IF($D64="","",IF(COUNTIF($D$2:$D64,$D64)=1,1,0))</f>
        <v/>
      </c>
      <c r="AN64">
        <f>IF($AM64=1,SUMPRODUCT(--($AQ$2:$AQ$1001&lt;$AQ64))+1,"")</f>
        <v/>
      </c>
      <c r="AO64">
        <f>IF($D64="","",IF(OR($U64=TRUE(),$U64="TRUE"),1,0))</f>
        <v/>
      </c>
      <c r="AP64">
        <f>IF($D64="","",IF($AC64="Yes",1,0))</f>
        <v/>
      </c>
      <c r="AQ64">
        <f>IF($AM64=1,IFERROR(VALUE(MID($D64,2,20)),1000000000)+ROW()/100000,"")</f>
        <v/>
      </c>
    </row>
    <row r="65">
      <c r="G65" s="11" t="n"/>
      <c r="Q65" s="7">
        <f>IF($D65="","",P65*Y65/100)</f>
        <v/>
      </c>
      <c r="R65" s="7" t="n"/>
      <c r="X65" s="7" t="n"/>
      <c r="Y65" s="7" t="n"/>
      <c r="Z65" s="7">
        <f>IF($D65="","",Y65*AD65/100)</f>
        <v/>
      </c>
      <c r="AA65" s="7">
        <f>IF($D65="","",Y65-Z65)</f>
        <v/>
      </c>
      <c r="AB65" s="7">
        <f>IF($D65="","",AA65-Q65)</f>
        <v/>
      </c>
      <c r="AD65">
        <f>IF($D65="","",IF($AP65=1,0,IF($AO65=1,Settings!$C$6,Settings!$C$7))*100)</f>
        <v/>
      </c>
      <c r="AH65" s="7" t="n"/>
      <c r="AK65" s="11" t="n"/>
      <c r="AM65">
        <f>IF($D65="","",IF(COUNTIF($D$2:$D65,$D65)=1,1,0))</f>
        <v/>
      </c>
      <c r="AN65">
        <f>IF($AM65=1,SUMPRODUCT(--($AQ$2:$AQ$1001&lt;$AQ65))+1,"")</f>
        <v/>
      </c>
      <c r="AO65">
        <f>IF($D65="","",IF(OR($U65=TRUE(),$U65="TRUE"),1,0))</f>
        <v/>
      </c>
      <c r="AP65">
        <f>IF($D65="","",IF($AC65="Yes",1,0))</f>
        <v/>
      </c>
      <c r="AQ65">
        <f>IF($AM65=1,IFERROR(VALUE(MID($D65,2,20)),1000000000)+ROW()/100000,"")</f>
        <v/>
      </c>
    </row>
    <row r="66">
      <c r="G66" s="11" t="n"/>
      <c r="Q66" s="7">
        <f>IF($D66="","",P66*Y66/100)</f>
        <v/>
      </c>
      <c r="R66" s="7" t="n"/>
      <c r="X66" s="7" t="n"/>
      <c r="Y66" s="7" t="n"/>
      <c r="Z66" s="7">
        <f>IF($D66="","",Y66*AD66/100)</f>
        <v/>
      </c>
      <c r="AA66" s="7">
        <f>IF($D66="","",Y66-Z66)</f>
        <v/>
      </c>
      <c r="AB66" s="7">
        <f>IF($D66="","",AA66-Q66)</f>
        <v/>
      </c>
      <c r="AD66">
        <f>IF($D66="","",IF($AP66=1,0,IF($AO66=1,Settings!$C$6,Settings!$C$7))*100)</f>
        <v/>
      </c>
      <c r="AH66" s="7" t="n"/>
      <c r="AK66" s="11" t="n"/>
      <c r="AM66">
        <f>IF($D66="","",IF(COUNTIF($D$2:$D66,$D66)=1,1,0))</f>
        <v/>
      </c>
      <c r="AN66">
        <f>IF($AM66=1,SUMPRODUCT(--($AQ$2:$AQ$1001&lt;$AQ66))+1,"")</f>
        <v/>
      </c>
      <c r="AO66">
        <f>IF($D66="","",IF(OR($U66=TRUE(),$U66="TRUE"),1,0))</f>
        <v/>
      </c>
      <c r="AP66">
        <f>IF($D66="","",IF($AC66="Yes",1,0))</f>
        <v/>
      </c>
      <c r="AQ66">
        <f>IF($AM66=1,IFERROR(VALUE(MID($D66,2,20)),1000000000)+ROW()/100000,"")</f>
        <v/>
      </c>
    </row>
    <row r="67">
      <c r="G67" s="11" t="n"/>
      <c r="Q67" s="7">
        <f>IF($D67="","",P67*Y67/100)</f>
        <v/>
      </c>
      <c r="R67" s="7" t="n"/>
      <c r="X67" s="7" t="n"/>
      <c r="Y67" s="7" t="n"/>
      <c r="Z67" s="7">
        <f>IF($D67="","",Y67*AD67/100)</f>
        <v/>
      </c>
      <c r="AA67" s="7">
        <f>IF($D67="","",Y67-Z67)</f>
        <v/>
      </c>
      <c r="AB67" s="7">
        <f>IF($D67="","",AA67-Q67)</f>
        <v/>
      </c>
      <c r="AD67">
        <f>IF($D67="","",IF($AP67=1,0,IF($AO67=1,Settings!$C$6,Settings!$C$7))*100)</f>
        <v/>
      </c>
      <c r="AH67" s="7" t="n"/>
      <c r="AK67" s="11" t="n"/>
      <c r="AM67">
        <f>IF($D67="","",IF(COUNTIF($D$2:$D67,$D67)=1,1,0))</f>
        <v/>
      </c>
      <c r="AN67">
        <f>IF($AM67=1,SUMPRODUCT(--($AQ$2:$AQ$1001&lt;$AQ67))+1,"")</f>
        <v/>
      </c>
      <c r="AO67">
        <f>IF($D67="","",IF(OR($U67=TRUE(),$U67="TRUE"),1,0))</f>
        <v/>
      </c>
      <c r="AP67">
        <f>IF($D67="","",IF($AC67="Yes",1,0))</f>
        <v/>
      </c>
      <c r="AQ67">
        <f>IF($AM67=1,IFERROR(VALUE(MID($D67,2,20)),1000000000)+ROW()/100000,"")</f>
        <v/>
      </c>
    </row>
    <row r="68">
      <c r="G68" s="11" t="n"/>
      <c r="Q68" s="7">
        <f>IF($D68="","",P68*Y68/100)</f>
        <v/>
      </c>
      <c r="R68" s="7" t="n"/>
      <c r="X68" s="7" t="n"/>
      <c r="Y68" s="7" t="n"/>
      <c r="Z68" s="7">
        <f>IF($D68="","",Y68*AD68/100)</f>
        <v/>
      </c>
      <c r="AA68" s="7">
        <f>IF($D68="","",Y68-Z68)</f>
        <v/>
      </c>
      <c r="AB68" s="7">
        <f>IF($D68="","",AA68-Q68)</f>
        <v/>
      </c>
      <c r="AD68">
        <f>IF($D68="","",IF($AP68=1,0,IF($AO68=1,Settings!$C$6,Settings!$C$7))*100)</f>
        <v/>
      </c>
      <c r="AH68" s="7" t="n"/>
      <c r="AK68" s="11" t="n"/>
      <c r="AM68">
        <f>IF($D68="","",IF(COUNTIF($D$2:$D68,$D68)=1,1,0))</f>
        <v/>
      </c>
      <c r="AN68">
        <f>IF($AM68=1,SUMPRODUCT(--($AQ$2:$AQ$1001&lt;$AQ68))+1,"")</f>
        <v/>
      </c>
      <c r="AO68">
        <f>IF($D68="","",IF(OR($U68=TRUE(),$U68="TRUE"),1,0))</f>
        <v/>
      </c>
      <c r="AP68">
        <f>IF($D68="","",IF($AC68="Yes",1,0))</f>
        <v/>
      </c>
      <c r="AQ68">
        <f>IF($AM68=1,IFERROR(VALUE(MID($D68,2,20)),1000000000)+ROW()/100000,"")</f>
        <v/>
      </c>
    </row>
    <row r="69">
      <c r="G69" s="11" t="n"/>
      <c r="Q69" s="7">
        <f>IF($D69="","",P69*Y69/100)</f>
        <v/>
      </c>
      <c r="R69" s="7" t="n"/>
      <c r="X69" s="7" t="n"/>
      <c r="Y69" s="7" t="n"/>
      <c r="Z69" s="7">
        <f>IF($D69="","",Y69*AD69/100)</f>
        <v/>
      </c>
      <c r="AA69" s="7">
        <f>IF($D69="","",Y69-Z69)</f>
        <v/>
      </c>
      <c r="AB69" s="7">
        <f>IF($D69="","",AA69-Q69)</f>
        <v/>
      </c>
      <c r="AD69">
        <f>IF($D69="","",IF($AP69=1,0,IF($AO69=1,Settings!$C$6,Settings!$C$7))*100)</f>
        <v/>
      </c>
      <c r="AH69" s="7" t="n"/>
      <c r="AK69" s="11" t="n"/>
      <c r="AM69">
        <f>IF($D69="","",IF(COUNTIF($D$2:$D69,$D69)=1,1,0))</f>
        <v/>
      </c>
      <c r="AN69">
        <f>IF($AM69=1,SUMPRODUCT(--($AQ$2:$AQ$1001&lt;$AQ69))+1,"")</f>
        <v/>
      </c>
      <c r="AO69">
        <f>IF($D69="","",IF(OR($U69=TRUE(),$U69="TRUE"),1,0))</f>
        <v/>
      </c>
      <c r="AP69">
        <f>IF($D69="","",IF($AC69="Yes",1,0))</f>
        <v/>
      </c>
      <c r="AQ69">
        <f>IF($AM69=1,IFERROR(VALUE(MID($D69,2,20)),1000000000)+ROW()/100000,"")</f>
        <v/>
      </c>
    </row>
    <row r="70">
      <c r="G70" s="11" t="n"/>
      <c r="Q70" s="7">
        <f>IF($D70="","",P70*Y70/100)</f>
        <v/>
      </c>
      <c r="R70" s="7" t="n"/>
      <c r="X70" s="7" t="n"/>
      <c r="Y70" s="7" t="n"/>
      <c r="Z70" s="7">
        <f>IF($D70="","",Y70*AD70/100)</f>
        <v/>
      </c>
      <c r="AA70" s="7">
        <f>IF($D70="","",Y70-Z70)</f>
        <v/>
      </c>
      <c r="AB70" s="7">
        <f>IF($D70="","",AA70-Q70)</f>
        <v/>
      </c>
      <c r="AD70">
        <f>IF($D70="","",IF($AP70=1,0,IF($AO70=1,Settings!$C$6,Settings!$C$7))*100)</f>
        <v/>
      </c>
      <c r="AH70" s="7" t="n"/>
      <c r="AK70" s="11" t="n"/>
      <c r="AM70">
        <f>IF($D70="","",IF(COUNTIF($D$2:$D70,$D70)=1,1,0))</f>
        <v/>
      </c>
      <c r="AN70">
        <f>IF($AM70=1,SUMPRODUCT(--($AQ$2:$AQ$1001&lt;$AQ70))+1,"")</f>
        <v/>
      </c>
      <c r="AO70">
        <f>IF($D70="","",IF(OR($U70=TRUE(),$U70="TRUE"),1,0))</f>
        <v/>
      </c>
      <c r="AP70">
        <f>IF($D70="","",IF($AC70="Yes",1,0))</f>
        <v/>
      </c>
      <c r="AQ70">
        <f>IF($AM70=1,IFERROR(VALUE(MID($D70,2,20)),1000000000)+ROW()/100000,"")</f>
        <v/>
      </c>
    </row>
    <row r="71">
      <c r="G71" s="11" t="n"/>
      <c r="Q71" s="7">
        <f>IF($D71="","",P71*Y71/100)</f>
        <v/>
      </c>
      <c r="R71" s="7" t="n"/>
      <c r="X71" s="7" t="n"/>
      <c r="Y71" s="7" t="n"/>
      <c r="Z71" s="7">
        <f>IF($D71="","",Y71*AD71/100)</f>
        <v/>
      </c>
      <c r="AA71" s="7">
        <f>IF($D71="","",Y71-Z71)</f>
        <v/>
      </c>
      <c r="AB71" s="7">
        <f>IF($D71="","",AA71-Q71)</f>
        <v/>
      </c>
      <c r="AD71">
        <f>IF($D71="","",IF($AP71=1,0,IF($AO71=1,Settings!$C$6,Settings!$C$7))*100)</f>
        <v/>
      </c>
      <c r="AH71" s="7" t="n"/>
      <c r="AK71" s="11" t="n"/>
      <c r="AM71">
        <f>IF($D71="","",IF(COUNTIF($D$2:$D71,$D71)=1,1,0))</f>
        <v/>
      </c>
      <c r="AN71">
        <f>IF($AM71=1,SUMPRODUCT(--($AQ$2:$AQ$1001&lt;$AQ71))+1,"")</f>
        <v/>
      </c>
      <c r="AO71">
        <f>IF($D71="","",IF(OR($U71=TRUE(),$U71="TRUE"),1,0))</f>
        <v/>
      </c>
      <c r="AP71">
        <f>IF($D71="","",IF($AC71="Yes",1,0))</f>
        <v/>
      </c>
      <c r="AQ71">
        <f>IF($AM71=1,IFERROR(VALUE(MID($D71,2,20)),1000000000)+ROW()/100000,"")</f>
        <v/>
      </c>
    </row>
    <row r="72">
      <c r="G72" s="11" t="n"/>
      <c r="Q72" s="7">
        <f>IF($D72="","",P72*Y72/100)</f>
        <v/>
      </c>
      <c r="R72" s="7" t="n"/>
      <c r="X72" s="7" t="n"/>
      <c r="Y72" s="7" t="n"/>
      <c r="Z72" s="7">
        <f>IF($D72="","",Y72*AD72/100)</f>
        <v/>
      </c>
      <c r="AA72" s="7">
        <f>IF($D72="","",Y72-Z72)</f>
        <v/>
      </c>
      <c r="AB72" s="7">
        <f>IF($D72="","",AA72-Q72)</f>
        <v/>
      </c>
      <c r="AD72">
        <f>IF($D72="","",IF($AP72=1,0,IF($AO72=1,Settings!$C$6,Settings!$C$7))*100)</f>
        <v/>
      </c>
      <c r="AH72" s="7" t="n"/>
      <c r="AK72" s="11" t="n"/>
      <c r="AM72">
        <f>IF($D72="","",IF(COUNTIF($D$2:$D72,$D72)=1,1,0))</f>
        <v/>
      </c>
      <c r="AN72">
        <f>IF($AM72=1,SUMPRODUCT(--($AQ$2:$AQ$1001&lt;$AQ72))+1,"")</f>
        <v/>
      </c>
      <c r="AO72">
        <f>IF($D72="","",IF(OR($U72=TRUE(),$U72="TRUE"),1,0))</f>
        <v/>
      </c>
      <c r="AP72">
        <f>IF($D72="","",IF($AC72="Yes",1,0))</f>
        <v/>
      </c>
      <c r="AQ72">
        <f>IF($AM72=1,IFERROR(VALUE(MID($D72,2,20)),1000000000)+ROW()/100000,"")</f>
        <v/>
      </c>
    </row>
    <row r="73">
      <c r="G73" s="11" t="n"/>
      <c r="Q73" s="7">
        <f>IF($D73="","",P73*Y73/100)</f>
        <v/>
      </c>
      <c r="R73" s="7" t="n"/>
      <c r="X73" s="7" t="n"/>
      <c r="Y73" s="7" t="n"/>
      <c r="Z73" s="7">
        <f>IF($D73="","",Y73*AD73/100)</f>
        <v/>
      </c>
      <c r="AA73" s="7">
        <f>IF($D73="","",Y73-Z73)</f>
        <v/>
      </c>
      <c r="AB73" s="7">
        <f>IF($D73="","",AA73-Q73)</f>
        <v/>
      </c>
      <c r="AD73">
        <f>IF($D73="","",IF($AP73=1,0,IF($AO73=1,Settings!$C$6,Settings!$C$7))*100)</f>
        <v/>
      </c>
      <c r="AH73" s="7" t="n"/>
      <c r="AK73" s="11" t="n"/>
      <c r="AM73">
        <f>IF($D73="","",IF(COUNTIF($D$2:$D73,$D73)=1,1,0))</f>
        <v/>
      </c>
      <c r="AN73">
        <f>IF($AM73=1,SUMPRODUCT(--($AQ$2:$AQ$1001&lt;$AQ73))+1,"")</f>
        <v/>
      </c>
      <c r="AO73">
        <f>IF($D73="","",IF(OR($U73=TRUE(),$U73="TRUE"),1,0))</f>
        <v/>
      </c>
      <c r="AP73">
        <f>IF($D73="","",IF($AC73="Yes",1,0))</f>
        <v/>
      </c>
      <c r="AQ73">
        <f>IF($AM73=1,IFERROR(VALUE(MID($D73,2,20)),1000000000)+ROW()/100000,"")</f>
        <v/>
      </c>
    </row>
    <row r="74">
      <c r="G74" s="11" t="n"/>
      <c r="Q74" s="7">
        <f>IF($D74="","",P74*Y74/100)</f>
        <v/>
      </c>
      <c r="R74" s="7" t="n"/>
      <c r="X74" s="7" t="n"/>
      <c r="Y74" s="7" t="n"/>
      <c r="Z74" s="7">
        <f>IF($D74="","",Y74*AD74/100)</f>
        <v/>
      </c>
      <c r="AA74" s="7">
        <f>IF($D74="","",Y74-Z74)</f>
        <v/>
      </c>
      <c r="AB74" s="7">
        <f>IF($D74="","",AA74-Q74)</f>
        <v/>
      </c>
      <c r="AD74">
        <f>IF($D74="","",IF($AP74=1,0,IF($AO74=1,Settings!$C$6,Settings!$C$7))*100)</f>
        <v/>
      </c>
      <c r="AH74" s="7" t="n"/>
      <c r="AK74" s="11" t="n"/>
      <c r="AM74">
        <f>IF($D74="","",IF(COUNTIF($D$2:$D74,$D74)=1,1,0))</f>
        <v/>
      </c>
      <c r="AN74">
        <f>IF($AM74=1,SUMPRODUCT(--($AQ$2:$AQ$1001&lt;$AQ74))+1,"")</f>
        <v/>
      </c>
      <c r="AO74">
        <f>IF($D74="","",IF(OR($U74=TRUE(),$U74="TRUE"),1,0))</f>
        <v/>
      </c>
      <c r="AP74">
        <f>IF($D74="","",IF($AC74="Yes",1,0))</f>
        <v/>
      </c>
      <c r="AQ74">
        <f>IF($AM74=1,IFERROR(VALUE(MID($D74,2,20)),1000000000)+ROW()/100000,"")</f>
        <v/>
      </c>
    </row>
    <row r="75">
      <c r="G75" s="11" t="n"/>
      <c r="Q75" s="7">
        <f>IF($D75="","",P75*Y75/100)</f>
        <v/>
      </c>
      <c r="R75" s="7" t="n"/>
      <c r="X75" s="7" t="n"/>
      <c r="Y75" s="7" t="n"/>
      <c r="Z75" s="7">
        <f>IF($D75="","",Y75*AD75/100)</f>
        <v/>
      </c>
      <c r="AA75" s="7">
        <f>IF($D75="","",Y75-Z75)</f>
        <v/>
      </c>
      <c r="AB75" s="7">
        <f>IF($D75="","",AA75-Q75)</f>
        <v/>
      </c>
      <c r="AD75">
        <f>IF($D75="","",IF($AP75=1,0,IF($AO75=1,Settings!$C$6,Settings!$C$7))*100)</f>
        <v/>
      </c>
      <c r="AH75" s="7" t="n"/>
      <c r="AK75" s="11" t="n"/>
      <c r="AM75">
        <f>IF($D75="","",IF(COUNTIF($D$2:$D75,$D75)=1,1,0))</f>
        <v/>
      </c>
      <c r="AN75">
        <f>IF($AM75=1,SUMPRODUCT(--($AQ$2:$AQ$1001&lt;$AQ75))+1,"")</f>
        <v/>
      </c>
      <c r="AO75">
        <f>IF($D75="","",IF(OR($U75=TRUE(),$U75="TRUE"),1,0))</f>
        <v/>
      </c>
      <c r="AP75">
        <f>IF($D75="","",IF($AC75="Yes",1,0))</f>
        <v/>
      </c>
      <c r="AQ75">
        <f>IF($AM75=1,IFERROR(VALUE(MID($D75,2,20)),1000000000)+ROW()/100000,"")</f>
        <v/>
      </c>
    </row>
    <row r="76">
      <c r="G76" s="11" t="n"/>
      <c r="Q76" s="7">
        <f>IF($D76="","",P76*Y76/100)</f>
        <v/>
      </c>
      <c r="R76" s="7" t="n"/>
      <c r="X76" s="7" t="n"/>
      <c r="Y76" s="7" t="n"/>
      <c r="Z76" s="7">
        <f>IF($D76="","",Y76*AD76/100)</f>
        <v/>
      </c>
      <c r="AA76" s="7">
        <f>IF($D76="","",Y76-Z76)</f>
        <v/>
      </c>
      <c r="AB76" s="7">
        <f>IF($D76="","",AA76-Q76)</f>
        <v/>
      </c>
      <c r="AD76">
        <f>IF($D76="","",IF($AP76=1,0,IF($AO76=1,Settings!$C$6,Settings!$C$7))*100)</f>
        <v/>
      </c>
      <c r="AH76" s="7" t="n"/>
      <c r="AK76" s="11" t="n"/>
      <c r="AM76">
        <f>IF($D76="","",IF(COUNTIF($D$2:$D76,$D76)=1,1,0))</f>
        <v/>
      </c>
      <c r="AN76">
        <f>IF($AM76=1,SUMPRODUCT(--($AQ$2:$AQ$1001&lt;$AQ76))+1,"")</f>
        <v/>
      </c>
      <c r="AO76">
        <f>IF($D76="","",IF(OR($U76=TRUE(),$U76="TRUE"),1,0))</f>
        <v/>
      </c>
      <c r="AP76">
        <f>IF($D76="","",IF($AC76="Yes",1,0))</f>
        <v/>
      </c>
      <c r="AQ76">
        <f>IF($AM76=1,IFERROR(VALUE(MID($D76,2,20)),1000000000)+ROW()/100000,"")</f>
        <v/>
      </c>
    </row>
    <row r="77">
      <c r="G77" s="11" t="n"/>
      <c r="Q77" s="7">
        <f>IF($D77="","",P77*Y77/100)</f>
        <v/>
      </c>
      <c r="R77" s="7" t="n"/>
      <c r="X77" s="7" t="n"/>
      <c r="Y77" s="7" t="n"/>
      <c r="Z77" s="7">
        <f>IF($D77="","",Y77*AD77/100)</f>
        <v/>
      </c>
      <c r="AA77" s="7">
        <f>IF($D77="","",Y77-Z77)</f>
        <v/>
      </c>
      <c r="AB77" s="7">
        <f>IF($D77="","",AA77-Q77)</f>
        <v/>
      </c>
      <c r="AD77">
        <f>IF($D77="","",IF($AP77=1,0,IF($AO77=1,Settings!$C$6,Settings!$C$7))*100)</f>
        <v/>
      </c>
      <c r="AH77" s="7" t="n"/>
      <c r="AK77" s="11" t="n"/>
      <c r="AM77">
        <f>IF($D77="","",IF(COUNTIF($D$2:$D77,$D77)=1,1,0))</f>
        <v/>
      </c>
      <c r="AN77">
        <f>IF($AM77=1,SUMPRODUCT(--($AQ$2:$AQ$1001&lt;$AQ77))+1,"")</f>
        <v/>
      </c>
      <c r="AO77">
        <f>IF($D77="","",IF(OR($U77=TRUE(),$U77="TRUE"),1,0))</f>
        <v/>
      </c>
      <c r="AP77">
        <f>IF($D77="","",IF($AC77="Yes",1,0))</f>
        <v/>
      </c>
      <c r="AQ77">
        <f>IF($AM77=1,IFERROR(VALUE(MID($D77,2,20)),1000000000)+ROW()/100000,"")</f>
        <v/>
      </c>
    </row>
    <row r="78">
      <c r="G78" s="11" t="n"/>
      <c r="Q78" s="7">
        <f>IF($D78="","",P78*Y78/100)</f>
        <v/>
      </c>
      <c r="R78" s="7" t="n"/>
      <c r="X78" s="7" t="n"/>
      <c r="Y78" s="7" t="n"/>
      <c r="Z78" s="7">
        <f>IF($D78="","",Y78*AD78/100)</f>
        <v/>
      </c>
      <c r="AA78" s="7">
        <f>IF($D78="","",Y78-Z78)</f>
        <v/>
      </c>
      <c r="AB78" s="7">
        <f>IF($D78="","",AA78-Q78)</f>
        <v/>
      </c>
      <c r="AD78">
        <f>IF($D78="","",IF($AP78=1,0,IF($AO78=1,Settings!$C$6,Settings!$C$7))*100)</f>
        <v/>
      </c>
      <c r="AH78" s="7" t="n"/>
      <c r="AK78" s="11" t="n"/>
      <c r="AM78">
        <f>IF($D78="","",IF(COUNTIF($D$2:$D78,$D78)=1,1,0))</f>
        <v/>
      </c>
      <c r="AN78">
        <f>IF($AM78=1,SUMPRODUCT(--($AQ$2:$AQ$1001&lt;$AQ78))+1,"")</f>
        <v/>
      </c>
      <c r="AO78">
        <f>IF($D78="","",IF(OR($U78=TRUE(),$U78="TRUE"),1,0))</f>
        <v/>
      </c>
      <c r="AP78">
        <f>IF($D78="","",IF($AC78="Yes",1,0))</f>
        <v/>
      </c>
      <c r="AQ78">
        <f>IF($AM78=1,IFERROR(VALUE(MID($D78,2,20)),1000000000)+ROW()/100000,"")</f>
        <v/>
      </c>
    </row>
    <row r="79">
      <c r="G79" s="11" t="n"/>
      <c r="Q79" s="7">
        <f>IF($D79="","",P79*Y79/100)</f>
        <v/>
      </c>
      <c r="R79" s="7" t="n"/>
      <c r="X79" s="7" t="n"/>
      <c r="Y79" s="7" t="n"/>
      <c r="Z79" s="7">
        <f>IF($D79="","",Y79*AD79/100)</f>
        <v/>
      </c>
      <c r="AA79" s="7">
        <f>IF($D79="","",Y79-Z79)</f>
        <v/>
      </c>
      <c r="AB79" s="7">
        <f>IF($D79="","",AA79-Q79)</f>
        <v/>
      </c>
      <c r="AD79">
        <f>IF($D79="","",IF($AP79=1,0,IF($AO79=1,Settings!$C$6,Settings!$C$7))*100)</f>
        <v/>
      </c>
      <c r="AH79" s="7" t="n"/>
      <c r="AK79" s="11" t="n"/>
      <c r="AM79">
        <f>IF($D79="","",IF(COUNTIF($D$2:$D79,$D79)=1,1,0))</f>
        <v/>
      </c>
      <c r="AN79">
        <f>IF($AM79=1,SUMPRODUCT(--($AQ$2:$AQ$1001&lt;$AQ79))+1,"")</f>
        <v/>
      </c>
      <c r="AO79">
        <f>IF($D79="","",IF(OR($U79=TRUE(),$U79="TRUE"),1,0))</f>
        <v/>
      </c>
      <c r="AP79">
        <f>IF($D79="","",IF($AC79="Yes",1,0))</f>
        <v/>
      </c>
      <c r="AQ79">
        <f>IF($AM79=1,IFERROR(VALUE(MID($D79,2,20)),1000000000)+ROW()/100000,"")</f>
        <v/>
      </c>
    </row>
    <row r="80">
      <c r="G80" s="11" t="n"/>
      <c r="Q80" s="7">
        <f>IF($D80="","",P80*Y80/100)</f>
        <v/>
      </c>
      <c r="R80" s="7" t="n"/>
      <c r="X80" s="7" t="n"/>
      <c r="Y80" s="7" t="n"/>
      <c r="Z80" s="7">
        <f>IF($D80="","",Y80*AD80/100)</f>
        <v/>
      </c>
      <c r="AA80" s="7">
        <f>IF($D80="","",Y80-Z80)</f>
        <v/>
      </c>
      <c r="AB80" s="7">
        <f>IF($D80="","",AA80-Q80)</f>
        <v/>
      </c>
      <c r="AD80">
        <f>IF($D80="","",IF($AP80=1,0,IF($AO80=1,Settings!$C$6,Settings!$C$7))*100)</f>
        <v/>
      </c>
      <c r="AH80" s="7" t="n"/>
      <c r="AK80" s="11" t="n"/>
      <c r="AM80">
        <f>IF($D80="","",IF(COUNTIF($D$2:$D80,$D80)=1,1,0))</f>
        <v/>
      </c>
      <c r="AN80">
        <f>IF($AM80=1,SUMPRODUCT(--($AQ$2:$AQ$1001&lt;$AQ80))+1,"")</f>
        <v/>
      </c>
      <c r="AO80">
        <f>IF($D80="","",IF(OR($U80=TRUE(),$U80="TRUE"),1,0))</f>
        <v/>
      </c>
      <c r="AP80">
        <f>IF($D80="","",IF($AC80="Yes",1,0))</f>
        <v/>
      </c>
      <c r="AQ80">
        <f>IF($AM80=1,IFERROR(VALUE(MID($D80,2,20)),1000000000)+ROW()/100000,"")</f>
        <v/>
      </c>
    </row>
    <row r="81">
      <c r="G81" s="11" t="n"/>
      <c r="Q81" s="7">
        <f>IF($D81="","",P81*Y81/100)</f>
        <v/>
      </c>
      <c r="R81" s="7" t="n"/>
      <c r="X81" s="7" t="n"/>
      <c r="Y81" s="7" t="n"/>
      <c r="Z81" s="7">
        <f>IF($D81="","",Y81*AD81/100)</f>
        <v/>
      </c>
      <c r="AA81" s="7">
        <f>IF($D81="","",Y81-Z81)</f>
        <v/>
      </c>
      <c r="AB81" s="7">
        <f>IF($D81="","",AA81-Q81)</f>
        <v/>
      </c>
      <c r="AD81">
        <f>IF($D81="","",IF($AP81=1,0,IF($AO81=1,Settings!$C$6,Settings!$C$7))*100)</f>
        <v/>
      </c>
      <c r="AH81" s="7" t="n"/>
      <c r="AK81" s="11" t="n"/>
      <c r="AM81">
        <f>IF($D81="","",IF(COUNTIF($D$2:$D81,$D81)=1,1,0))</f>
        <v/>
      </c>
      <c r="AN81">
        <f>IF($AM81=1,SUMPRODUCT(--($AQ$2:$AQ$1001&lt;$AQ81))+1,"")</f>
        <v/>
      </c>
      <c r="AO81">
        <f>IF($D81="","",IF(OR($U81=TRUE(),$U81="TRUE"),1,0))</f>
        <v/>
      </c>
      <c r="AP81">
        <f>IF($D81="","",IF($AC81="Yes",1,0))</f>
        <v/>
      </c>
      <c r="AQ81">
        <f>IF($AM81=1,IFERROR(VALUE(MID($D81,2,20)),1000000000)+ROW()/100000,"")</f>
        <v/>
      </c>
    </row>
    <row r="82">
      <c r="G82" s="11" t="n"/>
      <c r="Q82" s="7">
        <f>IF($D82="","",P82*Y82/100)</f>
        <v/>
      </c>
      <c r="R82" s="7" t="n"/>
      <c r="X82" s="7" t="n"/>
      <c r="Y82" s="7" t="n"/>
      <c r="Z82" s="7">
        <f>IF($D82="","",Y82*AD82/100)</f>
        <v/>
      </c>
      <c r="AA82" s="7">
        <f>IF($D82="","",Y82-Z82)</f>
        <v/>
      </c>
      <c r="AB82" s="7">
        <f>IF($D82="","",AA82-Q82)</f>
        <v/>
      </c>
      <c r="AD82">
        <f>IF($D82="","",IF($AP82=1,0,IF($AO82=1,Settings!$C$6,Settings!$C$7))*100)</f>
        <v/>
      </c>
      <c r="AH82" s="7" t="n"/>
      <c r="AK82" s="11" t="n"/>
      <c r="AM82">
        <f>IF($D82="","",IF(COUNTIF($D$2:$D82,$D82)=1,1,0))</f>
        <v/>
      </c>
      <c r="AN82">
        <f>IF($AM82=1,SUMPRODUCT(--($AQ$2:$AQ$1001&lt;$AQ82))+1,"")</f>
        <v/>
      </c>
      <c r="AO82">
        <f>IF($D82="","",IF(OR($U82=TRUE(),$U82="TRUE"),1,0))</f>
        <v/>
      </c>
      <c r="AP82">
        <f>IF($D82="","",IF($AC82="Yes",1,0))</f>
        <v/>
      </c>
      <c r="AQ82">
        <f>IF($AM82=1,IFERROR(VALUE(MID($D82,2,20)),1000000000)+ROW()/100000,"")</f>
        <v/>
      </c>
    </row>
    <row r="83">
      <c r="G83" s="11" t="n"/>
      <c r="Q83" s="7">
        <f>IF($D83="","",P83*Y83/100)</f>
        <v/>
      </c>
      <c r="R83" s="7" t="n"/>
      <c r="X83" s="7" t="n"/>
      <c r="Y83" s="7" t="n"/>
      <c r="Z83" s="7">
        <f>IF($D83="","",Y83*AD83/100)</f>
        <v/>
      </c>
      <c r="AA83" s="7">
        <f>IF($D83="","",Y83-Z83)</f>
        <v/>
      </c>
      <c r="AB83" s="7">
        <f>IF($D83="","",AA83-Q83)</f>
        <v/>
      </c>
      <c r="AD83">
        <f>IF($D83="","",IF($AP83=1,0,IF($AO83=1,Settings!$C$6,Settings!$C$7))*100)</f>
        <v/>
      </c>
      <c r="AH83" s="7" t="n"/>
      <c r="AK83" s="11" t="n"/>
      <c r="AM83">
        <f>IF($D83="","",IF(COUNTIF($D$2:$D83,$D83)=1,1,0))</f>
        <v/>
      </c>
      <c r="AN83">
        <f>IF($AM83=1,SUMPRODUCT(--($AQ$2:$AQ$1001&lt;$AQ83))+1,"")</f>
        <v/>
      </c>
      <c r="AO83">
        <f>IF($D83="","",IF(OR($U83=TRUE(),$U83="TRUE"),1,0))</f>
        <v/>
      </c>
      <c r="AP83">
        <f>IF($D83="","",IF($AC83="Yes",1,0))</f>
        <v/>
      </c>
      <c r="AQ83">
        <f>IF($AM83=1,IFERROR(VALUE(MID($D83,2,20)),1000000000)+ROW()/100000,"")</f>
        <v/>
      </c>
    </row>
    <row r="84">
      <c r="G84" s="11" t="n"/>
      <c r="Q84" s="7">
        <f>IF($D84="","",P84*Y84/100)</f>
        <v/>
      </c>
      <c r="R84" s="7" t="n"/>
      <c r="X84" s="7" t="n"/>
      <c r="Y84" s="7" t="n"/>
      <c r="Z84" s="7">
        <f>IF($D84="","",Y84*AD84/100)</f>
        <v/>
      </c>
      <c r="AA84" s="7">
        <f>IF($D84="","",Y84-Z84)</f>
        <v/>
      </c>
      <c r="AB84" s="7">
        <f>IF($D84="","",AA84-Q84)</f>
        <v/>
      </c>
      <c r="AD84">
        <f>IF($D84="","",IF($AP84=1,0,IF($AO84=1,Settings!$C$6,Settings!$C$7))*100)</f>
        <v/>
      </c>
      <c r="AH84" s="7" t="n"/>
      <c r="AK84" s="11" t="n"/>
      <c r="AM84">
        <f>IF($D84="","",IF(COUNTIF($D$2:$D84,$D84)=1,1,0))</f>
        <v/>
      </c>
      <c r="AN84">
        <f>IF($AM84=1,SUMPRODUCT(--($AQ$2:$AQ$1001&lt;$AQ84))+1,"")</f>
        <v/>
      </c>
      <c r="AO84">
        <f>IF($D84="","",IF(OR($U84=TRUE(),$U84="TRUE"),1,0))</f>
        <v/>
      </c>
      <c r="AP84">
        <f>IF($D84="","",IF($AC84="Yes",1,0))</f>
        <v/>
      </c>
      <c r="AQ84">
        <f>IF($AM84=1,IFERROR(VALUE(MID($D84,2,20)),1000000000)+ROW()/100000,"")</f>
        <v/>
      </c>
    </row>
    <row r="85">
      <c r="G85" s="11" t="n"/>
      <c r="Q85" s="7">
        <f>IF($D85="","",P85*Y85/100)</f>
        <v/>
      </c>
      <c r="R85" s="7" t="n"/>
      <c r="X85" s="7" t="n"/>
      <c r="Y85" s="7" t="n"/>
      <c r="Z85" s="7">
        <f>IF($D85="","",Y85*AD85/100)</f>
        <v/>
      </c>
      <c r="AA85" s="7">
        <f>IF($D85="","",Y85-Z85)</f>
        <v/>
      </c>
      <c r="AB85" s="7">
        <f>IF($D85="","",AA85-Q85)</f>
        <v/>
      </c>
      <c r="AD85">
        <f>IF($D85="","",IF($AP85=1,0,IF($AO85=1,Settings!$C$6,Settings!$C$7))*100)</f>
        <v/>
      </c>
      <c r="AH85" s="7" t="n"/>
      <c r="AK85" s="11" t="n"/>
      <c r="AM85">
        <f>IF($D85="","",IF(COUNTIF($D$2:$D85,$D85)=1,1,0))</f>
        <v/>
      </c>
      <c r="AN85">
        <f>IF($AM85=1,SUMPRODUCT(--($AQ$2:$AQ$1001&lt;$AQ85))+1,"")</f>
        <v/>
      </c>
      <c r="AO85">
        <f>IF($D85="","",IF(OR($U85=TRUE(),$U85="TRUE"),1,0))</f>
        <v/>
      </c>
      <c r="AP85">
        <f>IF($D85="","",IF($AC85="Yes",1,0))</f>
        <v/>
      </c>
      <c r="AQ85">
        <f>IF($AM85=1,IFERROR(VALUE(MID($D85,2,20)),1000000000)+ROW()/100000,"")</f>
        <v/>
      </c>
    </row>
    <row r="86">
      <c r="G86" s="11" t="n"/>
      <c r="Q86" s="7">
        <f>IF($D86="","",P86*Y86/100)</f>
        <v/>
      </c>
      <c r="R86" s="7" t="n"/>
      <c r="X86" s="7" t="n"/>
      <c r="Y86" s="7" t="n"/>
      <c r="Z86" s="7">
        <f>IF($D86="","",Y86*AD86/100)</f>
        <v/>
      </c>
      <c r="AA86" s="7">
        <f>IF($D86="","",Y86-Z86)</f>
        <v/>
      </c>
      <c r="AB86" s="7">
        <f>IF($D86="","",AA86-Q86)</f>
        <v/>
      </c>
      <c r="AD86">
        <f>IF($D86="","",IF($AP86=1,0,IF($AO86=1,Settings!$C$6,Settings!$C$7))*100)</f>
        <v/>
      </c>
      <c r="AH86" s="7" t="n"/>
      <c r="AK86" s="11" t="n"/>
      <c r="AM86">
        <f>IF($D86="","",IF(COUNTIF($D$2:$D86,$D86)=1,1,0))</f>
        <v/>
      </c>
      <c r="AN86">
        <f>IF($AM86=1,SUMPRODUCT(--($AQ$2:$AQ$1001&lt;$AQ86))+1,"")</f>
        <v/>
      </c>
      <c r="AO86">
        <f>IF($D86="","",IF(OR($U86=TRUE(),$U86="TRUE"),1,0))</f>
        <v/>
      </c>
      <c r="AP86">
        <f>IF($D86="","",IF($AC86="Yes",1,0))</f>
        <v/>
      </c>
      <c r="AQ86">
        <f>IF($AM86=1,IFERROR(VALUE(MID($D86,2,20)),1000000000)+ROW()/100000,"")</f>
        <v/>
      </c>
    </row>
    <row r="87">
      <c r="G87" s="11" t="n"/>
      <c r="Q87" s="7">
        <f>IF($D87="","",P87*Y87/100)</f>
        <v/>
      </c>
      <c r="R87" s="7" t="n"/>
      <c r="X87" s="7" t="n"/>
      <c r="Y87" s="7" t="n"/>
      <c r="Z87" s="7">
        <f>IF($D87="","",Y87*AD87/100)</f>
        <v/>
      </c>
      <c r="AA87" s="7">
        <f>IF($D87="","",Y87-Z87)</f>
        <v/>
      </c>
      <c r="AB87" s="7">
        <f>IF($D87="","",AA87-Q87)</f>
        <v/>
      </c>
      <c r="AD87">
        <f>IF($D87="","",IF($AP87=1,0,IF($AO87=1,Settings!$C$6,Settings!$C$7))*100)</f>
        <v/>
      </c>
      <c r="AH87" s="7" t="n"/>
      <c r="AK87" s="11" t="n"/>
      <c r="AM87">
        <f>IF($D87="","",IF(COUNTIF($D$2:$D87,$D87)=1,1,0))</f>
        <v/>
      </c>
      <c r="AN87">
        <f>IF($AM87=1,SUMPRODUCT(--($AQ$2:$AQ$1001&lt;$AQ87))+1,"")</f>
        <v/>
      </c>
      <c r="AO87">
        <f>IF($D87="","",IF(OR($U87=TRUE(),$U87="TRUE"),1,0))</f>
        <v/>
      </c>
      <c r="AP87">
        <f>IF($D87="","",IF($AC87="Yes",1,0))</f>
        <v/>
      </c>
      <c r="AQ87">
        <f>IF($AM87=1,IFERROR(VALUE(MID($D87,2,20)),1000000000)+ROW()/100000,"")</f>
        <v/>
      </c>
    </row>
    <row r="88">
      <c r="G88" s="11" t="n"/>
      <c r="Q88" s="7">
        <f>IF($D88="","",P88*Y88/100)</f>
        <v/>
      </c>
      <c r="R88" s="7" t="n"/>
      <c r="X88" s="7" t="n"/>
      <c r="Y88" s="7" t="n"/>
      <c r="Z88" s="7">
        <f>IF($D88="","",Y88*AD88/100)</f>
        <v/>
      </c>
      <c r="AA88" s="7">
        <f>IF($D88="","",Y88-Z88)</f>
        <v/>
      </c>
      <c r="AB88" s="7">
        <f>IF($D88="","",AA88-Q88)</f>
        <v/>
      </c>
      <c r="AD88">
        <f>IF($D88="","",IF($AP88=1,0,IF($AO88=1,Settings!$C$6,Settings!$C$7))*100)</f>
        <v/>
      </c>
      <c r="AH88" s="7" t="n"/>
      <c r="AK88" s="11" t="n"/>
      <c r="AM88">
        <f>IF($D88="","",IF(COUNTIF($D$2:$D88,$D88)=1,1,0))</f>
        <v/>
      </c>
      <c r="AN88">
        <f>IF($AM88=1,SUMPRODUCT(--($AQ$2:$AQ$1001&lt;$AQ88))+1,"")</f>
        <v/>
      </c>
      <c r="AO88">
        <f>IF($D88="","",IF(OR($U88=TRUE(),$U88="TRUE"),1,0))</f>
        <v/>
      </c>
      <c r="AP88">
        <f>IF($D88="","",IF($AC88="Yes",1,0))</f>
        <v/>
      </c>
      <c r="AQ88">
        <f>IF($AM88=1,IFERROR(VALUE(MID($D88,2,20)),1000000000)+ROW()/100000,"")</f>
        <v/>
      </c>
    </row>
    <row r="89">
      <c r="G89" s="11" t="n"/>
      <c r="Q89" s="7">
        <f>IF($D89="","",P89*Y89/100)</f>
        <v/>
      </c>
      <c r="R89" s="7" t="n"/>
      <c r="X89" s="7" t="n"/>
      <c r="Y89" s="7" t="n"/>
      <c r="Z89" s="7">
        <f>IF($D89="","",Y89*AD89/100)</f>
        <v/>
      </c>
      <c r="AA89" s="7">
        <f>IF($D89="","",Y89-Z89)</f>
        <v/>
      </c>
      <c r="AB89" s="7">
        <f>IF($D89="","",AA89-Q89)</f>
        <v/>
      </c>
      <c r="AD89">
        <f>IF($D89="","",IF($AP89=1,0,IF($AO89=1,Settings!$C$6,Settings!$C$7))*100)</f>
        <v/>
      </c>
      <c r="AH89" s="7" t="n"/>
      <c r="AK89" s="11" t="n"/>
      <c r="AM89">
        <f>IF($D89="","",IF(COUNTIF($D$2:$D89,$D89)=1,1,0))</f>
        <v/>
      </c>
      <c r="AN89">
        <f>IF($AM89=1,SUMPRODUCT(--($AQ$2:$AQ$1001&lt;$AQ89))+1,"")</f>
        <v/>
      </c>
      <c r="AO89">
        <f>IF($D89="","",IF(OR($U89=TRUE(),$U89="TRUE"),1,0))</f>
        <v/>
      </c>
      <c r="AP89">
        <f>IF($D89="","",IF($AC89="Yes",1,0))</f>
        <v/>
      </c>
      <c r="AQ89">
        <f>IF($AM89=1,IFERROR(VALUE(MID($D89,2,20)),1000000000)+ROW()/100000,"")</f>
        <v/>
      </c>
    </row>
    <row r="90">
      <c r="G90" s="11" t="n"/>
      <c r="Q90" s="7">
        <f>IF($D90="","",P90*Y90/100)</f>
        <v/>
      </c>
      <c r="R90" s="7" t="n"/>
      <c r="X90" s="7" t="n"/>
      <c r="Y90" s="7" t="n"/>
      <c r="Z90" s="7">
        <f>IF($D90="","",Y90*AD90/100)</f>
        <v/>
      </c>
      <c r="AA90" s="7">
        <f>IF($D90="","",Y90-Z90)</f>
        <v/>
      </c>
      <c r="AB90" s="7">
        <f>IF($D90="","",AA90-Q90)</f>
        <v/>
      </c>
      <c r="AD90">
        <f>IF($D90="","",IF($AP90=1,0,IF($AO90=1,Settings!$C$6,Settings!$C$7))*100)</f>
        <v/>
      </c>
      <c r="AH90" s="7" t="n"/>
      <c r="AK90" s="11" t="n"/>
      <c r="AM90">
        <f>IF($D90="","",IF(COUNTIF($D$2:$D90,$D90)=1,1,0))</f>
        <v/>
      </c>
      <c r="AN90">
        <f>IF($AM90=1,SUMPRODUCT(--($AQ$2:$AQ$1001&lt;$AQ90))+1,"")</f>
        <v/>
      </c>
      <c r="AO90">
        <f>IF($D90="","",IF(OR($U90=TRUE(),$U90="TRUE"),1,0))</f>
        <v/>
      </c>
      <c r="AP90">
        <f>IF($D90="","",IF($AC90="Yes",1,0))</f>
        <v/>
      </c>
      <c r="AQ90">
        <f>IF($AM90=1,IFERROR(VALUE(MID($D90,2,20)),1000000000)+ROW()/100000,"")</f>
        <v/>
      </c>
    </row>
    <row r="91">
      <c r="G91" s="11" t="n"/>
      <c r="Q91" s="7">
        <f>IF($D91="","",P91*Y91/100)</f>
        <v/>
      </c>
      <c r="R91" s="7" t="n"/>
      <c r="X91" s="7" t="n"/>
      <c r="Y91" s="7" t="n"/>
      <c r="Z91" s="7">
        <f>IF($D91="","",Y91*AD91/100)</f>
        <v/>
      </c>
      <c r="AA91" s="7">
        <f>IF($D91="","",Y91-Z91)</f>
        <v/>
      </c>
      <c r="AB91" s="7">
        <f>IF($D91="","",AA91-Q91)</f>
        <v/>
      </c>
      <c r="AD91">
        <f>IF($D91="","",IF($AP91=1,0,IF($AO91=1,Settings!$C$6,Settings!$C$7))*100)</f>
        <v/>
      </c>
      <c r="AH91" s="7" t="n"/>
      <c r="AK91" s="11" t="n"/>
      <c r="AM91">
        <f>IF($D91="","",IF(COUNTIF($D$2:$D91,$D91)=1,1,0))</f>
        <v/>
      </c>
      <c r="AN91">
        <f>IF($AM91=1,SUMPRODUCT(--($AQ$2:$AQ$1001&lt;$AQ91))+1,"")</f>
        <v/>
      </c>
      <c r="AO91">
        <f>IF($D91="","",IF(OR($U91=TRUE(),$U91="TRUE"),1,0))</f>
        <v/>
      </c>
      <c r="AP91">
        <f>IF($D91="","",IF($AC91="Yes",1,0))</f>
        <v/>
      </c>
      <c r="AQ91">
        <f>IF($AM91=1,IFERROR(VALUE(MID($D91,2,20)),1000000000)+ROW()/100000,"")</f>
        <v/>
      </c>
    </row>
    <row r="92">
      <c r="G92" s="11" t="n"/>
      <c r="Q92" s="7">
        <f>IF($D92="","",P92*Y92/100)</f>
        <v/>
      </c>
      <c r="R92" s="7" t="n"/>
      <c r="X92" s="7" t="n"/>
      <c r="Y92" s="7" t="n"/>
      <c r="Z92" s="7">
        <f>IF($D92="","",Y92*AD92/100)</f>
        <v/>
      </c>
      <c r="AA92" s="7">
        <f>IF($D92="","",Y92-Z92)</f>
        <v/>
      </c>
      <c r="AB92" s="7">
        <f>IF($D92="","",AA92-Q92)</f>
        <v/>
      </c>
      <c r="AD92">
        <f>IF($D92="","",IF($AP92=1,0,IF($AO92=1,Settings!$C$6,Settings!$C$7))*100)</f>
        <v/>
      </c>
      <c r="AH92" s="7" t="n"/>
      <c r="AK92" s="11" t="n"/>
      <c r="AM92">
        <f>IF($D92="","",IF(COUNTIF($D$2:$D92,$D92)=1,1,0))</f>
        <v/>
      </c>
      <c r="AN92">
        <f>IF($AM92=1,SUMPRODUCT(--($AQ$2:$AQ$1001&lt;$AQ92))+1,"")</f>
        <v/>
      </c>
      <c r="AO92">
        <f>IF($D92="","",IF(OR($U92=TRUE(),$U92="TRUE"),1,0))</f>
        <v/>
      </c>
      <c r="AP92">
        <f>IF($D92="","",IF($AC92="Yes",1,0))</f>
        <v/>
      </c>
      <c r="AQ92">
        <f>IF($AM92=1,IFERROR(VALUE(MID($D92,2,20)),1000000000)+ROW()/100000,"")</f>
        <v/>
      </c>
    </row>
    <row r="93">
      <c r="G93" s="11" t="n"/>
      <c r="Q93" s="7">
        <f>IF($D93="","",P93*Y93/100)</f>
        <v/>
      </c>
      <c r="R93" s="7" t="n"/>
      <c r="X93" s="7" t="n"/>
      <c r="Y93" s="7" t="n"/>
      <c r="Z93" s="7">
        <f>IF($D93="","",Y93*AD93/100)</f>
        <v/>
      </c>
      <c r="AA93" s="7">
        <f>IF($D93="","",Y93-Z93)</f>
        <v/>
      </c>
      <c r="AB93" s="7">
        <f>IF($D93="","",AA93-Q93)</f>
        <v/>
      </c>
      <c r="AD93">
        <f>IF($D93="","",IF($AP93=1,0,IF($AO93=1,Settings!$C$6,Settings!$C$7))*100)</f>
        <v/>
      </c>
      <c r="AH93" s="7" t="n"/>
      <c r="AK93" s="11" t="n"/>
      <c r="AM93">
        <f>IF($D93="","",IF(COUNTIF($D$2:$D93,$D93)=1,1,0))</f>
        <v/>
      </c>
      <c r="AN93">
        <f>IF($AM93=1,SUMPRODUCT(--($AQ$2:$AQ$1001&lt;$AQ93))+1,"")</f>
        <v/>
      </c>
      <c r="AO93">
        <f>IF($D93="","",IF(OR($U93=TRUE(),$U93="TRUE"),1,0))</f>
        <v/>
      </c>
      <c r="AP93">
        <f>IF($D93="","",IF($AC93="Yes",1,0))</f>
        <v/>
      </c>
      <c r="AQ93">
        <f>IF($AM93=1,IFERROR(VALUE(MID($D93,2,20)),1000000000)+ROW()/100000,"")</f>
        <v/>
      </c>
    </row>
    <row r="94">
      <c r="G94" s="11" t="n"/>
      <c r="Q94" s="7">
        <f>IF($D94="","",P94*Y94/100)</f>
        <v/>
      </c>
      <c r="R94" s="7" t="n"/>
      <c r="X94" s="7" t="n"/>
      <c r="Y94" s="7" t="n"/>
      <c r="Z94" s="7">
        <f>IF($D94="","",Y94*AD94/100)</f>
        <v/>
      </c>
      <c r="AA94" s="7">
        <f>IF($D94="","",Y94-Z94)</f>
        <v/>
      </c>
      <c r="AB94" s="7">
        <f>IF($D94="","",AA94-Q94)</f>
        <v/>
      </c>
      <c r="AD94">
        <f>IF($D94="","",IF($AP94=1,0,IF($AO94=1,Settings!$C$6,Settings!$C$7))*100)</f>
        <v/>
      </c>
      <c r="AH94" s="7" t="n"/>
      <c r="AK94" s="11" t="n"/>
      <c r="AM94">
        <f>IF($D94="","",IF(COUNTIF($D$2:$D94,$D94)=1,1,0))</f>
        <v/>
      </c>
      <c r="AN94">
        <f>IF($AM94=1,SUMPRODUCT(--($AQ$2:$AQ$1001&lt;$AQ94))+1,"")</f>
        <v/>
      </c>
      <c r="AO94">
        <f>IF($D94="","",IF(OR($U94=TRUE(),$U94="TRUE"),1,0))</f>
        <v/>
      </c>
      <c r="AP94">
        <f>IF($D94="","",IF($AC94="Yes",1,0))</f>
        <v/>
      </c>
      <c r="AQ94">
        <f>IF($AM94=1,IFERROR(VALUE(MID($D94,2,20)),1000000000)+ROW()/100000,"")</f>
        <v/>
      </c>
    </row>
    <row r="95">
      <c r="G95" s="11" t="n"/>
      <c r="Q95" s="7">
        <f>IF($D95="","",P95*Y95/100)</f>
        <v/>
      </c>
      <c r="R95" s="7" t="n"/>
      <c r="X95" s="7" t="n"/>
      <c r="Y95" s="7" t="n"/>
      <c r="Z95" s="7">
        <f>IF($D95="","",Y95*AD95/100)</f>
        <v/>
      </c>
      <c r="AA95" s="7">
        <f>IF($D95="","",Y95-Z95)</f>
        <v/>
      </c>
      <c r="AB95" s="7">
        <f>IF($D95="","",AA95-Q95)</f>
        <v/>
      </c>
      <c r="AD95">
        <f>IF($D95="","",IF($AP95=1,0,IF($AO95=1,Settings!$C$6,Settings!$C$7))*100)</f>
        <v/>
      </c>
      <c r="AH95" s="7" t="n"/>
      <c r="AK95" s="11" t="n"/>
      <c r="AM95">
        <f>IF($D95="","",IF(COUNTIF($D$2:$D95,$D95)=1,1,0))</f>
        <v/>
      </c>
      <c r="AN95">
        <f>IF($AM95=1,SUMPRODUCT(--($AQ$2:$AQ$1001&lt;$AQ95))+1,"")</f>
        <v/>
      </c>
      <c r="AO95">
        <f>IF($D95="","",IF(OR($U95=TRUE(),$U95="TRUE"),1,0))</f>
        <v/>
      </c>
      <c r="AP95">
        <f>IF($D95="","",IF($AC95="Yes",1,0))</f>
        <v/>
      </c>
      <c r="AQ95">
        <f>IF($AM95=1,IFERROR(VALUE(MID($D95,2,20)),1000000000)+ROW()/100000,"")</f>
        <v/>
      </c>
    </row>
    <row r="96">
      <c r="G96" s="11" t="n"/>
      <c r="Q96" s="7">
        <f>IF($D96="","",P96*Y96/100)</f>
        <v/>
      </c>
      <c r="R96" s="7" t="n"/>
      <c r="X96" s="7" t="n"/>
      <c r="Y96" s="7" t="n"/>
      <c r="Z96" s="7">
        <f>IF($D96="","",Y96*AD96/100)</f>
        <v/>
      </c>
      <c r="AA96" s="7">
        <f>IF($D96="","",Y96-Z96)</f>
        <v/>
      </c>
      <c r="AB96" s="7">
        <f>IF($D96="","",AA96-Q96)</f>
        <v/>
      </c>
      <c r="AD96">
        <f>IF($D96="","",IF($AP96=1,0,IF($AO96=1,Settings!$C$6,Settings!$C$7))*100)</f>
        <v/>
      </c>
      <c r="AH96" s="7" t="n"/>
      <c r="AK96" s="11" t="n"/>
      <c r="AM96">
        <f>IF($D96="","",IF(COUNTIF($D$2:$D96,$D96)=1,1,0))</f>
        <v/>
      </c>
      <c r="AN96">
        <f>IF($AM96=1,SUMPRODUCT(--($AQ$2:$AQ$1001&lt;$AQ96))+1,"")</f>
        <v/>
      </c>
      <c r="AO96">
        <f>IF($D96="","",IF(OR($U96=TRUE(),$U96="TRUE"),1,0))</f>
        <v/>
      </c>
      <c r="AP96">
        <f>IF($D96="","",IF($AC96="Yes",1,0))</f>
        <v/>
      </c>
      <c r="AQ96">
        <f>IF($AM96=1,IFERROR(VALUE(MID($D96,2,20)),1000000000)+ROW()/100000,"")</f>
        <v/>
      </c>
    </row>
    <row r="97">
      <c r="G97" s="11" t="n"/>
      <c r="Q97" s="7">
        <f>IF($D97="","",P97*Y97/100)</f>
        <v/>
      </c>
      <c r="R97" s="7" t="n"/>
      <c r="X97" s="7" t="n"/>
      <c r="Y97" s="7" t="n"/>
      <c r="Z97" s="7">
        <f>IF($D97="","",Y97*AD97/100)</f>
        <v/>
      </c>
      <c r="AA97" s="7">
        <f>IF($D97="","",Y97-Z97)</f>
        <v/>
      </c>
      <c r="AB97" s="7">
        <f>IF($D97="","",AA97-Q97)</f>
        <v/>
      </c>
      <c r="AD97">
        <f>IF($D97="","",IF($AP97=1,0,IF($AO97=1,Settings!$C$6,Settings!$C$7))*100)</f>
        <v/>
      </c>
      <c r="AH97" s="7" t="n"/>
      <c r="AK97" s="11" t="n"/>
      <c r="AM97">
        <f>IF($D97="","",IF(COUNTIF($D$2:$D97,$D97)=1,1,0))</f>
        <v/>
      </c>
      <c r="AN97">
        <f>IF($AM97=1,SUMPRODUCT(--($AQ$2:$AQ$1001&lt;$AQ97))+1,"")</f>
        <v/>
      </c>
      <c r="AO97">
        <f>IF($D97="","",IF(OR($U97=TRUE(),$U97="TRUE"),1,0))</f>
        <v/>
      </c>
      <c r="AP97">
        <f>IF($D97="","",IF($AC97="Yes",1,0))</f>
        <v/>
      </c>
      <c r="AQ97">
        <f>IF($AM97=1,IFERROR(VALUE(MID($D97,2,20)),1000000000)+ROW()/100000,"")</f>
        <v/>
      </c>
    </row>
    <row r="98">
      <c r="G98" s="11" t="n"/>
      <c r="Q98" s="7">
        <f>IF($D98="","",P98*Y98/100)</f>
        <v/>
      </c>
      <c r="R98" s="7" t="n"/>
      <c r="X98" s="7" t="n"/>
      <c r="Y98" s="7" t="n"/>
      <c r="Z98" s="7">
        <f>IF($D98="","",Y98*AD98/100)</f>
        <v/>
      </c>
      <c r="AA98" s="7">
        <f>IF($D98="","",Y98-Z98)</f>
        <v/>
      </c>
      <c r="AB98" s="7">
        <f>IF($D98="","",AA98-Q98)</f>
        <v/>
      </c>
      <c r="AD98">
        <f>IF($D98="","",IF($AP98=1,0,IF($AO98=1,Settings!$C$6,Settings!$C$7))*100)</f>
        <v/>
      </c>
      <c r="AH98" s="7" t="n"/>
      <c r="AK98" s="11" t="n"/>
      <c r="AM98">
        <f>IF($D98="","",IF(COUNTIF($D$2:$D98,$D98)=1,1,0))</f>
        <v/>
      </c>
      <c r="AN98">
        <f>IF($AM98=1,SUMPRODUCT(--($AQ$2:$AQ$1001&lt;$AQ98))+1,"")</f>
        <v/>
      </c>
      <c r="AO98">
        <f>IF($D98="","",IF(OR($U98=TRUE(),$U98="TRUE"),1,0))</f>
        <v/>
      </c>
      <c r="AP98">
        <f>IF($D98="","",IF($AC98="Yes",1,0))</f>
        <v/>
      </c>
      <c r="AQ98">
        <f>IF($AM98=1,IFERROR(VALUE(MID($D98,2,20)),1000000000)+ROW()/100000,"")</f>
        <v/>
      </c>
    </row>
    <row r="99">
      <c r="G99" s="11" t="n"/>
      <c r="Q99" s="7">
        <f>IF($D99="","",P99*Y99/100)</f>
        <v/>
      </c>
      <c r="R99" s="7" t="n"/>
      <c r="X99" s="7" t="n"/>
      <c r="Y99" s="7" t="n"/>
      <c r="Z99" s="7">
        <f>IF($D99="","",Y99*AD99/100)</f>
        <v/>
      </c>
      <c r="AA99" s="7">
        <f>IF($D99="","",Y99-Z99)</f>
        <v/>
      </c>
      <c r="AB99" s="7">
        <f>IF($D99="","",AA99-Q99)</f>
        <v/>
      </c>
      <c r="AD99">
        <f>IF($D99="","",IF($AP99=1,0,IF($AO99=1,Settings!$C$6,Settings!$C$7))*100)</f>
        <v/>
      </c>
      <c r="AH99" s="7" t="n"/>
      <c r="AK99" s="11" t="n"/>
      <c r="AM99">
        <f>IF($D99="","",IF(COUNTIF($D$2:$D99,$D99)=1,1,0))</f>
        <v/>
      </c>
      <c r="AN99">
        <f>IF($AM99=1,SUMPRODUCT(--($AQ$2:$AQ$1001&lt;$AQ99))+1,"")</f>
        <v/>
      </c>
      <c r="AO99">
        <f>IF($D99="","",IF(OR($U99=TRUE(),$U99="TRUE"),1,0))</f>
        <v/>
      </c>
      <c r="AP99">
        <f>IF($D99="","",IF($AC99="Yes",1,0))</f>
        <v/>
      </c>
      <c r="AQ99">
        <f>IF($AM99=1,IFERROR(VALUE(MID($D99,2,20)),1000000000)+ROW()/100000,"")</f>
        <v/>
      </c>
    </row>
    <row r="100">
      <c r="G100" s="11" t="n"/>
      <c r="Q100" s="7">
        <f>IF($D100="","",P100*Y100/100)</f>
        <v/>
      </c>
      <c r="R100" s="7" t="n"/>
      <c r="X100" s="7" t="n"/>
      <c r="Y100" s="7" t="n"/>
      <c r="Z100" s="7">
        <f>IF($D100="","",Y100*AD100/100)</f>
        <v/>
      </c>
      <c r="AA100" s="7">
        <f>IF($D100="","",Y100-Z100)</f>
        <v/>
      </c>
      <c r="AB100" s="7">
        <f>IF($D100="","",AA100-Q100)</f>
        <v/>
      </c>
      <c r="AD100">
        <f>IF($D100="","",IF($AP100=1,0,IF($AO100=1,Settings!$C$6,Settings!$C$7))*100)</f>
        <v/>
      </c>
      <c r="AH100" s="7" t="n"/>
      <c r="AK100" s="11" t="n"/>
      <c r="AM100">
        <f>IF($D100="","",IF(COUNTIF($D$2:$D100,$D100)=1,1,0))</f>
        <v/>
      </c>
      <c r="AN100">
        <f>IF($AM100=1,SUMPRODUCT(--($AQ$2:$AQ$1001&lt;$AQ100))+1,"")</f>
        <v/>
      </c>
      <c r="AO100">
        <f>IF($D100="","",IF(OR($U100=TRUE(),$U100="TRUE"),1,0))</f>
        <v/>
      </c>
      <c r="AP100">
        <f>IF($D100="","",IF($AC100="Yes",1,0))</f>
        <v/>
      </c>
      <c r="AQ100">
        <f>IF($AM100=1,IFERROR(VALUE(MID($D100,2,20)),1000000000)+ROW()/100000,"")</f>
        <v/>
      </c>
    </row>
    <row r="101">
      <c r="G101" s="11" t="n"/>
      <c r="Q101" s="7">
        <f>IF($D101="","",P101*Y101/100)</f>
        <v/>
      </c>
      <c r="R101" s="7" t="n"/>
      <c r="X101" s="7" t="n"/>
      <c r="Y101" s="7" t="n"/>
      <c r="Z101" s="7">
        <f>IF($D101="","",Y101*AD101/100)</f>
        <v/>
      </c>
      <c r="AA101" s="7">
        <f>IF($D101="","",Y101-Z101)</f>
        <v/>
      </c>
      <c r="AB101" s="7">
        <f>IF($D101="","",AA101-Q101)</f>
        <v/>
      </c>
      <c r="AD101">
        <f>IF($D101="","",IF($AP101=1,0,IF($AO101=1,Settings!$C$6,Settings!$C$7))*100)</f>
        <v/>
      </c>
      <c r="AH101" s="7" t="n"/>
      <c r="AK101" s="11" t="n"/>
      <c r="AM101">
        <f>IF($D101="","",IF(COUNTIF($D$2:$D101,$D101)=1,1,0))</f>
        <v/>
      </c>
      <c r="AN101">
        <f>IF($AM101=1,SUMPRODUCT(--($AQ$2:$AQ$1001&lt;$AQ101))+1,"")</f>
        <v/>
      </c>
      <c r="AO101">
        <f>IF($D101="","",IF(OR($U101=TRUE(),$U101="TRUE"),1,0))</f>
        <v/>
      </c>
      <c r="AP101">
        <f>IF($D101="","",IF($AC101="Yes",1,0))</f>
        <v/>
      </c>
      <c r="AQ101">
        <f>IF($AM101=1,IFERROR(VALUE(MID($D101,2,20)),1000000000)+ROW()/100000,"")</f>
        <v/>
      </c>
    </row>
    <row r="102">
      <c r="G102" s="11" t="n"/>
      <c r="Q102" s="7">
        <f>IF($D102="","",P102*Y102/100)</f>
        <v/>
      </c>
      <c r="R102" s="7" t="n"/>
      <c r="X102" s="7" t="n"/>
      <c r="Y102" s="7" t="n"/>
      <c r="Z102" s="7">
        <f>IF($D102="","",Y102*AD102/100)</f>
        <v/>
      </c>
      <c r="AA102" s="7">
        <f>IF($D102="","",Y102-Z102)</f>
        <v/>
      </c>
      <c r="AB102" s="7">
        <f>IF($D102="","",AA102-Q102)</f>
        <v/>
      </c>
      <c r="AD102">
        <f>IF($D102="","",IF($AP102=1,0,IF($AO102=1,Settings!$C$6,Settings!$C$7))*100)</f>
        <v/>
      </c>
      <c r="AH102" s="7" t="n"/>
      <c r="AK102" s="11" t="n"/>
      <c r="AM102">
        <f>IF($D102="","",IF(COUNTIF($D$2:$D102,$D102)=1,1,0))</f>
        <v/>
      </c>
      <c r="AN102">
        <f>IF($AM102=1,SUMPRODUCT(--($AQ$2:$AQ$1001&lt;$AQ102))+1,"")</f>
        <v/>
      </c>
      <c r="AO102">
        <f>IF($D102="","",IF(OR($U102=TRUE(),$U102="TRUE"),1,0))</f>
        <v/>
      </c>
      <c r="AP102">
        <f>IF($D102="","",IF($AC102="Yes",1,0))</f>
        <v/>
      </c>
      <c r="AQ102">
        <f>IF($AM102=1,IFERROR(VALUE(MID($D102,2,20)),1000000000)+ROW()/100000,"")</f>
        <v/>
      </c>
    </row>
    <row r="103">
      <c r="G103" s="11" t="n"/>
      <c r="Q103" s="7">
        <f>IF($D103="","",P103*Y103/100)</f>
        <v/>
      </c>
      <c r="R103" s="7" t="n"/>
      <c r="X103" s="7" t="n"/>
      <c r="Y103" s="7" t="n"/>
      <c r="Z103" s="7">
        <f>IF($D103="","",Y103*AD103/100)</f>
        <v/>
      </c>
      <c r="AA103" s="7">
        <f>IF($D103="","",Y103-Z103)</f>
        <v/>
      </c>
      <c r="AB103" s="7">
        <f>IF($D103="","",AA103-Q103)</f>
        <v/>
      </c>
      <c r="AD103">
        <f>IF($D103="","",IF($AP103=1,0,IF($AO103=1,Settings!$C$6,Settings!$C$7))*100)</f>
        <v/>
      </c>
      <c r="AH103" s="7" t="n"/>
      <c r="AK103" s="11" t="n"/>
      <c r="AM103">
        <f>IF($D103="","",IF(COUNTIF($D$2:$D103,$D103)=1,1,0))</f>
        <v/>
      </c>
      <c r="AN103">
        <f>IF($AM103=1,SUMPRODUCT(--($AQ$2:$AQ$1001&lt;$AQ103))+1,"")</f>
        <v/>
      </c>
      <c r="AO103">
        <f>IF($D103="","",IF(OR($U103=TRUE(),$U103="TRUE"),1,0))</f>
        <v/>
      </c>
      <c r="AP103">
        <f>IF($D103="","",IF($AC103="Yes",1,0))</f>
        <v/>
      </c>
      <c r="AQ103">
        <f>IF($AM103=1,IFERROR(VALUE(MID($D103,2,20)),1000000000)+ROW()/100000,"")</f>
        <v/>
      </c>
    </row>
    <row r="104">
      <c r="G104" s="11" t="n"/>
      <c r="Q104" s="7">
        <f>IF($D104="","",P104*Y104/100)</f>
        <v/>
      </c>
      <c r="R104" s="7" t="n"/>
      <c r="X104" s="7" t="n"/>
      <c r="Y104" s="7" t="n"/>
      <c r="Z104" s="7">
        <f>IF($D104="","",Y104*AD104/100)</f>
        <v/>
      </c>
      <c r="AA104" s="7">
        <f>IF($D104="","",Y104-Z104)</f>
        <v/>
      </c>
      <c r="AB104" s="7">
        <f>IF($D104="","",AA104-Q104)</f>
        <v/>
      </c>
      <c r="AD104">
        <f>IF($D104="","",IF($AP104=1,0,IF($AO104=1,Settings!$C$6,Settings!$C$7))*100)</f>
        <v/>
      </c>
      <c r="AH104" s="7" t="n"/>
      <c r="AK104" s="11" t="n"/>
      <c r="AM104">
        <f>IF($D104="","",IF(COUNTIF($D$2:$D104,$D104)=1,1,0))</f>
        <v/>
      </c>
      <c r="AN104">
        <f>IF($AM104=1,SUMPRODUCT(--($AQ$2:$AQ$1001&lt;$AQ104))+1,"")</f>
        <v/>
      </c>
      <c r="AO104">
        <f>IF($D104="","",IF(OR($U104=TRUE(),$U104="TRUE"),1,0))</f>
        <v/>
      </c>
      <c r="AP104">
        <f>IF($D104="","",IF($AC104="Yes",1,0))</f>
        <v/>
      </c>
      <c r="AQ104">
        <f>IF($AM104=1,IFERROR(VALUE(MID($D104,2,20)),1000000000)+ROW()/100000,"")</f>
        <v/>
      </c>
    </row>
    <row r="105">
      <c r="G105" s="11" t="n"/>
      <c r="Q105" s="7">
        <f>IF($D105="","",P105*Y105/100)</f>
        <v/>
      </c>
      <c r="R105" s="7" t="n"/>
      <c r="X105" s="7" t="n"/>
      <c r="Y105" s="7" t="n"/>
      <c r="Z105" s="7">
        <f>IF($D105="","",Y105*AD105/100)</f>
        <v/>
      </c>
      <c r="AA105" s="7">
        <f>IF($D105="","",Y105-Z105)</f>
        <v/>
      </c>
      <c r="AB105" s="7">
        <f>IF($D105="","",AA105-Q105)</f>
        <v/>
      </c>
      <c r="AD105">
        <f>IF($D105="","",IF($AP105=1,0,IF($AO105=1,Settings!$C$6,Settings!$C$7))*100)</f>
        <v/>
      </c>
      <c r="AH105" s="7" t="n"/>
      <c r="AK105" s="11" t="n"/>
      <c r="AM105">
        <f>IF($D105="","",IF(COUNTIF($D$2:$D105,$D105)=1,1,0))</f>
        <v/>
      </c>
      <c r="AN105">
        <f>IF($AM105=1,SUMPRODUCT(--($AQ$2:$AQ$1001&lt;$AQ105))+1,"")</f>
        <v/>
      </c>
      <c r="AO105">
        <f>IF($D105="","",IF(OR($U105=TRUE(),$U105="TRUE"),1,0))</f>
        <v/>
      </c>
      <c r="AP105">
        <f>IF($D105="","",IF($AC105="Yes",1,0))</f>
        <v/>
      </c>
      <c r="AQ105">
        <f>IF($AM105=1,IFERROR(VALUE(MID($D105,2,20)),1000000000)+ROW()/100000,"")</f>
        <v/>
      </c>
    </row>
    <row r="106">
      <c r="G106" s="11" t="n"/>
      <c r="Q106" s="7">
        <f>IF($D106="","",P106*Y106/100)</f>
        <v/>
      </c>
      <c r="R106" s="7" t="n"/>
      <c r="X106" s="7" t="n"/>
      <c r="Y106" s="7" t="n"/>
      <c r="Z106" s="7">
        <f>IF($D106="","",Y106*AD106/100)</f>
        <v/>
      </c>
      <c r="AA106" s="7">
        <f>IF($D106="","",Y106-Z106)</f>
        <v/>
      </c>
      <c r="AB106" s="7">
        <f>IF($D106="","",AA106-Q106)</f>
        <v/>
      </c>
      <c r="AD106">
        <f>IF($D106="","",IF($AP106=1,0,IF($AO106=1,Settings!$C$6,Settings!$C$7))*100)</f>
        <v/>
      </c>
      <c r="AH106" s="7" t="n"/>
      <c r="AK106" s="11" t="n"/>
      <c r="AM106">
        <f>IF($D106="","",IF(COUNTIF($D$2:$D106,$D106)=1,1,0))</f>
        <v/>
      </c>
      <c r="AN106">
        <f>IF($AM106=1,SUMPRODUCT(--($AQ$2:$AQ$1001&lt;$AQ106))+1,"")</f>
        <v/>
      </c>
      <c r="AO106">
        <f>IF($D106="","",IF(OR($U106=TRUE(),$U106="TRUE"),1,0))</f>
        <v/>
      </c>
      <c r="AP106">
        <f>IF($D106="","",IF($AC106="Yes",1,0))</f>
        <v/>
      </c>
      <c r="AQ106">
        <f>IF($AM106=1,IFERROR(VALUE(MID($D106,2,20)),1000000000)+ROW()/100000,"")</f>
        <v/>
      </c>
    </row>
    <row r="107">
      <c r="G107" s="11" t="n"/>
      <c r="Q107" s="7">
        <f>IF($D107="","",P107*Y107/100)</f>
        <v/>
      </c>
      <c r="R107" s="7" t="n"/>
      <c r="X107" s="7" t="n"/>
      <c r="Y107" s="7" t="n"/>
      <c r="Z107" s="7">
        <f>IF($D107="","",Y107*AD107/100)</f>
        <v/>
      </c>
      <c r="AA107" s="7">
        <f>IF($D107="","",Y107-Z107)</f>
        <v/>
      </c>
      <c r="AB107" s="7">
        <f>IF($D107="","",AA107-Q107)</f>
        <v/>
      </c>
      <c r="AD107">
        <f>IF($D107="","",IF($AP107=1,0,IF($AO107=1,Settings!$C$6,Settings!$C$7))*100)</f>
        <v/>
      </c>
      <c r="AH107" s="7" t="n"/>
      <c r="AK107" s="11" t="n"/>
      <c r="AM107">
        <f>IF($D107="","",IF(COUNTIF($D$2:$D107,$D107)=1,1,0))</f>
        <v/>
      </c>
      <c r="AN107">
        <f>IF($AM107=1,SUMPRODUCT(--($AQ$2:$AQ$1001&lt;$AQ107))+1,"")</f>
        <v/>
      </c>
      <c r="AO107">
        <f>IF($D107="","",IF(OR($U107=TRUE(),$U107="TRUE"),1,0))</f>
        <v/>
      </c>
      <c r="AP107">
        <f>IF($D107="","",IF($AC107="Yes",1,0))</f>
        <v/>
      </c>
      <c r="AQ107">
        <f>IF($AM107=1,IFERROR(VALUE(MID($D107,2,20)),1000000000)+ROW()/100000,"")</f>
        <v/>
      </c>
    </row>
    <row r="108">
      <c r="G108" s="11" t="n"/>
      <c r="Q108" s="7">
        <f>IF($D108="","",P108*Y108/100)</f>
        <v/>
      </c>
      <c r="R108" s="7" t="n"/>
      <c r="X108" s="7" t="n"/>
      <c r="Y108" s="7" t="n"/>
      <c r="Z108" s="7">
        <f>IF($D108="","",Y108*AD108/100)</f>
        <v/>
      </c>
      <c r="AA108" s="7">
        <f>IF($D108="","",Y108-Z108)</f>
        <v/>
      </c>
      <c r="AB108" s="7">
        <f>IF($D108="","",AA108-Q108)</f>
        <v/>
      </c>
      <c r="AD108">
        <f>IF($D108="","",IF($AP108=1,0,IF($AO108=1,Settings!$C$6,Settings!$C$7))*100)</f>
        <v/>
      </c>
      <c r="AH108" s="7" t="n"/>
      <c r="AK108" s="11" t="n"/>
      <c r="AM108">
        <f>IF($D108="","",IF(COUNTIF($D$2:$D108,$D108)=1,1,0))</f>
        <v/>
      </c>
      <c r="AN108">
        <f>IF($AM108=1,SUMPRODUCT(--($AQ$2:$AQ$1001&lt;$AQ108))+1,"")</f>
        <v/>
      </c>
      <c r="AO108">
        <f>IF($D108="","",IF(OR($U108=TRUE(),$U108="TRUE"),1,0))</f>
        <v/>
      </c>
      <c r="AP108">
        <f>IF($D108="","",IF($AC108="Yes",1,0))</f>
        <v/>
      </c>
      <c r="AQ108">
        <f>IF($AM108=1,IFERROR(VALUE(MID($D108,2,20)),1000000000)+ROW()/100000,"")</f>
        <v/>
      </c>
    </row>
    <row r="109">
      <c r="G109" s="11" t="n"/>
      <c r="Q109" s="7">
        <f>IF($D109="","",P109*Y109/100)</f>
        <v/>
      </c>
      <c r="R109" s="7" t="n"/>
      <c r="X109" s="7" t="n"/>
      <c r="Y109" s="7" t="n"/>
      <c r="Z109" s="7">
        <f>IF($D109="","",Y109*AD109/100)</f>
        <v/>
      </c>
      <c r="AA109" s="7">
        <f>IF($D109="","",Y109-Z109)</f>
        <v/>
      </c>
      <c r="AB109" s="7">
        <f>IF($D109="","",AA109-Q109)</f>
        <v/>
      </c>
      <c r="AD109">
        <f>IF($D109="","",IF($AP109=1,0,IF($AO109=1,Settings!$C$6,Settings!$C$7))*100)</f>
        <v/>
      </c>
      <c r="AH109" s="7" t="n"/>
      <c r="AK109" s="11" t="n"/>
      <c r="AM109">
        <f>IF($D109="","",IF(COUNTIF($D$2:$D109,$D109)=1,1,0))</f>
        <v/>
      </c>
      <c r="AN109">
        <f>IF($AM109=1,SUMPRODUCT(--($AQ$2:$AQ$1001&lt;$AQ109))+1,"")</f>
        <v/>
      </c>
      <c r="AO109">
        <f>IF($D109="","",IF(OR($U109=TRUE(),$U109="TRUE"),1,0))</f>
        <v/>
      </c>
      <c r="AP109">
        <f>IF($D109="","",IF($AC109="Yes",1,0))</f>
        <v/>
      </c>
      <c r="AQ109">
        <f>IF($AM109=1,IFERROR(VALUE(MID($D109,2,20)),1000000000)+ROW()/100000,"")</f>
        <v/>
      </c>
    </row>
    <row r="110">
      <c r="G110" s="11" t="n"/>
      <c r="Q110" s="7">
        <f>IF($D110="","",P110*Y110/100)</f>
        <v/>
      </c>
      <c r="R110" s="7" t="n"/>
      <c r="X110" s="7" t="n"/>
      <c r="Y110" s="7" t="n"/>
      <c r="Z110" s="7">
        <f>IF($D110="","",Y110*AD110/100)</f>
        <v/>
      </c>
      <c r="AA110" s="7">
        <f>IF($D110="","",Y110-Z110)</f>
        <v/>
      </c>
      <c r="AB110" s="7">
        <f>IF($D110="","",AA110-Q110)</f>
        <v/>
      </c>
      <c r="AD110">
        <f>IF($D110="","",IF($AP110=1,0,IF($AO110=1,Settings!$C$6,Settings!$C$7))*100)</f>
        <v/>
      </c>
      <c r="AH110" s="7" t="n"/>
      <c r="AK110" s="11" t="n"/>
      <c r="AM110">
        <f>IF($D110="","",IF(COUNTIF($D$2:$D110,$D110)=1,1,0))</f>
        <v/>
      </c>
      <c r="AN110">
        <f>IF($AM110=1,SUMPRODUCT(--($AQ$2:$AQ$1001&lt;$AQ110))+1,"")</f>
        <v/>
      </c>
      <c r="AO110">
        <f>IF($D110="","",IF(OR($U110=TRUE(),$U110="TRUE"),1,0))</f>
        <v/>
      </c>
      <c r="AP110">
        <f>IF($D110="","",IF($AC110="Yes",1,0))</f>
        <v/>
      </c>
      <c r="AQ110">
        <f>IF($AM110=1,IFERROR(VALUE(MID($D110,2,20)),1000000000)+ROW()/100000,"")</f>
        <v/>
      </c>
    </row>
    <row r="111">
      <c r="G111" s="11" t="n"/>
      <c r="Q111" s="7">
        <f>IF($D111="","",P111*Y111/100)</f>
        <v/>
      </c>
      <c r="R111" s="7" t="n"/>
      <c r="X111" s="7" t="n"/>
      <c r="Y111" s="7" t="n"/>
      <c r="Z111" s="7">
        <f>IF($D111="","",Y111*AD111/100)</f>
        <v/>
      </c>
      <c r="AA111" s="7">
        <f>IF($D111="","",Y111-Z111)</f>
        <v/>
      </c>
      <c r="AB111" s="7">
        <f>IF($D111="","",AA111-Q111)</f>
        <v/>
      </c>
      <c r="AD111">
        <f>IF($D111="","",IF($AP111=1,0,IF($AO111=1,Settings!$C$6,Settings!$C$7))*100)</f>
        <v/>
      </c>
      <c r="AH111" s="7" t="n"/>
      <c r="AK111" s="11" t="n"/>
      <c r="AM111">
        <f>IF($D111="","",IF(COUNTIF($D$2:$D111,$D111)=1,1,0))</f>
        <v/>
      </c>
      <c r="AN111">
        <f>IF($AM111=1,SUMPRODUCT(--($AQ$2:$AQ$1001&lt;$AQ111))+1,"")</f>
        <v/>
      </c>
      <c r="AO111">
        <f>IF($D111="","",IF(OR($U111=TRUE(),$U111="TRUE"),1,0))</f>
        <v/>
      </c>
      <c r="AP111">
        <f>IF($D111="","",IF($AC111="Yes",1,0))</f>
        <v/>
      </c>
      <c r="AQ111">
        <f>IF($AM111=1,IFERROR(VALUE(MID($D111,2,20)),1000000000)+ROW()/100000,"")</f>
        <v/>
      </c>
    </row>
    <row r="112">
      <c r="G112" s="11" t="n"/>
      <c r="Q112" s="7">
        <f>IF($D112="","",P112*Y112/100)</f>
        <v/>
      </c>
      <c r="R112" s="7" t="n"/>
      <c r="X112" s="7" t="n"/>
      <c r="Y112" s="7" t="n"/>
      <c r="Z112" s="7">
        <f>IF($D112="","",Y112*AD112/100)</f>
        <v/>
      </c>
      <c r="AA112" s="7">
        <f>IF($D112="","",Y112-Z112)</f>
        <v/>
      </c>
      <c r="AB112" s="7">
        <f>IF($D112="","",AA112-Q112)</f>
        <v/>
      </c>
      <c r="AD112">
        <f>IF($D112="","",IF($AP112=1,0,IF($AO112=1,Settings!$C$6,Settings!$C$7))*100)</f>
        <v/>
      </c>
      <c r="AH112" s="7" t="n"/>
      <c r="AK112" s="11" t="n"/>
      <c r="AM112">
        <f>IF($D112="","",IF(COUNTIF($D$2:$D112,$D112)=1,1,0))</f>
        <v/>
      </c>
      <c r="AN112">
        <f>IF($AM112=1,SUMPRODUCT(--($AQ$2:$AQ$1001&lt;$AQ112))+1,"")</f>
        <v/>
      </c>
      <c r="AO112">
        <f>IF($D112="","",IF(OR($U112=TRUE(),$U112="TRUE"),1,0))</f>
        <v/>
      </c>
      <c r="AP112">
        <f>IF($D112="","",IF($AC112="Yes",1,0))</f>
        <v/>
      </c>
      <c r="AQ112">
        <f>IF($AM112=1,IFERROR(VALUE(MID($D112,2,20)),1000000000)+ROW()/100000,"")</f>
        <v/>
      </c>
    </row>
    <row r="113">
      <c r="G113" s="11" t="n"/>
      <c r="Q113" s="7">
        <f>IF($D113="","",P113*Y113/100)</f>
        <v/>
      </c>
      <c r="R113" s="7" t="n"/>
      <c r="X113" s="7" t="n"/>
      <c r="Y113" s="7" t="n"/>
      <c r="Z113" s="7">
        <f>IF($D113="","",Y113*AD113/100)</f>
        <v/>
      </c>
      <c r="AA113" s="7">
        <f>IF($D113="","",Y113-Z113)</f>
        <v/>
      </c>
      <c r="AB113" s="7">
        <f>IF($D113="","",AA113-Q113)</f>
        <v/>
      </c>
      <c r="AD113">
        <f>IF($D113="","",IF($AP113=1,0,IF($AO113=1,Settings!$C$6,Settings!$C$7))*100)</f>
        <v/>
      </c>
      <c r="AH113" s="7" t="n"/>
      <c r="AK113" s="11" t="n"/>
      <c r="AM113">
        <f>IF($D113="","",IF(COUNTIF($D$2:$D113,$D113)=1,1,0))</f>
        <v/>
      </c>
      <c r="AN113">
        <f>IF($AM113=1,SUMPRODUCT(--($AQ$2:$AQ$1001&lt;$AQ113))+1,"")</f>
        <v/>
      </c>
      <c r="AO113">
        <f>IF($D113="","",IF(OR($U113=TRUE(),$U113="TRUE"),1,0))</f>
        <v/>
      </c>
      <c r="AP113">
        <f>IF($D113="","",IF($AC113="Yes",1,0))</f>
        <v/>
      </c>
      <c r="AQ113">
        <f>IF($AM113=1,IFERROR(VALUE(MID($D113,2,20)),1000000000)+ROW()/100000,"")</f>
        <v/>
      </c>
    </row>
    <row r="114">
      <c r="G114" s="11" t="n"/>
      <c r="Q114" s="7">
        <f>IF($D114="","",P114*Y114/100)</f>
        <v/>
      </c>
      <c r="R114" s="7" t="n"/>
      <c r="X114" s="7" t="n"/>
      <c r="Y114" s="7" t="n"/>
      <c r="Z114" s="7">
        <f>IF($D114="","",Y114*AD114/100)</f>
        <v/>
      </c>
      <c r="AA114" s="7">
        <f>IF($D114="","",Y114-Z114)</f>
        <v/>
      </c>
      <c r="AB114" s="7">
        <f>IF($D114="","",AA114-Q114)</f>
        <v/>
      </c>
      <c r="AD114">
        <f>IF($D114="","",IF($AP114=1,0,IF($AO114=1,Settings!$C$6,Settings!$C$7))*100)</f>
        <v/>
      </c>
      <c r="AH114" s="7" t="n"/>
      <c r="AK114" s="11" t="n"/>
      <c r="AM114">
        <f>IF($D114="","",IF(COUNTIF($D$2:$D114,$D114)=1,1,0))</f>
        <v/>
      </c>
      <c r="AN114">
        <f>IF($AM114=1,SUMPRODUCT(--($AQ$2:$AQ$1001&lt;$AQ114))+1,"")</f>
        <v/>
      </c>
      <c r="AO114">
        <f>IF($D114="","",IF(OR($U114=TRUE(),$U114="TRUE"),1,0))</f>
        <v/>
      </c>
      <c r="AP114">
        <f>IF($D114="","",IF($AC114="Yes",1,0))</f>
        <v/>
      </c>
      <c r="AQ114">
        <f>IF($AM114=1,IFERROR(VALUE(MID($D114,2,20)),1000000000)+ROW()/100000,"")</f>
        <v/>
      </c>
    </row>
    <row r="115">
      <c r="G115" s="11" t="n"/>
      <c r="Q115" s="7">
        <f>IF($D115="","",P115*Y115/100)</f>
        <v/>
      </c>
      <c r="R115" s="7" t="n"/>
      <c r="X115" s="7" t="n"/>
      <c r="Y115" s="7" t="n"/>
      <c r="Z115" s="7">
        <f>IF($D115="","",Y115*AD115/100)</f>
        <v/>
      </c>
      <c r="AA115" s="7">
        <f>IF($D115="","",Y115-Z115)</f>
        <v/>
      </c>
      <c r="AB115" s="7">
        <f>IF($D115="","",AA115-Q115)</f>
        <v/>
      </c>
      <c r="AD115">
        <f>IF($D115="","",IF($AP115=1,0,IF($AO115=1,Settings!$C$6,Settings!$C$7))*100)</f>
        <v/>
      </c>
      <c r="AH115" s="7" t="n"/>
      <c r="AK115" s="11" t="n"/>
      <c r="AM115">
        <f>IF($D115="","",IF(COUNTIF($D$2:$D115,$D115)=1,1,0))</f>
        <v/>
      </c>
      <c r="AN115">
        <f>IF($AM115=1,SUMPRODUCT(--($AQ$2:$AQ$1001&lt;$AQ115))+1,"")</f>
        <v/>
      </c>
      <c r="AO115">
        <f>IF($D115="","",IF(OR($U115=TRUE(),$U115="TRUE"),1,0))</f>
        <v/>
      </c>
      <c r="AP115">
        <f>IF($D115="","",IF($AC115="Yes",1,0))</f>
        <v/>
      </c>
      <c r="AQ115">
        <f>IF($AM115=1,IFERROR(VALUE(MID($D115,2,20)),1000000000)+ROW()/100000,"")</f>
        <v/>
      </c>
    </row>
    <row r="116">
      <c r="G116" s="11" t="n"/>
      <c r="Q116" s="7">
        <f>IF($D116="","",P116*Y116/100)</f>
        <v/>
      </c>
      <c r="R116" s="7" t="n"/>
      <c r="X116" s="7" t="n"/>
      <c r="Y116" s="7" t="n"/>
      <c r="Z116" s="7">
        <f>IF($D116="","",Y116*AD116/100)</f>
        <v/>
      </c>
      <c r="AA116" s="7">
        <f>IF($D116="","",Y116-Z116)</f>
        <v/>
      </c>
      <c r="AB116" s="7">
        <f>IF($D116="","",AA116-Q116)</f>
        <v/>
      </c>
      <c r="AD116">
        <f>IF($D116="","",IF($AP116=1,0,IF($AO116=1,Settings!$C$6,Settings!$C$7))*100)</f>
        <v/>
      </c>
      <c r="AH116" s="7" t="n"/>
      <c r="AK116" s="11" t="n"/>
      <c r="AM116">
        <f>IF($D116="","",IF(COUNTIF($D$2:$D116,$D116)=1,1,0))</f>
        <v/>
      </c>
      <c r="AN116">
        <f>IF($AM116=1,SUMPRODUCT(--($AQ$2:$AQ$1001&lt;$AQ116))+1,"")</f>
        <v/>
      </c>
      <c r="AO116">
        <f>IF($D116="","",IF(OR($U116=TRUE(),$U116="TRUE"),1,0))</f>
        <v/>
      </c>
      <c r="AP116">
        <f>IF($D116="","",IF($AC116="Yes",1,0))</f>
        <v/>
      </c>
      <c r="AQ116">
        <f>IF($AM116=1,IFERROR(VALUE(MID($D116,2,20)),1000000000)+ROW()/100000,"")</f>
        <v/>
      </c>
    </row>
    <row r="117">
      <c r="G117" s="11" t="n"/>
      <c r="Q117" s="7">
        <f>IF($D117="","",P117*Y117/100)</f>
        <v/>
      </c>
      <c r="R117" s="7" t="n"/>
      <c r="X117" s="7" t="n"/>
      <c r="Y117" s="7" t="n"/>
      <c r="Z117" s="7">
        <f>IF($D117="","",Y117*AD117/100)</f>
        <v/>
      </c>
      <c r="AA117" s="7">
        <f>IF($D117="","",Y117-Z117)</f>
        <v/>
      </c>
      <c r="AB117" s="7">
        <f>IF($D117="","",AA117-Q117)</f>
        <v/>
      </c>
      <c r="AD117">
        <f>IF($D117="","",IF($AP117=1,0,IF($AO117=1,Settings!$C$6,Settings!$C$7))*100)</f>
        <v/>
      </c>
      <c r="AH117" s="7" t="n"/>
      <c r="AK117" s="11" t="n"/>
      <c r="AM117">
        <f>IF($D117="","",IF(COUNTIF($D$2:$D117,$D117)=1,1,0))</f>
        <v/>
      </c>
      <c r="AN117">
        <f>IF($AM117=1,SUMPRODUCT(--($AQ$2:$AQ$1001&lt;$AQ117))+1,"")</f>
        <v/>
      </c>
      <c r="AO117">
        <f>IF($D117="","",IF(OR($U117=TRUE(),$U117="TRUE"),1,0))</f>
        <v/>
      </c>
      <c r="AP117">
        <f>IF($D117="","",IF($AC117="Yes",1,0))</f>
        <v/>
      </c>
      <c r="AQ117">
        <f>IF($AM117=1,IFERROR(VALUE(MID($D117,2,20)),1000000000)+ROW()/100000,"")</f>
        <v/>
      </c>
    </row>
    <row r="118">
      <c r="G118" s="11" t="n"/>
      <c r="Q118" s="7">
        <f>IF($D118="","",P118*Y118/100)</f>
        <v/>
      </c>
      <c r="R118" s="7" t="n"/>
      <c r="X118" s="7" t="n"/>
      <c r="Y118" s="7" t="n"/>
      <c r="Z118" s="7">
        <f>IF($D118="","",Y118*AD118/100)</f>
        <v/>
      </c>
      <c r="AA118" s="7">
        <f>IF($D118="","",Y118-Z118)</f>
        <v/>
      </c>
      <c r="AB118" s="7">
        <f>IF($D118="","",AA118-Q118)</f>
        <v/>
      </c>
      <c r="AD118">
        <f>IF($D118="","",IF($AP118=1,0,IF($AO118=1,Settings!$C$6,Settings!$C$7))*100)</f>
        <v/>
      </c>
      <c r="AH118" s="7" t="n"/>
      <c r="AK118" s="11" t="n"/>
      <c r="AM118">
        <f>IF($D118="","",IF(COUNTIF($D$2:$D118,$D118)=1,1,0))</f>
        <v/>
      </c>
      <c r="AN118">
        <f>IF($AM118=1,SUMPRODUCT(--($AQ$2:$AQ$1001&lt;$AQ118))+1,"")</f>
        <v/>
      </c>
      <c r="AO118">
        <f>IF($D118="","",IF(OR($U118=TRUE(),$U118="TRUE"),1,0))</f>
        <v/>
      </c>
      <c r="AP118">
        <f>IF($D118="","",IF($AC118="Yes",1,0))</f>
        <v/>
      </c>
      <c r="AQ118">
        <f>IF($AM118=1,IFERROR(VALUE(MID($D118,2,20)),1000000000)+ROW()/100000,"")</f>
        <v/>
      </c>
    </row>
    <row r="119">
      <c r="G119" s="11" t="n"/>
      <c r="Q119" s="7">
        <f>IF($D119="","",P119*Y119/100)</f>
        <v/>
      </c>
      <c r="R119" s="7" t="n"/>
      <c r="X119" s="7" t="n"/>
      <c r="Y119" s="7" t="n"/>
      <c r="Z119" s="7">
        <f>IF($D119="","",Y119*AD119/100)</f>
        <v/>
      </c>
      <c r="AA119" s="7">
        <f>IF($D119="","",Y119-Z119)</f>
        <v/>
      </c>
      <c r="AB119" s="7">
        <f>IF($D119="","",AA119-Q119)</f>
        <v/>
      </c>
      <c r="AD119">
        <f>IF($D119="","",IF($AP119=1,0,IF($AO119=1,Settings!$C$6,Settings!$C$7))*100)</f>
        <v/>
      </c>
      <c r="AH119" s="7" t="n"/>
      <c r="AK119" s="11" t="n"/>
      <c r="AM119">
        <f>IF($D119="","",IF(COUNTIF($D$2:$D119,$D119)=1,1,0))</f>
        <v/>
      </c>
      <c r="AN119">
        <f>IF($AM119=1,SUMPRODUCT(--($AQ$2:$AQ$1001&lt;$AQ119))+1,"")</f>
        <v/>
      </c>
      <c r="AO119">
        <f>IF($D119="","",IF(OR($U119=TRUE(),$U119="TRUE"),1,0))</f>
        <v/>
      </c>
      <c r="AP119">
        <f>IF($D119="","",IF($AC119="Yes",1,0))</f>
        <v/>
      </c>
      <c r="AQ119">
        <f>IF($AM119=1,IFERROR(VALUE(MID($D119,2,20)),1000000000)+ROW()/100000,"")</f>
        <v/>
      </c>
    </row>
    <row r="120">
      <c r="G120" s="11" t="n"/>
      <c r="Q120" s="7">
        <f>IF($D120="","",P120*Y120/100)</f>
        <v/>
      </c>
      <c r="R120" s="7" t="n"/>
      <c r="X120" s="7" t="n"/>
      <c r="Y120" s="7" t="n"/>
      <c r="Z120" s="7">
        <f>IF($D120="","",Y120*AD120/100)</f>
        <v/>
      </c>
      <c r="AA120" s="7">
        <f>IF($D120="","",Y120-Z120)</f>
        <v/>
      </c>
      <c r="AB120" s="7">
        <f>IF($D120="","",AA120-Q120)</f>
        <v/>
      </c>
      <c r="AD120">
        <f>IF($D120="","",IF($AP120=1,0,IF($AO120=1,Settings!$C$6,Settings!$C$7))*100)</f>
        <v/>
      </c>
      <c r="AH120" s="7" t="n"/>
      <c r="AK120" s="11" t="n"/>
      <c r="AM120">
        <f>IF($D120="","",IF(COUNTIF($D$2:$D120,$D120)=1,1,0))</f>
        <v/>
      </c>
      <c r="AN120">
        <f>IF($AM120=1,SUMPRODUCT(--($AQ$2:$AQ$1001&lt;$AQ120))+1,"")</f>
        <v/>
      </c>
      <c r="AO120">
        <f>IF($D120="","",IF(OR($U120=TRUE(),$U120="TRUE"),1,0))</f>
        <v/>
      </c>
      <c r="AP120">
        <f>IF($D120="","",IF($AC120="Yes",1,0))</f>
        <v/>
      </c>
      <c r="AQ120">
        <f>IF($AM120=1,IFERROR(VALUE(MID($D120,2,20)),1000000000)+ROW()/100000,"")</f>
        <v/>
      </c>
    </row>
    <row r="121">
      <c r="G121" s="11" t="n"/>
      <c r="Q121" s="7">
        <f>IF($D121="","",P121*Y121/100)</f>
        <v/>
      </c>
      <c r="R121" s="7" t="n"/>
      <c r="X121" s="7" t="n"/>
      <c r="Y121" s="7" t="n"/>
      <c r="Z121" s="7">
        <f>IF($D121="","",Y121*AD121/100)</f>
        <v/>
      </c>
      <c r="AA121" s="7">
        <f>IF($D121="","",Y121-Z121)</f>
        <v/>
      </c>
      <c r="AB121" s="7">
        <f>IF($D121="","",AA121-Q121)</f>
        <v/>
      </c>
      <c r="AD121">
        <f>IF($D121="","",IF($AP121=1,0,IF($AO121=1,Settings!$C$6,Settings!$C$7))*100)</f>
        <v/>
      </c>
      <c r="AH121" s="7" t="n"/>
      <c r="AK121" s="11" t="n"/>
      <c r="AM121">
        <f>IF($D121="","",IF(COUNTIF($D$2:$D121,$D121)=1,1,0))</f>
        <v/>
      </c>
      <c r="AN121">
        <f>IF($AM121=1,SUMPRODUCT(--($AQ$2:$AQ$1001&lt;$AQ121))+1,"")</f>
        <v/>
      </c>
      <c r="AO121">
        <f>IF($D121="","",IF(OR($U121=TRUE(),$U121="TRUE"),1,0))</f>
        <v/>
      </c>
      <c r="AP121">
        <f>IF($D121="","",IF($AC121="Yes",1,0))</f>
        <v/>
      </c>
      <c r="AQ121">
        <f>IF($AM121=1,IFERROR(VALUE(MID($D121,2,20)),1000000000)+ROW()/100000,"")</f>
        <v/>
      </c>
    </row>
    <row r="122">
      <c r="G122" s="11" t="n"/>
      <c r="Q122" s="7">
        <f>IF($D122="","",P122*Y122/100)</f>
        <v/>
      </c>
      <c r="R122" s="7" t="n"/>
      <c r="X122" s="7" t="n"/>
      <c r="Y122" s="7" t="n"/>
      <c r="Z122" s="7">
        <f>IF($D122="","",Y122*AD122/100)</f>
        <v/>
      </c>
      <c r="AA122" s="7">
        <f>IF($D122="","",Y122-Z122)</f>
        <v/>
      </c>
      <c r="AB122" s="7">
        <f>IF($D122="","",AA122-Q122)</f>
        <v/>
      </c>
      <c r="AD122">
        <f>IF($D122="","",IF($AP122=1,0,IF($AO122=1,Settings!$C$6,Settings!$C$7))*100)</f>
        <v/>
      </c>
      <c r="AH122" s="7" t="n"/>
      <c r="AK122" s="11" t="n"/>
      <c r="AM122">
        <f>IF($D122="","",IF(COUNTIF($D$2:$D122,$D122)=1,1,0))</f>
        <v/>
      </c>
      <c r="AN122">
        <f>IF($AM122=1,SUMPRODUCT(--($AQ$2:$AQ$1001&lt;$AQ122))+1,"")</f>
        <v/>
      </c>
      <c r="AO122">
        <f>IF($D122="","",IF(OR($U122=TRUE(),$U122="TRUE"),1,0))</f>
        <v/>
      </c>
      <c r="AP122">
        <f>IF($D122="","",IF($AC122="Yes",1,0))</f>
        <v/>
      </c>
      <c r="AQ122">
        <f>IF($AM122=1,IFERROR(VALUE(MID($D122,2,20)),1000000000)+ROW()/100000,"")</f>
        <v/>
      </c>
    </row>
    <row r="123">
      <c r="G123" s="11" t="n"/>
      <c r="Q123" s="7">
        <f>IF($D123="","",P123*Y123/100)</f>
        <v/>
      </c>
      <c r="R123" s="7" t="n"/>
      <c r="X123" s="7" t="n"/>
      <c r="Y123" s="7" t="n"/>
      <c r="Z123" s="7">
        <f>IF($D123="","",Y123*AD123/100)</f>
        <v/>
      </c>
      <c r="AA123" s="7">
        <f>IF($D123="","",Y123-Z123)</f>
        <v/>
      </c>
      <c r="AB123" s="7">
        <f>IF($D123="","",AA123-Q123)</f>
        <v/>
      </c>
      <c r="AD123">
        <f>IF($D123="","",IF($AP123=1,0,IF($AO123=1,Settings!$C$6,Settings!$C$7))*100)</f>
        <v/>
      </c>
      <c r="AH123" s="7" t="n"/>
      <c r="AK123" s="11" t="n"/>
      <c r="AM123">
        <f>IF($D123="","",IF(COUNTIF($D$2:$D123,$D123)=1,1,0))</f>
        <v/>
      </c>
      <c r="AN123">
        <f>IF($AM123=1,SUMPRODUCT(--($AQ$2:$AQ$1001&lt;$AQ123))+1,"")</f>
        <v/>
      </c>
      <c r="AO123">
        <f>IF($D123="","",IF(OR($U123=TRUE(),$U123="TRUE"),1,0))</f>
        <v/>
      </c>
      <c r="AP123">
        <f>IF($D123="","",IF($AC123="Yes",1,0))</f>
        <v/>
      </c>
      <c r="AQ123">
        <f>IF($AM123=1,IFERROR(VALUE(MID($D123,2,20)),1000000000)+ROW()/100000,"")</f>
        <v/>
      </c>
    </row>
    <row r="124">
      <c r="G124" s="11" t="n"/>
      <c r="Q124" s="7">
        <f>IF($D124="","",P124*Y124/100)</f>
        <v/>
      </c>
      <c r="R124" s="7" t="n"/>
      <c r="X124" s="7" t="n"/>
      <c r="Y124" s="7" t="n"/>
      <c r="Z124" s="7">
        <f>IF($D124="","",Y124*AD124/100)</f>
        <v/>
      </c>
      <c r="AA124" s="7">
        <f>IF($D124="","",Y124-Z124)</f>
        <v/>
      </c>
      <c r="AB124" s="7">
        <f>IF($D124="","",AA124-Q124)</f>
        <v/>
      </c>
      <c r="AD124">
        <f>IF($D124="","",IF($AP124=1,0,IF($AO124=1,Settings!$C$6,Settings!$C$7))*100)</f>
        <v/>
      </c>
      <c r="AH124" s="7" t="n"/>
      <c r="AK124" s="11" t="n"/>
      <c r="AM124">
        <f>IF($D124="","",IF(COUNTIF($D$2:$D124,$D124)=1,1,0))</f>
        <v/>
      </c>
      <c r="AN124">
        <f>IF($AM124=1,SUMPRODUCT(--($AQ$2:$AQ$1001&lt;$AQ124))+1,"")</f>
        <v/>
      </c>
      <c r="AO124">
        <f>IF($D124="","",IF(OR($U124=TRUE(),$U124="TRUE"),1,0))</f>
        <v/>
      </c>
      <c r="AP124">
        <f>IF($D124="","",IF($AC124="Yes",1,0))</f>
        <v/>
      </c>
      <c r="AQ124">
        <f>IF($AM124=1,IFERROR(VALUE(MID($D124,2,20)),1000000000)+ROW()/100000,"")</f>
        <v/>
      </c>
    </row>
    <row r="125">
      <c r="G125" s="11" t="n"/>
      <c r="Q125" s="7">
        <f>IF($D125="","",P125*Y125/100)</f>
        <v/>
      </c>
      <c r="R125" s="7" t="n"/>
      <c r="X125" s="7" t="n"/>
      <c r="Y125" s="7" t="n"/>
      <c r="Z125" s="7">
        <f>IF($D125="","",Y125*AD125/100)</f>
        <v/>
      </c>
      <c r="AA125" s="7">
        <f>IF($D125="","",Y125-Z125)</f>
        <v/>
      </c>
      <c r="AB125" s="7">
        <f>IF($D125="","",AA125-Q125)</f>
        <v/>
      </c>
      <c r="AD125">
        <f>IF($D125="","",IF($AP125=1,0,IF($AO125=1,Settings!$C$6,Settings!$C$7))*100)</f>
        <v/>
      </c>
      <c r="AH125" s="7" t="n"/>
      <c r="AK125" s="11" t="n"/>
      <c r="AM125">
        <f>IF($D125="","",IF(COUNTIF($D$2:$D125,$D125)=1,1,0))</f>
        <v/>
      </c>
      <c r="AN125">
        <f>IF($AM125=1,SUMPRODUCT(--($AQ$2:$AQ$1001&lt;$AQ125))+1,"")</f>
        <v/>
      </c>
      <c r="AO125">
        <f>IF($D125="","",IF(OR($U125=TRUE(),$U125="TRUE"),1,0))</f>
        <v/>
      </c>
      <c r="AP125">
        <f>IF($D125="","",IF($AC125="Yes",1,0))</f>
        <v/>
      </c>
      <c r="AQ125">
        <f>IF($AM125=1,IFERROR(VALUE(MID($D125,2,20)),1000000000)+ROW()/100000,"")</f>
        <v/>
      </c>
    </row>
    <row r="126">
      <c r="G126" s="11" t="n"/>
      <c r="Q126" s="7">
        <f>IF($D126="","",P126*Y126/100)</f>
        <v/>
      </c>
      <c r="R126" s="7" t="n"/>
      <c r="X126" s="7" t="n"/>
      <c r="Y126" s="7" t="n"/>
      <c r="Z126" s="7">
        <f>IF($D126="","",Y126*AD126/100)</f>
        <v/>
      </c>
      <c r="AA126" s="7">
        <f>IF($D126="","",Y126-Z126)</f>
        <v/>
      </c>
      <c r="AB126" s="7">
        <f>IF($D126="","",AA126-Q126)</f>
        <v/>
      </c>
      <c r="AD126">
        <f>IF($D126="","",IF($AP126=1,0,IF($AO126=1,Settings!$C$6,Settings!$C$7))*100)</f>
        <v/>
      </c>
      <c r="AH126" s="7" t="n"/>
      <c r="AK126" s="11" t="n"/>
      <c r="AM126">
        <f>IF($D126="","",IF(COUNTIF($D$2:$D126,$D126)=1,1,0))</f>
        <v/>
      </c>
      <c r="AN126">
        <f>IF($AM126=1,SUMPRODUCT(--($AQ$2:$AQ$1001&lt;$AQ126))+1,"")</f>
        <v/>
      </c>
      <c r="AO126">
        <f>IF($D126="","",IF(OR($U126=TRUE(),$U126="TRUE"),1,0))</f>
        <v/>
      </c>
      <c r="AP126">
        <f>IF($D126="","",IF($AC126="Yes",1,0))</f>
        <v/>
      </c>
      <c r="AQ126">
        <f>IF($AM126=1,IFERROR(VALUE(MID($D126,2,20)),1000000000)+ROW()/100000,"")</f>
        <v/>
      </c>
    </row>
    <row r="127">
      <c r="G127" s="11" t="n"/>
      <c r="Q127" s="7">
        <f>IF($D127="","",P127*Y127/100)</f>
        <v/>
      </c>
      <c r="R127" s="7" t="n"/>
      <c r="X127" s="7" t="n"/>
      <c r="Y127" s="7" t="n"/>
      <c r="Z127" s="7">
        <f>IF($D127="","",Y127*AD127/100)</f>
        <v/>
      </c>
      <c r="AA127" s="7">
        <f>IF($D127="","",Y127-Z127)</f>
        <v/>
      </c>
      <c r="AB127" s="7">
        <f>IF($D127="","",AA127-Q127)</f>
        <v/>
      </c>
      <c r="AD127">
        <f>IF($D127="","",IF($AP127=1,0,IF($AO127=1,Settings!$C$6,Settings!$C$7))*100)</f>
        <v/>
      </c>
      <c r="AH127" s="7" t="n"/>
      <c r="AK127" s="11" t="n"/>
      <c r="AM127">
        <f>IF($D127="","",IF(COUNTIF($D$2:$D127,$D127)=1,1,0))</f>
        <v/>
      </c>
      <c r="AN127">
        <f>IF($AM127=1,SUMPRODUCT(--($AQ$2:$AQ$1001&lt;$AQ127))+1,"")</f>
        <v/>
      </c>
      <c r="AO127">
        <f>IF($D127="","",IF(OR($U127=TRUE(),$U127="TRUE"),1,0))</f>
        <v/>
      </c>
      <c r="AP127">
        <f>IF($D127="","",IF($AC127="Yes",1,0))</f>
        <v/>
      </c>
      <c r="AQ127">
        <f>IF($AM127=1,IFERROR(VALUE(MID($D127,2,20)),1000000000)+ROW()/100000,"")</f>
        <v/>
      </c>
    </row>
    <row r="128">
      <c r="G128" s="11" t="n"/>
      <c r="Q128" s="7">
        <f>IF($D128="","",P128*Y128/100)</f>
        <v/>
      </c>
      <c r="R128" s="7" t="n"/>
      <c r="X128" s="7" t="n"/>
      <c r="Y128" s="7" t="n"/>
      <c r="Z128" s="7">
        <f>IF($D128="","",Y128*AD128/100)</f>
        <v/>
      </c>
      <c r="AA128" s="7">
        <f>IF($D128="","",Y128-Z128)</f>
        <v/>
      </c>
      <c r="AB128" s="7">
        <f>IF($D128="","",AA128-Q128)</f>
        <v/>
      </c>
      <c r="AD128">
        <f>IF($D128="","",IF($AP128=1,0,IF($AO128=1,Settings!$C$6,Settings!$C$7))*100)</f>
        <v/>
      </c>
      <c r="AH128" s="7" t="n"/>
      <c r="AK128" s="11" t="n"/>
      <c r="AM128">
        <f>IF($D128="","",IF(COUNTIF($D$2:$D128,$D128)=1,1,0))</f>
        <v/>
      </c>
      <c r="AN128">
        <f>IF($AM128=1,SUMPRODUCT(--($AQ$2:$AQ$1001&lt;$AQ128))+1,"")</f>
        <v/>
      </c>
      <c r="AO128">
        <f>IF($D128="","",IF(OR($U128=TRUE(),$U128="TRUE"),1,0))</f>
        <v/>
      </c>
      <c r="AP128">
        <f>IF($D128="","",IF($AC128="Yes",1,0))</f>
        <v/>
      </c>
      <c r="AQ128">
        <f>IF($AM128=1,IFERROR(VALUE(MID($D128,2,20)),1000000000)+ROW()/100000,"")</f>
        <v/>
      </c>
    </row>
    <row r="129">
      <c r="G129" s="11" t="n"/>
      <c r="Q129" s="7">
        <f>IF($D129="","",P129*Y129/100)</f>
        <v/>
      </c>
      <c r="R129" s="7" t="n"/>
      <c r="X129" s="7" t="n"/>
      <c r="Y129" s="7" t="n"/>
      <c r="Z129" s="7">
        <f>IF($D129="","",Y129*AD129/100)</f>
        <v/>
      </c>
      <c r="AA129" s="7">
        <f>IF($D129="","",Y129-Z129)</f>
        <v/>
      </c>
      <c r="AB129" s="7">
        <f>IF($D129="","",AA129-Q129)</f>
        <v/>
      </c>
      <c r="AD129">
        <f>IF($D129="","",IF($AP129=1,0,IF($AO129=1,Settings!$C$6,Settings!$C$7))*100)</f>
        <v/>
      </c>
      <c r="AH129" s="7" t="n"/>
      <c r="AK129" s="11" t="n"/>
      <c r="AM129">
        <f>IF($D129="","",IF(COUNTIF($D$2:$D129,$D129)=1,1,0))</f>
        <v/>
      </c>
      <c r="AN129">
        <f>IF($AM129=1,SUMPRODUCT(--($AQ$2:$AQ$1001&lt;$AQ129))+1,"")</f>
        <v/>
      </c>
      <c r="AO129">
        <f>IF($D129="","",IF(OR($U129=TRUE(),$U129="TRUE"),1,0))</f>
        <v/>
      </c>
      <c r="AP129">
        <f>IF($D129="","",IF($AC129="Yes",1,0))</f>
        <v/>
      </c>
      <c r="AQ129">
        <f>IF($AM129=1,IFERROR(VALUE(MID($D129,2,20)),1000000000)+ROW()/100000,"")</f>
        <v/>
      </c>
    </row>
    <row r="130">
      <c r="G130" s="11" t="n"/>
      <c r="Q130" s="7">
        <f>IF($D130="","",P130*Y130/100)</f>
        <v/>
      </c>
      <c r="R130" s="7" t="n"/>
      <c r="X130" s="7" t="n"/>
      <c r="Y130" s="7" t="n"/>
      <c r="Z130" s="7">
        <f>IF($D130="","",Y130*AD130/100)</f>
        <v/>
      </c>
      <c r="AA130" s="7">
        <f>IF($D130="","",Y130-Z130)</f>
        <v/>
      </c>
      <c r="AB130" s="7">
        <f>IF($D130="","",AA130-Q130)</f>
        <v/>
      </c>
      <c r="AD130">
        <f>IF($D130="","",IF($AP130=1,0,IF($AO130=1,Settings!$C$6,Settings!$C$7))*100)</f>
        <v/>
      </c>
      <c r="AH130" s="7" t="n"/>
      <c r="AK130" s="11" t="n"/>
      <c r="AM130">
        <f>IF($D130="","",IF(COUNTIF($D$2:$D130,$D130)=1,1,0))</f>
        <v/>
      </c>
      <c r="AN130">
        <f>IF($AM130=1,SUMPRODUCT(--($AQ$2:$AQ$1001&lt;$AQ130))+1,"")</f>
        <v/>
      </c>
      <c r="AO130">
        <f>IF($D130="","",IF(OR($U130=TRUE(),$U130="TRUE"),1,0))</f>
        <v/>
      </c>
      <c r="AP130">
        <f>IF($D130="","",IF($AC130="Yes",1,0))</f>
        <v/>
      </c>
      <c r="AQ130">
        <f>IF($AM130=1,IFERROR(VALUE(MID($D130,2,20)),1000000000)+ROW()/100000,"")</f>
        <v/>
      </c>
    </row>
    <row r="131">
      <c r="G131" s="11" t="n"/>
      <c r="Q131" s="7">
        <f>IF($D131="","",P131*Y131/100)</f>
        <v/>
      </c>
      <c r="R131" s="7" t="n"/>
      <c r="X131" s="7" t="n"/>
      <c r="Y131" s="7" t="n"/>
      <c r="Z131" s="7">
        <f>IF($D131="","",Y131*AD131/100)</f>
        <v/>
      </c>
      <c r="AA131" s="7">
        <f>IF($D131="","",Y131-Z131)</f>
        <v/>
      </c>
      <c r="AB131" s="7">
        <f>IF($D131="","",AA131-Q131)</f>
        <v/>
      </c>
      <c r="AD131">
        <f>IF($D131="","",IF($AP131=1,0,IF($AO131=1,Settings!$C$6,Settings!$C$7))*100)</f>
        <v/>
      </c>
      <c r="AH131" s="7" t="n"/>
      <c r="AK131" s="11" t="n"/>
      <c r="AM131">
        <f>IF($D131="","",IF(COUNTIF($D$2:$D131,$D131)=1,1,0))</f>
        <v/>
      </c>
      <c r="AN131">
        <f>IF($AM131=1,SUMPRODUCT(--($AQ$2:$AQ$1001&lt;$AQ131))+1,"")</f>
        <v/>
      </c>
      <c r="AO131">
        <f>IF($D131="","",IF(OR($U131=TRUE(),$U131="TRUE"),1,0))</f>
        <v/>
      </c>
      <c r="AP131">
        <f>IF($D131="","",IF($AC131="Yes",1,0))</f>
        <v/>
      </c>
      <c r="AQ131">
        <f>IF($AM131=1,IFERROR(VALUE(MID($D131,2,20)),1000000000)+ROW()/100000,"")</f>
        <v/>
      </c>
    </row>
    <row r="132">
      <c r="G132" s="11" t="n"/>
      <c r="Q132" s="7">
        <f>IF($D132="","",P132*Y132/100)</f>
        <v/>
      </c>
      <c r="R132" s="7" t="n"/>
      <c r="X132" s="7" t="n"/>
      <c r="Y132" s="7" t="n"/>
      <c r="Z132" s="7">
        <f>IF($D132="","",Y132*AD132/100)</f>
        <v/>
      </c>
      <c r="AA132" s="7">
        <f>IF($D132="","",Y132-Z132)</f>
        <v/>
      </c>
      <c r="AB132" s="7">
        <f>IF($D132="","",AA132-Q132)</f>
        <v/>
      </c>
      <c r="AD132">
        <f>IF($D132="","",IF($AP132=1,0,IF($AO132=1,Settings!$C$6,Settings!$C$7))*100)</f>
        <v/>
      </c>
      <c r="AH132" s="7" t="n"/>
      <c r="AK132" s="11" t="n"/>
      <c r="AM132">
        <f>IF($D132="","",IF(COUNTIF($D$2:$D132,$D132)=1,1,0))</f>
        <v/>
      </c>
      <c r="AN132">
        <f>IF($AM132=1,SUMPRODUCT(--($AQ$2:$AQ$1001&lt;$AQ132))+1,"")</f>
        <v/>
      </c>
      <c r="AO132">
        <f>IF($D132="","",IF(OR($U132=TRUE(),$U132="TRUE"),1,0))</f>
        <v/>
      </c>
      <c r="AP132">
        <f>IF($D132="","",IF($AC132="Yes",1,0))</f>
        <v/>
      </c>
      <c r="AQ132">
        <f>IF($AM132=1,IFERROR(VALUE(MID($D132,2,20)),1000000000)+ROW()/100000,"")</f>
        <v/>
      </c>
    </row>
    <row r="133">
      <c r="G133" s="11" t="n"/>
      <c r="Q133" s="7">
        <f>IF($D133="","",P133*Y133/100)</f>
        <v/>
      </c>
      <c r="R133" s="7" t="n"/>
      <c r="X133" s="7" t="n"/>
      <c r="Y133" s="7" t="n"/>
      <c r="Z133" s="7">
        <f>IF($D133="","",Y133*AD133/100)</f>
        <v/>
      </c>
      <c r="AA133" s="7">
        <f>IF($D133="","",Y133-Z133)</f>
        <v/>
      </c>
      <c r="AB133" s="7">
        <f>IF($D133="","",AA133-Q133)</f>
        <v/>
      </c>
      <c r="AD133">
        <f>IF($D133="","",IF($AP133=1,0,IF($AO133=1,Settings!$C$6,Settings!$C$7))*100)</f>
        <v/>
      </c>
      <c r="AH133" s="7" t="n"/>
      <c r="AK133" s="11" t="n"/>
      <c r="AM133">
        <f>IF($D133="","",IF(COUNTIF($D$2:$D133,$D133)=1,1,0))</f>
        <v/>
      </c>
      <c r="AN133">
        <f>IF($AM133=1,SUMPRODUCT(--($AQ$2:$AQ$1001&lt;$AQ133))+1,"")</f>
        <v/>
      </c>
      <c r="AO133">
        <f>IF($D133="","",IF(OR($U133=TRUE(),$U133="TRUE"),1,0))</f>
        <v/>
      </c>
      <c r="AP133">
        <f>IF($D133="","",IF($AC133="Yes",1,0))</f>
        <v/>
      </c>
      <c r="AQ133">
        <f>IF($AM133=1,IFERROR(VALUE(MID($D133,2,20)),1000000000)+ROW()/100000,"")</f>
        <v/>
      </c>
    </row>
    <row r="134">
      <c r="G134" s="11" t="n"/>
      <c r="Q134" s="7">
        <f>IF($D134="","",P134*Y134/100)</f>
        <v/>
      </c>
      <c r="R134" s="7" t="n"/>
      <c r="X134" s="7" t="n"/>
      <c r="Y134" s="7" t="n"/>
      <c r="Z134" s="7">
        <f>IF($D134="","",Y134*AD134/100)</f>
        <v/>
      </c>
      <c r="AA134" s="7">
        <f>IF($D134="","",Y134-Z134)</f>
        <v/>
      </c>
      <c r="AB134" s="7">
        <f>IF($D134="","",AA134-Q134)</f>
        <v/>
      </c>
      <c r="AD134">
        <f>IF($D134="","",IF($AP134=1,0,IF($AO134=1,Settings!$C$6,Settings!$C$7))*100)</f>
        <v/>
      </c>
      <c r="AH134" s="7" t="n"/>
      <c r="AK134" s="11" t="n"/>
      <c r="AM134">
        <f>IF($D134="","",IF(COUNTIF($D$2:$D134,$D134)=1,1,0))</f>
        <v/>
      </c>
      <c r="AN134">
        <f>IF($AM134=1,SUMPRODUCT(--($AQ$2:$AQ$1001&lt;$AQ134))+1,"")</f>
        <v/>
      </c>
      <c r="AO134">
        <f>IF($D134="","",IF(OR($U134=TRUE(),$U134="TRUE"),1,0))</f>
        <v/>
      </c>
      <c r="AP134">
        <f>IF($D134="","",IF($AC134="Yes",1,0))</f>
        <v/>
      </c>
      <c r="AQ134">
        <f>IF($AM134=1,IFERROR(VALUE(MID($D134,2,20)),1000000000)+ROW()/100000,"")</f>
        <v/>
      </c>
    </row>
    <row r="135">
      <c r="G135" s="11" t="n"/>
      <c r="Q135" s="7">
        <f>IF($D135="","",P135*Y135/100)</f>
        <v/>
      </c>
      <c r="R135" s="7" t="n"/>
      <c r="X135" s="7" t="n"/>
      <c r="Y135" s="7" t="n"/>
      <c r="Z135" s="7">
        <f>IF($D135="","",Y135*AD135/100)</f>
        <v/>
      </c>
      <c r="AA135" s="7">
        <f>IF($D135="","",Y135-Z135)</f>
        <v/>
      </c>
      <c r="AB135" s="7">
        <f>IF($D135="","",AA135-Q135)</f>
        <v/>
      </c>
      <c r="AD135">
        <f>IF($D135="","",IF($AP135=1,0,IF($AO135=1,Settings!$C$6,Settings!$C$7))*100)</f>
        <v/>
      </c>
      <c r="AH135" s="7" t="n"/>
      <c r="AK135" s="11" t="n"/>
      <c r="AM135">
        <f>IF($D135="","",IF(COUNTIF($D$2:$D135,$D135)=1,1,0))</f>
        <v/>
      </c>
      <c r="AN135">
        <f>IF($AM135=1,SUMPRODUCT(--($AQ$2:$AQ$1001&lt;$AQ135))+1,"")</f>
        <v/>
      </c>
      <c r="AO135">
        <f>IF($D135="","",IF(OR($U135=TRUE(),$U135="TRUE"),1,0))</f>
        <v/>
      </c>
      <c r="AP135">
        <f>IF($D135="","",IF($AC135="Yes",1,0))</f>
        <v/>
      </c>
      <c r="AQ135">
        <f>IF($AM135=1,IFERROR(VALUE(MID($D135,2,20)),1000000000)+ROW()/100000,"")</f>
        <v/>
      </c>
    </row>
    <row r="136">
      <c r="G136" s="11" t="n"/>
      <c r="Q136" s="7">
        <f>IF($D136="","",P136*Y136/100)</f>
        <v/>
      </c>
      <c r="R136" s="7" t="n"/>
      <c r="X136" s="7" t="n"/>
      <c r="Y136" s="7" t="n"/>
      <c r="Z136" s="7">
        <f>IF($D136="","",Y136*AD136/100)</f>
        <v/>
      </c>
      <c r="AA136" s="7">
        <f>IF($D136="","",Y136-Z136)</f>
        <v/>
      </c>
      <c r="AB136" s="7">
        <f>IF($D136="","",AA136-Q136)</f>
        <v/>
      </c>
      <c r="AD136">
        <f>IF($D136="","",IF($AP136=1,0,IF($AO136=1,Settings!$C$6,Settings!$C$7))*100)</f>
        <v/>
      </c>
      <c r="AH136" s="7" t="n"/>
      <c r="AK136" s="11" t="n"/>
      <c r="AM136">
        <f>IF($D136="","",IF(COUNTIF($D$2:$D136,$D136)=1,1,0))</f>
        <v/>
      </c>
      <c r="AN136">
        <f>IF($AM136=1,SUMPRODUCT(--($AQ$2:$AQ$1001&lt;$AQ136))+1,"")</f>
        <v/>
      </c>
      <c r="AO136">
        <f>IF($D136="","",IF(OR($U136=TRUE(),$U136="TRUE"),1,0))</f>
        <v/>
      </c>
      <c r="AP136">
        <f>IF($D136="","",IF($AC136="Yes",1,0))</f>
        <v/>
      </c>
      <c r="AQ136">
        <f>IF($AM136=1,IFERROR(VALUE(MID($D136,2,20)),1000000000)+ROW()/100000,"")</f>
        <v/>
      </c>
    </row>
    <row r="137">
      <c r="G137" s="11" t="n"/>
      <c r="Q137" s="7">
        <f>IF($D137="","",P137*Y137/100)</f>
        <v/>
      </c>
      <c r="R137" s="7" t="n"/>
      <c r="X137" s="7" t="n"/>
      <c r="Y137" s="7" t="n"/>
      <c r="Z137" s="7">
        <f>IF($D137="","",Y137*AD137/100)</f>
        <v/>
      </c>
      <c r="AA137" s="7">
        <f>IF($D137="","",Y137-Z137)</f>
        <v/>
      </c>
      <c r="AB137" s="7">
        <f>IF($D137="","",AA137-Q137)</f>
        <v/>
      </c>
      <c r="AD137">
        <f>IF($D137="","",IF($AP137=1,0,IF($AO137=1,Settings!$C$6,Settings!$C$7))*100)</f>
        <v/>
      </c>
      <c r="AH137" s="7" t="n"/>
      <c r="AK137" s="11" t="n"/>
      <c r="AM137">
        <f>IF($D137="","",IF(COUNTIF($D$2:$D137,$D137)=1,1,0))</f>
        <v/>
      </c>
      <c r="AN137">
        <f>IF($AM137=1,SUMPRODUCT(--($AQ$2:$AQ$1001&lt;$AQ137))+1,"")</f>
        <v/>
      </c>
      <c r="AO137">
        <f>IF($D137="","",IF(OR($U137=TRUE(),$U137="TRUE"),1,0))</f>
        <v/>
      </c>
      <c r="AP137">
        <f>IF($D137="","",IF($AC137="Yes",1,0))</f>
        <v/>
      </c>
      <c r="AQ137">
        <f>IF($AM137=1,IFERROR(VALUE(MID($D137,2,20)),1000000000)+ROW()/100000,"")</f>
        <v/>
      </c>
    </row>
    <row r="138">
      <c r="G138" s="11" t="n"/>
      <c r="Q138" s="7">
        <f>IF($D138="","",P138*Y138/100)</f>
        <v/>
      </c>
      <c r="R138" s="7" t="n"/>
      <c r="X138" s="7" t="n"/>
      <c r="Y138" s="7" t="n"/>
      <c r="Z138" s="7">
        <f>IF($D138="","",Y138*AD138/100)</f>
        <v/>
      </c>
      <c r="AA138" s="7">
        <f>IF($D138="","",Y138-Z138)</f>
        <v/>
      </c>
      <c r="AB138" s="7">
        <f>IF($D138="","",AA138-Q138)</f>
        <v/>
      </c>
      <c r="AD138">
        <f>IF($D138="","",IF($AP138=1,0,IF($AO138=1,Settings!$C$6,Settings!$C$7))*100)</f>
        <v/>
      </c>
      <c r="AH138" s="7" t="n"/>
      <c r="AK138" s="11" t="n"/>
      <c r="AM138">
        <f>IF($D138="","",IF(COUNTIF($D$2:$D138,$D138)=1,1,0))</f>
        <v/>
      </c>
      <c r="AN138">
        <f>IF($AM138=1,SUMPRODUCT(--($AQ$2:$AQ$1001&lt;$AQ138))+1,"")</f>
        <v/>
      </c>
      <c r="AO138">
        <f>IF($D138="","",IF(OR($U138=TRUE(),$U138="TRUE"),1,0))</f>
        <v/>
      </c>
      <c r="AP138">
        <f>IF($D138="","",IF($AC138="Yes",1,0))</f>
        <v/>
      </c>
      <c r="AQ138">
        <f>IF($AM138=1,IFERROR(VALUE(MID($D138,2,20)),1000000000)+ROW()/100000,"")</f>
        <v/>
      </c>
    </row>
    <row r="139">
      <c r="G139" s="11" t="n"/>
      <c r="Q139" s="7">
        <f>IF($D139="","",P139*Y139/100)</f>
        <v/>
      </c>
      <c r="R139" s="7" t="n"/>
      <c r="X139" s="7" t="n"/>
      <c r="Y139" s="7" t="n"/>
      <c r="Z139" s="7">
        <f>IF($D139="","",Y139*AD139/100)</f>
        <v/>
      </c>
      <c r="AA139" s="7">
        <f>IF($D139="","",Y139-Z139)</f>
        <v/>
      </c>
      <c r="AB139" s="7">
        <f>IF($D139="","",AA139-Q139)</f>
        <v/>
      </c>
      <c r="AD139">
        <f>IF($D139="","",IF($AP139=1,0,IF($AO139=1,Settings!$C$6,Settings!$C$7))*100)</f>
        <v/>
      </c>
      <c r="AH139" s="7" t="n"/>
      <c r="AK139" s="11" t="n"/>
      <c r="AM139">
        <f>IF($D139="","",IF(COUNTIF($D$2:$D139,$D139)=1,1,0))</f>
        <v/>
      </c>
      <c r="AN139">
        <f>IF($AM139=1,SUMPRODUCT(--($AQ$2:$AQ$1001&lt;$AQ139))+1,"")</f>
        <v/>
      </c>
      <c r="AO139">
        <f>IF($D139="","",IF(OR($U139=TRUE(),$U139="TRUE"),1,0))</f>
        <v/>
      </c>
      <c r="AP139">
        <f>IF($D139="","",IF($AC139="Yes",1,0))</f>
        <v/>
      </c>
      <c r="AQ139">
        <f>IF($AM139=1,IFERROR(VALUE(MID($D139,2,20)),1000000000)+ROW()/100000,"")</f>
        <v/>
      </c>
    </row>
    <row r="140">
      <c r="G140" s="11" t="n"/>
      <c r="Q140" s="7">
        <f>IF($D140="","",P140*Y140/100)</f>
        <v/>
      </c>
      <c r="R140" s="7" t="n"/>
      <c r="X140" s="7" t="n"/>
      <c r="Y140" s="7" t="n"/>
      <c r="Z140" s="7">
        <f>IF($D140="","",Y140*AD140/100)</f>
        <v/>
      </c>
      <c r="AA140" s="7">
        <f>IF($D140="","",Y140-Z140)</f>
        <v/>
      </c>
      <c r="AB140" s="7">
        <f>IF($D140="","",AA140-Q140)</f>
        <v/>
      </c>
      <c r="AD140">
        <f>IF($D140="","",IF($AP140=1,0,IF($AO140=1,Settings!$C$6,Settings!$C$7))*100)</f>
        <v/>
      </c>
      <c r="AH140" s="7" t="n"/>
      <c r="AK140" s="11" t="n"/>
      <c r="AM140">
        <f>IF($D140="","",IF(COUNTIF($D$2:$D140,$D140)=1,1,0))</f>
        <v/>
      </c>
      <c r="AN140">
        <f>IF($AM140=1,SUMPRODUCT(--($AQ$2:$AQ$1001&lt;$AQ140))+1,"")</f>
        <v/>
      </c>
      <c r="AO140">
        <f>IF($D140="","",IF(OR($U140=TRUE(),$U140="TRUE"),1,0))</f>
        <v/>
      </c>
      <c r="AP140">
        <f>IF($D140="","",IF($AC140="Yes",1,0))</f>
        <v/>
      </c>
      <c r="AQ140">
        <f>IF($AM140=1,IFERROR(VALUE(MID($D140,2,20)),1000000000)+ROW()/100000,"")</f>
        <v/>
      </c>
    </row>
    <row r="141">
      <c r="G141" s="11" t="n"/>
      <c r="Q141" s="7">
        <f>IF($D141="","",P141*Y141/100)</f>
        <v/>
      </c>
      <c r="R141" s="7" t="n"/>
      <c r="X141" s="7" t="n"/>
      <c r="Y141" s="7" t="n"/>
      <c r="Z141" s="7">
        <f>IF($D141="","",Y141*AD141/100)</f>
        <v/>
      </c>
      <c r="AA141" s="7">
        <f>IF($D141="","",Y141-Z141)</f>
        <v/>
      </c>
      <c r="AB141" s="7">
        <f>IF($D141="","",AA141-Q141)</f>
        <v/>
      </c>
      <c r="AD141">
        <f>IF($D141="","",IF($AP141=1,0,IF($AO141=1,Settings!$C$6,Settings!$C$7))*100)</f>
        <v/>
      </c>
      <c r="AH141" s="7" t="n"/>
      <c r="AK141" s="11" t="n"/>
      <c r="AM141">
        <f>IF($D141="","",IF(COUNTIF($D$2:$D141,$D141)=1,1,0))</f>
        <v/>
      </c>
      <c r="AN141">
        <f>IF($AM141=1,SUMPRODUCT(--($AQ$2:$AQ$1001&lt;$AQ141))+1,"")</f>
        <v/>
      </c>
      <c r="AO141">
        <f>IF($D141="","",IF(OR($U141=TRUE(),$U141="TRUE"),1,0))</f>
        <v/>
      </c>
      <c r="AP141">
        <f>IF($D141="","",IF($AC141="Yes",1,0))</f>
        <v/>
      </c>
      <c r="AQ141">
        <f>IF($AM141=1,IFERROR(VALUE(MID($D141,2,20)),1000000000)+ROW()/100000,"")</f>
        <v/>
      </c>
    </row>
    <row r="142">
      <c r="G142" s="11" t="n"/>
      <c r="Q142" s="7">
        <f>IF($D142="","",P142*Y142/100)</f>
        <v/>
      </c>
      <c r="R142" s="7" t="n"/>
      <c r="X142" s="7" t="n"/>
      <c r="Y142" s="7" t="n"/>
      <c r="Z142" s="7">
        <f>IF($D142="","",Y142*AD142/100)</f>
        <v/>
      </c>
      <c r="AA142" s="7">
        <f>IF($D142="","",Y142-Z142)</f>
        <v/>
      </c>
      <c r="AB142" s="7">
        <f>IF($D142="","",AA142-Q142)</f>
        <v/>
      </c>
      <c r="AD142">
        <f>IF($D142="","",IF($AP142=1,0,IF($AO142=1,Settings!$C$6,Settings!$C$7))*100)</f>
        <v/>
      </c>
      <c r="AH142" s="7" t="n"/>
      <c r="AK142" s="11" t="n"/>
      <c r="AM142">
        <f>IF($D142="","",IF(COUNTIF($D$2:$D142,$D142)=1,1,0))</f>
        <v/>
      </c>
      <c r="AN142">
        <f>IF($AM142=1,SUMPRODUCT(--($AQ$2:$AQ$1001&lt;$AQ142))+1,"")</f>
        <v/>
      </c>
      <c r="AO142">
        <f>IF($D142="","",IF(OR($U142=TRUE(),$U142="TRUE"),1,0))</f>
        <v/>
      </c>
      <c r="AP142">
        <f>IF($D142="","",IF($AC142="Yes",1,0))</f>
        <v/>
      </c>
      <c r="AQ142">
        <f>IF($AM142=1,IFERROR(VALUE(MID($D142,2,20)),1000000000)+ROW()/100000,"")</f>
        <v/>
      </c>
    </row>
    <row r="143">
      <c r="G143" s="11" t="n"/>
      <c r="Q143" s="7">
        <f>IF($D143="","",P143*Y143/100)</f>
        <v/>
      </c>
      <c r="R143" s="7" t="n"/>
      <c r="X143" s="7" t="n"/>
      <c r="Y143" s="7" t="n"/>
      <c r="Z143" s="7">
        <f>IF($D143="","",Y143*AD143/100)</f>
        <v/>
      </c>
      <c r="AA143" s="7">
        <f>IF($D143="","",Y143-Z143)</f>
        <v/>
      </c>
      <c r="AB143" s="7">
        <f>IF($D143="","",AA143-Q143)</f>
        <v/>
      </c>
      <c r="AD143">
        <f>IF($D143="","",IF($AP143=1,0,IF($AO143=1,Settings!$C$6,Settings!$C$7))*100)</f>
        <v/>
      </c>
      <c r="AH143" s="7" t="n"/>
      <c r="AK143" s="11" t="n"/>
      <c r="AM143">
        <f>IF($D143="","",IF(COUNTIF($D$2:$D143,$D143)=1,1,0))</f>
        <v/>
      </c>
      <c r="AN143">
        <f>IF($AM143=1,SUMPRODUCT(--($AQ$2:$AQ$1001&lt;$AQ143))+1,"")</f>
        <v/>
      </c>
      <c r="AO143">
        <f>IF($D143="","",IF(OR($U143=TRUE(),$U143="TRUE"),1,0))</f>
        <v/>
      </c>
      <c r="AP143">
        <f>IF($D143="","",IF($AC143="Yes",1,0))</f>
        <v/>
      </c>
      <c r="AQ143">
        <f>IF($AM143=1,IFERROR(VALUE(MID($D143,2,20)),1000000000)+ROW()/100000,"")</f>
        <v/>
      </c>
    </row>
    <row r="144">
      <c r="G144" s="11" t="n"/>
      <c r="Q144" s="7">
        <f>IF($D144="","",P144*Y144/100)</f>
        <v/>
      </c>
      <c r="R144" s="7" t="n"/>
      <c r="X144" s="7" t="n"/>
      <c r="Y144" s="7" t="n"/>
      <c r="Z144" s="7">
        <f>IF($D144="","",Y144*AD144/100)</f>
        <v/>
      </c>
      <c r="AA144" s="7">
        <f>IF($D144="","",Y144-Z144)</f>
        <v/>
      </c>
      <c r="AB144" s="7">
        <f>IF($D144="","",AA144-Q144)</f>
        <v/>
      </c>
      <c r="AD144">
        <f>IF($D144="","",IF($AP144=1,0,IF($AO144=1,Settings!$C$6,Settings!$C$7))*100)</f>
        <v/>
      </c>
      <c r="AH144" s="7" t="n"/>
      <c r="AK144" s="11" t="n"/>
      <c r="AM144">
        <f>IF($D144="","",IF(COUNTIF($D$2:$D144,$D144)=1,1,0))</f>
        <v/>
      </c>
      <c r="AN144">
        <f>IF($AM144=1,SUMPRODUCT(--($AQ$2:$AQ$1001&lt;$AQ144))+1,"")</f>
        <v/>
      </c>
      <c r="AO144">
        <f>IF($D144="","",IF(OR($U144=TRUE(),$U144="TRUE"),1,0))</f>
        <v/>
      </c>
      <c r="AP144">
        <f>IF($D144="","",IF($AC144="Yes",1,0))</f>
        <v/>
      </c>
      <c r="AQ144">
        <f>IF($AM144=1,IFERROR(VALUE(MID($D144,2,20)),1000000000)+ROW()/100000,"")</f>
        <v/>
      </c>
    </row>
    <row r="145">
      <c r="G145" s="11" t="n"/>
      <c r="Q145" s="7">
        <f>IF($D145="","",P145*Y145/100)</f>
        <v/>
      </c>
      <c r="R145" s="7" t="n"/>
      <c r="X145" s="7" t="n"/>
      <c r="Y145" s="7" t="n"/>
      <c r="Z145" s="7">
        <f>IF($D145="","",Y145*AD145/100)</f>
        <v/>
      </c>
      <c r="AA145" s="7">
        <f>IF($D145="","",Y145-Z145)</f>
        <v/>
      </c>
      <c r="AB145" s="7">
        <f>IF($D145="","",AA145-Q145)</f>
        <v/>
      </c>
      <c r="AD145">
        <f>IF($D145="","",IF($AP145=1,0,IF($AO145=1,Settings!$C$6,Settings!$C$7))*100)</f>
        <v/>
      </c>
      <c r="AH145" s="7" t="n"/>
      <c r="AK145" s="11" t="n"/>
      <c r="AM145">
        <f>IF($D145="","",IF(COUNTIF($D$2:$D145,$D145)=1,1,0))</f>
        <v/>
      </c>
      <c r="AN145">
        <f>IF($AM145=1,SUMPRODUCT(--($AQ$2:$AQ$1001&lt;$AQ145))+1,"")</f>
        <v/>
      </c>
      <c r="AO145">
        <f>IF($D145="","",IF(OR($U145=TRUE(),$U145="TRUE"),1,0))</f>
        <v/>
      </c>
      <c r="AP145">
        <f>IF($D145="","",IF($AC145="Yes",1,0))</f>
        <v/>
      </c>
      <c r="AQ145">
        <f>IF($AM145=1,IFERROR(VALUE(MID($D145,2,20)),1000000000)+ROW()/100000,"")</f>
        <v/>
      </c>
    </row>
    <row r="146">
      <c r="G146" s="11" t="n"/>
      <c r="Q146" s="7">
        <f>IF($D146="","",P146*Y146/100)</f>
        <v/>
      </c>
      <c r="R146" s="7" t="n"/>
      <c r="X146" s="7" t="n"/>
      <c r="Y146" s="7" t="n"/>
      <c r="Z146" s="7">
        <f>IF($D146="","",Y146*AD146/100)</f>
        <v/>
      </c>
      <c r="AA146" s="7">
        <f>IF($D146="","",Y146-Z146)</f>
        <v/>
      </c>
      <c r="AB146" s="7">
        <f>IF($D146="","",AA146-Q146)</f>
        <v/>
      </c>
      <c r="AD146">
        <f>IF($D146="","",IF($AP146=1,0,IF($AO146=1,Settings!$C$6,Settings!$C$7))*100)</f>
        <v/>
      </c>
      <c r="AH146" s="7" t="n"/>
      <c r="AK146" s="11" t="n"/>
      <c r="AM146">
        <f>IF($D146="","",IF(COUNTIF($D$2:$D146,$D146)=1,1,0))</f>
        <v/>
      </c>
      <c r="AN146">
        <f>IF($AM146=1,SUMPRODUCT(--($AQ$2:$AQ$1001&lt;$AQ146))+1,"")</f>
        <v/>
      </c>
      <c r="AO146">
        <f>IF($D146="","",IF(OR($U146=TRUE(),$U146="TRUE"),1,0))</f>
        <v/>
      </c>
      <c r="AP146">
        <f>IF($D146="","",IF($AC146="Yes",1,0))</f>
        <v/>
      </c>
      <c r="AQ146">
        <f>IF($AM146=1,IFERROR(VALUE(MID($D146,2,20)),1000000000)+ROW()/100000,"")</f>
        <v/>
      </c>
    </row>
    <row r="147">
      <c r="G147" s="11" t="n"/>
      <c r="Q147" s="7">
        <f>IF($D147="","",P147*Y147/100)</f>
        <v/>
      </c>
      <c r="R147" s="7" t="n"/>
      <c r="X147" s="7" t="n"/>
      <c r="Y147" s="7" t="n"/>
      <c r="Z147" s="7">
        <f>IF($D147="","",Y147*AD147/100)</f>
        <v/>
      </c>
      <c r="AA147" s="7">
        <f>IF($D147="","",Y147-Z147)</f>
        <v/>
      </c>
      <c r="AB147" s="7">
        <f>IF($D147="","",AA147-Q147)</f>
        <v/>
      </c>
      <c r="AD147">
        <f>IF($D147="","",IF($AP147=1,0,IF($AO147=1,Settings!$C$6,Settings!$C$7))*100)</f>
        <v/>
      </c>
      <c r="AH147" s="7" t="n"/>
      <c r="AK147" s="11" t="n"/>
      <c r="AM147">
        <f>IF($D147="","",IF(COUNTIF($D$2:$D147,$D147)=1,1,0))</f>
        <v/>
      </c>
      <c r="AN147">
        <f>IF($AM147=1,SUMPRODUCT(--($AQ$2:$AQ$1001&lt;$AQ147))+1,"")</f>
        <v/>
      </c>
      <c r="AO147">
        <f>IF($D147="","",IF(OR($U147=TRUE(),$U147="TRUE"),1,0))</f>
        <v/>
      </c>
      <c r="AP147">
        <f>IF($D147="","",IF($AC147="Yes",1,0))</f>
        <v/>
      </c>
      <c r="AQ147">
        <f>IF($AM147=1,IFERROR(VALUE(MID($D147,2,20)),1000000000)+ROW()/100000,"")</f>
        <v/>
      </c>
    </row>
    <row r="148">
      <c r="G148" s="11" t="n"/>
      <c r="Q148" s="7">
        <f>IF($D148="","",P148*Y148/100)</f>
        <v/>
      </c>
      <c r="R148" s="7" t="n"/>
      <c r="X148" s="7" t="n"/>
      <c r="Y148" s="7" t="n"/>
      <c r="Z148" s="7">
        <f>IF($D148="","",Y148*AD148/100)</f>
        <v/>
      </c>
      <c r="AA148" s="7">
        <f>IF($D148="","",Y148-Z148)</f>
        <v/>
      </c>
      <c r="AB148" s="7">
        <f>IF($D148="","",AA148-Q148)</f>
        <v/>
      </c>
      <c r="AD148">
        <f>IF($D148="","",IF($AP148=1,0,IF($AO148=1,Settings!$C$6,Settings!$C$7))*100)</f>
        <v/>
      </c>
      <c r="AH148" s="7" t="n"/>
      <c r="AK148" s="11" t="n"/>
      <c r="AM148">
        <f>IF($D148="","",IF(COUNTIF($D$2:$D148,$D148)=1,1,0))</f>
        <v/>
      </c>
      <c r="AN148">
        <f>IF($AM148=1,SUMPRODUCT(--($AQ$2:$AQ$1001&lt;$AQ148))+1,"")</f>
        <v/>
      </c>
      <c r="AO148">
        <f>IF($D148="","",IF(OR($U148=TRUE(),$U148="TRUE"),1,0))</f>
        <v/>
      </c>
      <c r="AP148">
        <f>IF($D148="","",IF($AC148="Yes",1,0))</f>
        <v/>
      </c>
      <c r="AQ148">
        <f>IF($AM148=1,IFERROR(VALUE(MID($D148,2,20)),1000000000)+ROW()/100000,"")</f>
        <v/>
      </c>
    </row>
    <row r="149">
      <c r="G149" s="11" t="n"/>
      <c r="Q149" s="7">
        <f>IF($D149="","",P149*Y149/100)</f>
        <v/>
      </c>
      <c r="R149" s="7" t="n"/>
      <c r="X149" s="7" t="n"/>
      <c r="Y149" s="7" t="n"/>
      <c r="Z149" s="7">
        <f>IF($D149="","",Y149*AD149/100)</f>
        <v/>
      </c>
      <c r="AA149" s="7">
        <f>IF($D149="","",Y149-Z149)</f>
        <v/>
      </c>
      <c r="AB149" s="7">
        <f>IF($D149="","",AA149-Q149)</f>
        <v/>
      </c>
      <c r="AD149">
        <f>IF($D149="","",IF($AP149=1,0,IF($AO149=1,Settings!$C$6,Settings!$C$7))*100)</f>
        <v/>
      </c>
      <c r="AH149" s="7" t="n"/>
      <c r="AK149" s="11" t="n"/>
      <c r="AM149">
        <f>IF($D149="","",IF(COUNTIF($D$2:$D149,$D149)=1,1,0))</f>
        <v/>
      </c>
      <c r="AN149">
        <f>IF($AM149=1,SUMPRODUCT(--($AQ$2:$AQ$1001&lt;$AQ149))+1,"")</f>
        <v/>
      </c>
      <c r="AO149">
        <f>IF($D149="","",IF(OR($U149=TRUE(),$U149="TRUE"),1,0))</f>
        <v/>
      </c>
      <c r="AP149">
        <f>IF($D149="","",IF($AC149="Yes",1,0))</f>
        <v/>
      </c>
      <c r="AQ149">
        <f>IF($AM149=1,IFERROR(VALUE(MID($D149,2,20)),1000000000)+ROW()/100000,"")</f>
        <v/>
      </c>
    </row>
    <row r="150">
      <c r="G150" s="11" t="n"/>
      <c r="Q150" s="7">
        <f>IF($D150="","",P150*Y150/100)</f>
        <v/>
      </c>
      <c r="R150" s="7" t="n"/>
      <c r="X150" s="7" t="n"/>
      <c r="Y150" s="7" t="n"/>
      <c r="Z150" s="7">
        <f>IF($D150="","",Y150*AD150/100)</f>
        <v/>
      </c>
      <c r="AA150" s="7">
        <f>IF($D150="","",Y150-Z150)</f>
        <v/>
      </c>
      <c r="AB150" s="7">
        <f>IF($D150="","",AA150-Q150)</f>
        <v/>
      </c>
      <c r="AD150">
        <f>IF($D150="","",IF($AP150=1,0,IF($AO150=1,Settings!$C$6,Settings!$C$7))*100)</f>
        <v/>
      </c>
      <c r="AH150" s="7" t="n"/>
      <c r="AK150" s="11" t="n"/>
      <c r="AM150">
        <f>IF($D150="","",IF(COUNTIF($D$2:$D150,$D150)=1,1,0))</f>
        <v/>
      </c>
      <c r="AN150">
        <f>IF($AM150=1,SUMPRODUCT(--($AQ$2:$AQ$1001&lt;$AQ150))+1,"")</f>
        <v/>
      </c>
      <c r="AO150">
        <f>IF($D150="","",IF(OR($U150=TRUE(),$U150="TRUE"),1,0))</f>
        <v/>
      </c>
      <c r="AP150">
        <f>IF($D150="","",IF($AC150="Yes",1,0))</f>
        <v/>
      </c>
      <c r="AQ150">
        <f>IF($AM150=1,IFERROR(VALUE(MID($D150,2,20)),1000000000)+ROW()/100000,"")</f>
        <v/>
      </c>
    </row>
    <row r="151">
      <c r="G151" s="11" t="n"/>
      <c r="Q151" s="7">
        <f>IF($D151="","",P151*Y151/100)</f>
        <v/>
      </c>
      <c r="R151" s="7" t="n"/>
      <c r="X151" s="7" t="n"/>
      <c r="Y151" s="7" t="n"/>
      <c r="Z151" s="7">
        <f>IF($D151="","",Y151*AD151/100)</f>
        <v/>
      </c>
      <c r="AA151" s="7">
        <f>IF($D151="","",Y151-Z151)</f>
        <v/>
      </c>
      <c r="AB151" s="7">
        <f>IF($D151="","",AA151-Q151)</f>
        <v/>
      </c>
      <c r="AD151">
        <f>IF($D151="","",IF($AP151=1,0,IF($AO151=1,Settings!$C$6,Settings!$C$7))*100)</f>
        <v/>
      </c>
      <c r="AH151" s="7" t="n"/>
      <c r="AK151" s="11" t="n"/>
      <c r="AM151">
        <f>IF($D151="","",IF(COUNTIF($D$2:$D151,$D151)=1,1,0))</f>
        <v/>
      </c>
      <c r="AN151">
        <f>IF($AM151=1,SUMPRODUCT(--($AQ$2:$AQ$1001&lt;$AQ151))+1,"")</f>
        <v/>
      </c>
      <c r="AO151">
        <f>IF($D151="","",IF(OR($U151=TRUE(),$U151="TRUE"),1,0))</f>
        <v/>
      </c>
      <c r="AP151">
        <f>IF($D151="","",IF($AC151="Yes",1,0))</f>
        <v/>
      </c>
      <c r="AQ151">
        <f>IF($AM151=1,IFERROR(VALUE(MID($D151,2,20)),1000000000)+ROW()/100000,"")</f>
        <v/>
      </c>
    </row>
    <row r="152">
      <c r="G152" s="11" t="n"/>
      <c r="Q152" s="7">
        <f>IF($D152="","",P152*Y152/100)</f>
        <v/>
      </c>
      <c r="R152" s="7" t="n"/>
      <c r="X152" s="7" t="n"/>
      <c r="Y152" s="7" t="n"/>
      <c r="Z152" s="7">
        <f>IF($D152="","",Y152*AD152/100)</f>
        <v/>
      </c>
      <c r="AA152" s="7">
        <f>IF($D152="","",Y152-Z152)</f>
        <v/>
      </c>
      <c r="AB152" s="7">
        <f>IF($D152="","",AA152-Q152)</f>
        <v/>
      </c>
      <c r="AD152">
        <f>IF($D152="","",IF($AP152=1,0,IF($AO152=1,Settings!$C$6,Settings!$C$7))*100)</f>
        <v/>
      </c>
      <c r="AH152" s="7" t="n"/>
      <c r="AK152" s="11" t="n"/>
      <c r="AM152">
        <f>IF($D152="","",IF(COUNTIF($D$2:$D152,$D152)=1,1,0))</f>
        <v/>
      </c>
      <c r="AN152">
        <f>IF($AM152=1,SUMPRODUCT(--($AQ$2:$AQ$1001&lt;$AQ152))+1,"")</f>
        <v/>
      </c>
      <c r="AO152">
        <f>IF($D152="","",IF(OR($U152=TRUE(),$U152="TRUE"),1,0))</f>
        <v/>
      </c>
      <c r="AP152">
        <f>IF($D152="","",IF($AC152="Yes",1,0))</f>
        <v/>
      </c>
      <c r="AQ152">
        <f>IF($AM152=1,IFERROR(VALUE(MID($D152,2,20)),1000000000)+ROW()/100000,"")</f>
        <v/>
      </c>
    </row>
    <row r="153">
      <c r="G153" s="11" t="n"/>
      <c r="Q153" s="7">
        <f>IF($D153="","",P153*Y153/100)</f>
        <v/>
      </c>
      <c r="R153" s="7" t="n"/>
      <c r="X153" s="7" t="n"/>
      <c r="Y153" s="7" t="n"/>
      <c r="Z153" s="7">
        <f>IF($D153="","",Y153*AD153/100)</f>
        <v/>
      </c>
      <c r="AA153" s="7">
        <f>IF($D153="","",Y153-Z153)</f>
        <v/>
      </c>
      <c r="AB153" s="7">
        <f>IF($D153="","",AA153-Q153)</f>
        <v/>
      </c>
      <c r="AD153">
        <f>IF($D153="","",IF($AP153=1,0,IF($AO153=1,Settings!$C$6,Settings!$C$7))*100)</f>
        <v/>
      </c>
      <c r="AH153" s="7" t="n"/>
      <c r="AK153" s="11" t="n"/>
      <c r="AM153">
        <f>IF($D153="","",IF(COUNTIF($D$2:$D153,$D153)=1,1,0))</f>
        <v/>
      </c>
      <c r="AN153">
        <f>IF($AM153=1,SUMPRODUCT(--($AQ$2:$AQ$1001&lt;$AQ153))+1,"")</f>
        <v/>
      </c>
      <c r="AO153">
        <f>IF($D153="","",IF(OR($U153=TRUE(),$U153="TRUE"),1,0))</f>
        <v/>
      </c>
      <c r="AP153">
        <f>IF($D153="","",IF($AC153="Yes",1,0))</f>
        <v/>
      </c>
      <c r="AQ153">
        <f>IF($AM153=1,IFERROR(VALUE(MID($D153,2,20)),1000000000)+ROW()/100000,"")</f>
        <v/>
      </c>
    </row>
    <row r="154">
      <c r="G154" s="11" t="n"/>
      <c r="Q154" s="7">
        <f>IF($D154="","",P154*Y154/100)</f>
        <v/>
      </c>
      <c r="R154" s="7" t="n"/>
      <c r="X154" s="7" t="n"/>
      <c r="Y154" s="7" t="n"/>
      <c r="Z154" s="7">
        <f>IF($D154="","",Y154*AD154/100)</f>
        <v/>
      </c>
      <c r="AA154" s="7">
        <f>IF($D154="","",Y154-Z154)</f>
        <v/>
      </c>
      <c r="AB154" s="7">
        <f>IF($D154="","",AA154-Q154)</f>
        <v/>
      </c>
      <c r="AD154">
        <f>IF($D154="","",IF($AP154=1,0,IF($AO154=1,Settings!$C$6,Settings!$C$7))*100)</f>
        <v/>
      </c>
      <c r="AH154" s="7" t="n"/>
      <c r="AK154" s="11" t="n"/>
      <c r="AM154">
        <f>IF($D154="","",IF(COUNTIF($D$2:$D154,$D154)=1,1,0))</f>
        <v/>
      </c>
      <c r="AN154">
        <f>IF($AM154=1,SUMPRODUCT(--($AQ$2:$AQ$1001&lt;$AQ154))+1,"")</f>
        <v/>
      </c>
      <c r="AO154">
        <f>IF($D154="","",IF(OR($U154=TRUE(),$U154="TRUE"),1,0))</f>
        <v/>
      </c>
      <c r="AP154">
        <f>IF($D154="","",IF($AC154="Yes",1,0))</f>
        <v/>
      </c>
      <c r="AQ154">
        <f>IF($AM154=1,IFERROR(VALUE(MID($D154,2,20)),1000000000)+ROW()/100000,"")</f>
        <v/>
      </c>
    </row>
    <row r="155">
      <c r="G155" s="11" t="n"/>
      <c r="Q155" s="7">
        <f>IF($D155="","",P155*Y155/100)</f>
        <v/>
      </c>
      <c r="R155" s="7" t="n"/>
      <c r="X155" s="7" t="n"/>
      <c r="Y155" s="7" t="n"/>
      <c r="Z155" s="7">
        <f>IF($D155="","",Y155*AD155/100)</f>
        <v/>
      </c>
      <c r="AA155" s="7">
        <f>IF($D155="","",Y155-Z155)</f>
        <v/>
      </c>
      <c r="AB155" s="7">
        <f>IF($D155="","",AA155-Q155)</f>
        <v/>
      </c>
      <c r="AD155">
        <f>IF($D155="","",IF($AP155=1,0,IF($AO155=1,Settings!$C$6,Settings!$C$7))*100)</f>
        <v/>
      </c>
      <c r="AH155" s="7" t="n"/>
      <c r="AK155" s="11" t="n"/>
      <c r="AM155">
        <f>IF($D155="","",IF(COUNTIF($D$2:$D155,$D155)=1,1,0))</f>
        <v/>
      </c>
      <c r="AN155">
        <f>IF($AM155=1,SUMPRODUCT(--($AQ$2:$AQ$1001&lt;$AQ155))+1,"")</f>
        <v/>
      </c>
      <c r="AO155">
        <f>IF($D155="","",IF(OR($U155=TRUE(),$U155="TRUE"),1,0))</f>
        <v/>
      </c>
      <c r="AP155">
        <f>IF($D155="","",IF($AC155="Yes",1,0))</f>
        <v/>
      </c>
      <c r="AQ155">
        <f>IF($AM155=1,IFERROR(VALUE(MID($D155,2,20)),1000000000)+ROW()/100000,"")</f>
        <v/>
      </c>
    </row>
    <row r="156">
      <c r="G156" s="11" t="n"/>
      <c r="Q156" s="7">
        <f>IF($D156="","",P156*Y156/100)</f>
        <v/>
      </c>
      <c r="R156" s="7" t="n"/>
      <c r="X156" s="7" t="n"/>
      <c r="Y156" s="7" t="n"/>
      <c r="Z156" s="7">
        <f>IF($D156="","",Y156*AD156/100)</f>
        <v/>
      </c>
      <c r="AA156" s="7">
        <f>IF($D156="","",Y156-Z156)</f>
        <v/>
      </c>
      <c r="AB156" s="7">
        <f>IF($D156="","",AA156-Q156)</f>
        <v/>
      </c>
      <c r="AD156">
        <f>IF($D156="","",IF($AP156=1,0,IF($AO156=1,Settings!$C$6,Settings!$C$7))*100)</f>
        <v/>
      </c>
      <c r="AH156" s="7" t="n"/>
      <c r="AK156" s="11" t="n"/>
      <c r="AM156">
        <f>IF($D156="","",IF(COUNTIF($D$2:$D156,$D156)=1,1,0))</f>
        <v/>
      </c>
      <c r="AN156">
        <f>IF($AM156=1,SUMPRODUCT(--($AQ$2:$AQ$1001&lt;$AQ156))+1,"")</f>
        <v/>
      </c>
      <c r="AO156">
        <f>IF($D156="","",IF(OR($U156=TRUE(),$U156="TRUE"),1,0))</f>
        <v/>
      </c>
      <c r="AP156">
        <f>IF($D156="","",IF($AC156="Yes",1,0))</f>
        <v/>
      </c>
      <c r="AQ156">
        <f>IF($AM156=1,IFERROR(VALUE(MID($D156,2,20)),1000000000)+ROW()/100000,"")</f>
        <v/>
      </c>
    </row>
    <row r="157">
      <c r="G157" s="11" t="n"/>
      <c r="Q157" s="7">
        <f>IF($D157="","",P157*Y157/100)</f>
        <v/>
      </c>
      <c r="R157" s="7" t="n"/>
      <c r="X157" s="7" t="n"/>
      <c r="Y157" s="7" t="n"/>
      <c r="Z157" s="7">
        <f>IF($D157="","",Y157*AD157/100)</f>
        <v/>
      </c>
      <c r="AA157" s="7">
        <f>IF($D157="","",Y157-Z157)</f>
        <v/>
      </c>
      <c r="AB157" s="7">
        <f>IF($D157="","",AA157-Q157)</f>
        <v/>
      </c>
      <c r="AD157">
        <f>IF($D157="","",IF($AP157=1,0,IF($AO157=1,Settings!$C$6,Settings!$C$7))*100)</f>
        <v/>
      </c>
      <c r="AH157" s="7" t="n"/>
      <c r="AK157" s="11" t="n"/>
      <c r="AM157">
        <f>IF($D157="","",IF(COUNTIF($D$2:$D157,$D157)=1,1,0))</f>
        <v/>
      </c>
      <c r="AN157">
        <f>IF($AM157=1,SUMPRODUCT(--($AQ$2:$AQ$1001&lt;$AQ157))+1,"")</f>
        <v/>
      </c>
      <c r="AO157">
        <f>IF($D157="","",IF(OR($U157=TRUE(),$U157="TRUE"),1,0))</f>
        <v/>
      </c>
      <c r="AP157">
        <f>IF($D157="","",IF($AC157="Yes",1,0))</f>
        <v/>
      </c>
      <c r="AQ157">
        <f>IF($AM157=1,IFERROR(VALUE(MID($D157,2,20)),1000000000)+ROW()/100000,"")</f>
        <v/>
      </c>
    </row>
    <row r="158">
      <c r="G158" s="11" t="n"/>
      <c r="Q158" s="7">
        <f>IF($D158="","",P158*Y158/100)</f>
        <v/>
      </c>
      <c r="R158" s="7" t="n"/>
      <c r="X158" s="7" t="n"/>
      <c r="Y158" s="7" t="n"/>
      <c r="Z158" s="7">
        <f>IF($D158="","",Y158*AD158/100)</f>
        <v/>
      </c>
      <c r="AA158" s="7">
        <f>IF($D158="","",Y158-Z158)</f>
        <v/>
      </c>
      <c r="AB158" s="7">
        <f>IF($D158="","",AA158-Q158)</f>
        <v/>
      </c>
      <c r="AD158">
        <f>IF($D158="","",IF($AP158=1,0,IF($AO158=1,Settings!$C$6,Settings!$C$7))*100)</f>
        <v/>
      </c>
      <c r="AH158" s="7" t="n"/>
      <c r="AK158" s="11" t="n"/>
      <c r="AM158">
        <f>IF($D158="","",IF(COUNTIF($D$2:$D158,$D158)=1,1,0))</f>
        <v/>
      </c>
      <c r="AN158">
        <f>IF($AM158=1,SUMPRODUCT(--($AQ$2:$AQ$1001&lt;$AQ158))+1,"")</f>
        <v/>
      </c>
      <c r="AO158">
        <f>IF($D158="","",IF(OR($U158=TRUE(),$U158="TRUE"),1,0))</f>
        <v/>
      </c>
      <c r="AP158">
        <f>IF($D158="","",IF($AC158="Yes",1,0))</f>
        <v/>
      </c>
      <c r="AQ158">
        <f>IF($AM158=1,IFERROR(VALUE(MID($D158,2,20)),1000000000)+ROW()/100000,"")</f>
        <v/>
      </c>
    </row>
    <row r="159">
      <c r="G159" s="11" t="n"/>
      <c r="Q159" s="7">
        <f>IF($D159="","",P159*Y159/100)</f>
        <v/>
      </c>
      <c r="R159" s="7" t="n"/>
      <c r="X159" s="7" t="n"/>
      <c r="Y159" s="7" t="n"/>
      <c r="Z159" s="7">
        <f>IF($D159="","",Y159*AD159/100)</f>
        <v/>
      </c>
      <c r="AA159" s="7">
        <f>IF($D159="","",Y159-Z159)</f>
        <v/>
      </c>
      <c r="AB159" s="7">
        <f>IF($D159="","",AA159-Q159)</f>
        <v/>
      </c>
      <c r="AD159">
        <f>IF($D159="","",IF($AP159=1,0,IF($AO159=1,Settings!$C$6,Settings!$C$7))*100)</f>
        <v/>
      </c>
      <c r="AH159" s="7" t="n"/>
      <c r="AK159" s="11" t="n"/>
      <c r="AM159">
        <f>IF($D159="","",IF(COUNTIF($D$2:$D159,$D159)=1,1,0))</f>
        <v/>
      </c>
      <c r="AN159">
        <f>IF($AM159=1,SUMPRODUCT(--($AQ$2:$AQ$1001&lt;$AQ159))+1,"")</f>
        <v/>
      </c>
      <c r="AO159">
        <f>IF($D159="","",IF(OR($U159=TRUE(),$U159="TRUE"),1,0))</f>
        <v/>
      </c>
      <c r="AP159">
        <f>IF($D159="","",IF($AC159="Yes",1,0))</f>
        <v/>
      </c>
      <c r="AQ159">
        <f>IF($AM159=1,IFERROR(VALUE(MID($D159,2,20)),1000000000)+ROW()/100000,"")</f>
        <v/>
      </c>
    </row>
    <row r="160">
      <c r="G160" s="11" t="n"/>
      <c r="Q160" s="7">
        <f>IF($D160="","",P160*Y160/100)</f>
        <v/>
      </c>
      <c r="R160" s="7" t="n"/>
      <c r="X160" s="7" t="n"/>
      <c r="Y160" s="7" t="n"/>
      <c r="Z160" s="7">
        <f>IF($D160="","",Y160*AD160/100)</f>
        <v/>
      </c>
      <c r="AA160" s="7">
        <f>IF($D160="","",Y160-Z160)</f>
        <v/>
      </c>
      <c r="AB160" s="7">
        <f>IF($D160="","",AA160-Q160)</f>
        <v/>
      </c>
      <c r="AD160">
        <f>IF($D160="","",IF($AP160=1,0,IF($AO160=1,Settings!$C$6,Settings!$C$7))*100)</f>
        <v/>
      </c>
      <c r="AH160" s="7" t="n"/>
      <c r="AK160" s="11" t="n"/>
      <c r="AM160">
        <f>IF($D160="","",IF(COUNTIF($D$2:$D160,$D160)=1,1,0))</f>
        <v/>
      </c>
      <c r="AN160">
        <f>IF($AM160=1,SUMPRODUCT(--($AQ$2:$AQ$1001&lt;$AQ160))+1,"")</f>
        <v/>
      </c>
      <c r="AO160">
        <f>IF($D160="","",IF(OR($U160=TRUE(),$U160="TRUE"),1,0))</f>
        <v/>
      </c>
      <c r="AP160">
        <f>IF($D160="","",IF($AC160="Yes",1,0))</f>
        <v/>
      </c>
      <c r="AQ160">
        <f>IF($AM160=1,IFERROR(VALUE(MID($D160,2,20)),1000000000)+ROW()/100000,"")</f>
        <v/>
      </c>
    </row>
    <row r="161">
      <c r="G161" s="11" t="n"/>
      <c r="Q161" s="7">
        <f>IF($D161="","",P161*Y161/100)</f>
        <v/>
      </c>
      <c r="R161" s="7" t="n"/>
      <c r="X161" s="7" t="n"/>
      <c r="Y161" s="7" t="n"/>
      <c r="Z161" s="7">
        <f>IF($D161="","",Y161*AD161/100)</f>
        <v/>
      </c>
      <c r="AA161" s="7">
        <f>IF($D161="","",Y161-Z161)</f>
        <v/>
      </c>
      <c r="AB161" s="7">
        <f>IF($D161="","",AA161-Q161)</f>
        <v/>
      </c>
      <c r="AD161">
        <f>IF($D161="","",IF($AP161=1,0,IF($AO161=1,Settings!$C$6,Settings!$C$7))*100)</f>
        <v/>
      </c>
      <c r="AH161" s="7" t="n"/>
      <c r="AK161" s="11" t="n"/>
      <c r="AM161">
        <f>IF($D161="","",IF(COUNTIF($D$2:$D161,$D161)=1,1,0))</f>
        <v/>
      </c>
      <c r="AN161">
        <f>IF($AM161=1,SUMPRODUCT(--($AQ$2:$AQ$1001&lt;$AQ161))+1,"")</f>
        <v/>
      </c>
      <c r="AO161">
        <f>IF($D161="","",IF(OR($U161=TRUE(),$U161="TRUE"),1,0))</f>
        <v/>
      </c>
      <c r="AP161">
        <f>IF($D161="","",IF($AC161="Yes",1,0))</f>
        <v/>
      </c>
      <c r="AQ161">
        <f>IF($AM161=1,IFERROR(VALUE(MID($D161,2,20)),1000000000)+ROW()/100000,"")</f>
        <v/>
      </c>
    </row>
    <row r="162">
      <c r="G162" s="11" t="n"/>
      <c r="Q162" s="7">
        <f>IF($D162="","",P162*Y162/100)</f>
        <v/>
      </c>
      <c r="R162" s="7" t="n"/>
      <c r="X162" s="7" t="n"/>
      <c r="Y162" s="7" t="n"/>
      <c r="Z162" s="7">
        <f>IF($D162="","",Y162*AD162/100)</f>
        <v/>
      </c>
      <c r="AA162" s="7">
        <f>IF($D162="","",Y162-Z162)</f>
        <v/>
      </c>
      <c r="AB162" s="7">
        <f>IF($D162="","",AA162-Q162)</f>
        <v/>
      </c>
      <c r="AD162">
        <f>IF($D162="","",IF($AP162=1,0,IF($AO162=1,Settings!$C$6,Settings!$C$7))*100)</f>
        <v/>
      </c>
      <c r="AH162" s="7" t="n"/>
      <c r="AK162" s="11" t="n"/>
      <c r="AM162">
        <f>IF($D162="","",IF(COUNTIF($D$2:$D162,$D162)=1,1,0))</f>
        <v/>
      </c>
      <c r="AN162">
        <f>IF($AM162=1,SUMPRODUCT(--($AQ$2:$AQ$1001&lt;$AQ162))+1,"")</f>
        <v/>
      </c>
      <c r="AO162">
        <f>IF($D162="","",IF(OR($U162=TRUE(),$U162="TRUE"),1,0))</f>
        <v/>
      </c>
      <c r="AP162">
        <f>IF($D162="","",IF($AC162="Yes",1,0))</f>
        <v/>
      </c>
      <c r="AQ162">
        <f>IF($AM162=1,IFERROR(VALUE(MID($D162,2,20)),1000000000)+ROW()/100000,"")</f>
        <v/>
      </c>
    </row>
    <row r="163">
      <c r="G163" s="11" t="n"/>
      <c r="Q163" s="7">
        <f>IF($D163="","",P163*Y163/100)</f>
        <v/>
      </c>
      <c r="R163" s="7" t="n"/>
      <c r="X163" s="7" t="n"/>
      <c r="Y163" s="7" t="n"/>
      <c r="Z163" s="7">
        <f>IF($D163="","",Y163*AD163/100)</f>
        <v/>
      </c>
      <c r="AA163" s="7">
        <f>IF($D163="","",Y163-Z163)</f>
        <v/>
      </c>
      <c r="AB163" s="7">
        <f>IF($D163="","",AA163-Q163)</f>
        <v/>
      </c>
      <c r="AD163">
        <f>IF($D163="","",IF($AP163=1,0,IF($AO163=1,Settings!$C$6,Settings!$C$7))*100)</f>
        <v/>
      </c>
      <c r="AH163" s="7" t="n"/>
      <c r="AK163" s="11" t="n"/>
      <c r="AM163">
        <f>IF($D163="","",IF(COUNTIF($D$2:$D163,$D163)=1,1,0))</f>
        <v/>
      </c>
      <c r="AN163">
        <f>IF($AM163=1,SUMPRODUCT(--($AQ$2:$AQ$1001&lt;$AQ163))+1,"")</f>
        <v/>
      </c>
      <c r="AO163">
        <f>IF($D163="","",IF(OR($U163=TRUE(),$U163="TRUE"),1,0))</f>
        <v/>
      </c>
      <c r="AP163">
        <f>IF($D163="","",IF($AC163="Yes",1,0))</f>
        <v/>
      </c>
      <c r="AQ163">
        <f>IF($AM163=1,IFERROR(VALUE(MID($D163,2,20)),1000000000)+ROW()/100000,"")</f>
        <v/>
      </c>
    </row>
    <row r="164">
      <c r="G164" s="11" t="n"/>
      <c r="Q164" s="7">
        <f>IF($D164="","",P164*Y164/100)</f>
        <v/>
      </c>
      <c r="R164" s="7" t="n"/>
      <c r="X164" s="7" t="n"/>
      <c r="Y164" s="7" t="n"/>
      <c r="Z164" s="7">
        <f>IF($D164="","",Y164*AD164/100)</f>
        <v/>
      </c>
      <c r="AA164" s="7">
        <f>IF($D164="","",Y164-Z164)</f>
        <v/>
      </c>
      <c r="AB164" s="7">
        <f>IF($D164="","",AA164-Q164)</f>
        <v/>
      </c>
      <c r="AD164">
        <f>IF($D164="","",IF($AP164=1,0,IF($AO164=1,Settings!$C$6,Settings!$C$7))*100)</f>
        <v/>
      </c>
      <c r="AH164" s="7" t="n"/>
      <c r="AK164" s="11" t="n"/>
      <c r="AM164">
        <f>IF($D164="","",IF(COUNTIF($D$2:$D164,$D164)=1,1,0))</f>
        <v/>
      </c>
      <c r="AN164">
        <f>IF($AM164=1,SUMPRODUCT(--($AQ$2:$AQ$1001&lt;$AQ164))+1,"")</f>
        <v/>
      </c>
      <c r="AO164">
        <f>IF($D164="","",IF(OR($U164=TRUE(),$U164="TRUE"),1,0))</f>
        <v/>
      </c>
      <c r="AP164">
        <f>IF($D164="","",IF($AC164="Yes",1,0))</f>
        <v/>
      </c>
      <c r="AQ164">
        <f>IF($AM164=1,IFERROR(VALUE(MID($D164,2,20)),1000000000)+ROW()/100000,"")</f>
        <v/>
      </c>
    </row>
    <row r="165">
      <c r="G165" s="11" t="n"/>
      <c r="Q165" s="7">
        <f>IF($D165="","",P165*Y165/100)</f>
        <v/>
      </c>
      <c r="R165" s="7" t="n"/>
      <c r="X165" s="7" t="n"/>
      <c r="Y165" s="7" t="n"/>
      <c r="Z165" s="7">
        <f>IF($D165="","",Y165*AD165/100)</f>
        <v/>
      </c>
      <c r="AA165" s="7">
        <f>IF($D165="","",Y165-Z165)</f>
        <v/>
      </c>
      <c r="AB165" s="7">
        <f>IF($D165="","",AA165-Q165)</f>
        <v/>
      </c>
      <c r="AD165">
        <f>IF($D165="","",IF($AP165=1,0,IF($AO165=1,Settings!$C$6,Settings!$C$7))*100)</f>
        <v/>
      </c>
      <c r="AH165" s="7" t="n"/>
      <c r="AK165" s="11" t="n"/>
      <c r="AM165">
        <f>IF($D165="","",IF(COUNTIF($D$2:$D165,$D165)=1,1,0))</f>
        <v/>
      </c>
      <c r="AN165">
        <f>IF($AM165=1,SUMPRODUCT(--($AQ$2:$AQ$1001&lt;$AQ165))+1,"")</f>
        <v/>
      </c>
      <c r="AO165">
        <f>IF($D165="","",IF(OR($U165=TRUE(),$U165="TRUE"),1,0))</f>
        <v/>
      </c>
      <c r="AP165">
        <f>IF($D165="","",IF($AC165="Yes",1,0))</f>
        <v/>
      </c>
      <c r="AQ165">
        <f>IF($AM165=1,IFERROR(VALUE(MID($D165,2,20)),1000000000)+ROW()/100000,"")</f>
        <v/>
      </c>
    </row>
    <row r="166">
      <c r="G166" s="11" t="n"/>
      <c r="Q166" s="7">
        <f>IF($D166="","",P166*Y166/100)</f>
        <v/>
      </c>
      <c r="R166" s="7" t="n"/>
      <c r="X166" s="7" t="n"/>
      <c r="Y166" s="7" t="n"/>
      <c r="Z166" s="7">
        <f>IF($D166="","",Y166*AD166/100)</f>
        <v/>
      </c>
      <c r="AA166" s="7">
        <f>IF($D166="","",Y166-Z166)</f>
        <v/>
      </c>
      <c r="AB166" s="7">
        <f>IF($D166="","",AA166-Q166)</f>
        <v/>
      </c>
      <c r="AD166">
        <f>IF($D166="","",IF($AP166=1,0,IF($AO166=1,Settings!$C$6,Settings!$C$7))*100)</f>
        <v/>
      </c>
      <c r="AH166" s="7" t="n"/>
      <c r="AK166" s="11" t="n"/>
      <c r="AM166">
        <f>IF($D166="","",IF(COUNTIF($D$2:$D166,$D166)=1,1,0))</f>
        <v/>
      </c>
      <c r="AN166">
        <f>IF($AM166=1,SUMPRODUCT(--($AQ$2:$AQ$1001&lt;$AQ166))+1,"")</f>
        <v/>
      </c>
      <c r="AO166">
        <f>IF($D166="","",IF(OR($U166=TRUE(),$U166="TRUE"),1,0))</f>
        <v/>
      </c>
      <c r="AP166">
        <f>IF($D166="","",IF($AC166="Yes",1,0))</f>
        <v/>
      </c>
      <c r="AQ166">
        <f>IF($AM166=1,IFERROR(VALUE(MID($D166,2,20)),1000000000)+ROW()/100000,"")</f>
        <v/>
      </c>
    </row>
    <row r="167">
      <c r="G167" s="11" t="n"/>
      <c r="Q167" s="7">
        <f>IF($D167="","",P167*Y167/100)</f>
        <v/>
      </c>
      <c r="R167" s="7" t="n"/>
      <c r="X167" s="7" t="n"/>
      <c r="Y167" s="7" t="n"/>
      <c r="Z167" s="7">
        <f>IF($D167="","",Y167*AD167/100)</f>
        <v/>
      </c>
      <c r="AA167" s="7">
        <f>IF($D167="","",Y167-Z167)</f>
        <v/>
      </c>
      <c r="AB167" s="7">
        <f>IF($D167="","",AA167-Q167)</f>
        <v/>
      </c>
      <c r="AD167">
        <f>IF($D167="","",IF($AP167=1,0,IF($AO167=1,Settings!$C$6,Settings!$C$7))*100)</f>
        <v/>
      </c>
      <c r="AH167" s="7" t="n"/>
      <c r="AK167" s="11" t="n"/>
      <c r="AM167">
        <f>IF($D167="","",IF(COUNTIF($D$2:$D167,$D167)=1,1,0))</f>
        <v/>
      </c>
      <c r="AN167">
        <f>IF($AM167=1,SUMPRODUCT(--($AQ$2:$AQ$1001&lt;$AQ167))+1,"")</f>
        <v/>
      </c>
      <c r="AO167">
        <f>IF($D167="","",IF(OR($U167=TRUE(),$U167="TRUE"),1,0))</f>
        <v/>
      </c>
      <c r="AP167">
        <f>IF($D167="","",IF($AC167="Yes",1,0))</f>
        <v/>
      </c>
      <c r="AQ167">
        <f>IF($AM167=1,IFERROR(VALUE(MID($D167,2,20)),1000000000)+ROW()/100000,"")</f>
        <v/>
      </c>
    </row>
    <row r="168">
      <c r="G168" s="11" t="n"/>
      <c r="Q168" s="7">
        <f>IF($D168="","",P168*Y168/100)</f>
        <v/>
      </c>
      <c r="R168" s="7" t="n"/>
      <c r="X168" s="7" t="n"/>
      <c r="Y168" s="7" t="n"/>
      <c r="Z168" s="7">
        <f>IF($D168="","",Y168*AD168/100)</f>
        <v/>
      </c>
      <c r="AA168" s="7">
        <f>IF($D168="","",Y168-Z168)</f>
        <v/>
      </c>
      <c r="AB168" s="7">
        <f>IF($D168="","",AA168-Q168)</f>
        <v/>
      </c>
      <c r="AD168">
        <f>IF($D168="","",IF($AP168=1,0,IF($AO168=1,Settings!$C$6,Settings!$C$7))*100)</f>
        <v/>
      </c>
      <c r="AH168" s="7" t="n"/>
      <c r="AK168" s="11" t="n"/>
      <c r="AM168">
        <f>IF($D168="","",IF(COUNTIF($D$2:$D168,$D168)=1,1,0))</f>
        <v/>
      </c>
      <c r="AN168">
        <f>IF($AM168=1,SUMPRODUCT(--($AQ$2:$AQ$1001&lt;$AQ168))+1,"")</f>
        <v/>
      </c>
      <c r="AO168">
        <f>IF($D168="","",IF(OR($U168=TRUE(),$U168="TRUE"),1,0))</f>
        <v/>
      </c>
      <c r="AP168">
        <f>IF($D168="","",IF($AC168="Yes",1,0))</f>
        <v/>
      </c>
      <c r="AQ168">
        <f>IF($AM168=1,IFERROR(VALUE(MID($D168,2,20)),1000000000)+ROW()/100000,"")</f>
        <v/>
      </c>
    </row>
    <row r="169">
      <c r="G169" s="11" t="n"/>
      <c r="Q169" s="7">
        <f>IF($D169="","",P169*Y169/100)</f>
        <v/>
      </c>
      <c r="R169" s="7" t="n"/>
      <c r="X169" s="7" t="n"/>
      <c r="Y169" s="7" t="n"/>
      <c r="Z169" s="7">
        <f>IF($D169="","",Y169*AD169/100)</f>
        <v/>
      </c>
      <c r="AA169" s="7">
        <f>IF($D169="","",Y169-Z169)</f>
        <v/>
      </c>
      <c r="AB169" s="7">
        <f>IF($D169="","",AA169-Q169)</f>
        <v/>
      </c>
      <c r="AD169">
        <f>IF($D169="","",IF($AP169=1,0,IF($AO169=1,Settings!$C$6,Settings!$C$7))*100)</f>
        <v/>
      </c>
      <c r="AH169" s="7" t="n"/>
      <c r="AK169" s="11" t="n"/>
      <c r="AM169">
        <f>IF($D169="","",IF(COUNTIF($D$2:$D169,$D169)=1,1,0))</f>
        <v/>
      </c>
      <c r="AN169">
        <f>IF($AM169=1,SUMPRODUCT(--($AQ$2:$AQ$1001&lt;$AQ169))+1,"")</f>
        <v/>
      </c>
      <c r="AO169">
        <f>IF($D169="","",IF(OR($U169=TRUE(),$U169="TRUE"),1,0))</f>
        <v/>
      </c>
      <c r="AP169">
        <f>IF($D169="","",IF($AC169="Yes",1,0))</f>
        <v/>
      </c>
      <c r="AQ169">
        <f>IF($AM169=1,IFERROR(VALUE(MID($D169,2,20)),1000000000)+ROW()/100000,"")</f>
        <v/>
      </c>
    </row>
    <row r="170">
      <c r="G170" s="11" t="n"/>
      <c r="Q170" s="7">
        <f>IF($D170="","",P170*Y170/100)</f>
        <v/>
      </c>
      <c r="R170" s="7" t="n"/>
      <c r="X170" s="7" t="n"/>
      <c r="Y170" s="7" t="n"/>
      <c r="Z170" s="7">
        <f>IF($D170="","",Y170*AD170/100)</f>
        <v/>
      </c>
      <c r="AA170" s="7">
        <f>IF($D170="","",Y170-Z170)</f>
        <v/>
      </c>
      <c r="AB170" s="7">
        <f>IF($D170="","",AA170-Q170)</f>
        <v/>
      </c>
      <c r="AD170">
        <f>IF($D170="","",IF($AP170=1,0,IF($AO170=1,Settings!$C$6,Settings!$C$7))*100)</f>
        <v/>
      </c>
      <c r="AH170" s="7" t="n"/>
      <c r="AK170" s="11" t="n"/>
      <c r="AM170">
        <f>IF($D170="","",IF(COUNTIF($D$2:$D170,$D170)=1,1,0))</f>
        <v/>
      </c>
      <c r="AN170">
        <f>IF($AM170=1,SUMPRODUCT(--($AQ$2:$AQ$1001&lt;$AQ170))+1,"")</f>
        <v/>
      </c>
      <c r="AO170">
        <f>IF($D170="","",IF(OR($U170=TRUE(),$U170="TRUE"),1,0))</f>
        <v/>
      </c>
      <c r="AP170">
        <f>IF($D170="","",IF($AC170="Yes",1,0))</f>
        <v/>
      </c>
      <c r="AQ170">
        <f>IF($AM170=1,IFERROR(VALUE(MID($D170,2,20)),1000000000)+ROW()/100000,"")</f>
        <v/>
      </c>
    </row>
    <row r="171">
      <c r="G171" s="11" t="n"/>
      <c r="Q171" s="7">
        <f>IF($D171="","",P171*Y171/100)</f>
        <v/>
      </c>
      <c r="R171" s="7" t="n"/>
      <c r="X171" s="7" t="n"/>
      <c r="Y171" s="7" t="n"/>
      <c r="Z171" s="7">
        <f>IF($D171="","",Y171*AD171/100)</f>
        <v/>
      </c>
      <c r="AA171" s="7">
        <f>IF($D171="","",Y171-Z171)</f>
        <v/>
      </c>
      <c r="AB171" s="7">
        <f>IF($D171="","",AA171-Q171)</f>
        <v/>
      </c>
      <c r="AD171">
        <f>IF($D171="","",IF($AP171=1,0,IF($AO171=1,Settings!$C$6,Settings!$C$7))*100)</f>
        <v/>
      </c>
      <c r="AH171" s="7" t="n"/>
      <c r="AK171" s="11" t="n"/>
      <c r="AM171">
        <f>IF($D171="","",IF(COUNTIF($D$2:$D171,$D171)=1,1,0))</f>
        <v/>
      </c>
      <c r="AN171">
        <f>IF($AM171=1,SUMPRODUCT(--($AQ$2:$AQ$1001&lt;$AQ171))+1,"")</f>
        <v/>
      </c>
      <c r="AO171">
        <f>IF($D171="","",IF(OR($U171=TRUE(),$U171="TRUE"),1,0))</f>
        <v/>
      </c>
      <c r="AP171">
        <f>IF($D171="","",IF($AC171="Yes",1,0))</f>
        <v/>
      </c>
      <c r="AQ171">
        <f>IF($AM171=1,IFERROR(VALUE(MID($D171,2,20)),1000000000)+ROW()/100000,"")</f>
        <v/>
      </c>
    </row>
    <row r="172">
      <c r="G172" s="11" t="n"/>
      <c r="Q172" s="7">
        <f>IF($D172="","",P172*Y172/100)</f>
        <v/>
      </c>
      <c r="R172" s="7" t="n"/>
      <c r="X172" s="7" t="n"/>
      <c r="Y172" s="7" t="n"/>
      <c r="Z172" s="7">
        <f>IF($D172="","",Y172*AD172/100)</f>
        <v/>
      </c>
      <c r="AA172" s="7">
        <f>IF($D172="","",Y172-Z172)</f>
        <v/>
      </c>
      <c r="AB172" s="7">
        <f>IF($D172="","",AA172-Q172)</f>
        <v/>
      </c>
      <c r="AD172">
        <f>IF($D172="","",IF($AP172=1,0,IF($AO172=1,Settings!$C$6,Settings!$C$7))*100)</f>
        <v/>
      </c>
      <c r="AH172" s="7" t="n"/>
      <c r="AK172" s="11" t="n"/>
      <c r="AM172">
        <f>IF($D172="","",IF(COUNTIF($D$2:$D172,$D172)=1,1,0))</f>
        <v/>
      </c>
      <c r="AN172">
        <f>IF($AM172=1,SUMPRODUCT(--($AQ$2:$AQ$1001&lt;$AQ172))+1,"")</f>
        <v/>
      </c>
      <c r="AO172">
        <f>IF($D172="","",IF(OR($U172=TRUE(),$U172="TRUE"),1,0))</f>
        <v/>
      </c>
      <c r="AP172">
        <f>IF($D172="","",IF($AC172="Yes",1,0))</f>
        <v/>
      </c>
      <c r="AQ172">
        <f>IF($AM172=1,IFERROR(VALUE(MID($D172,2,20)),1000000000)+ROW()/100000,"")</f>
        <v/>
      </c>
    </row>
    <row r="173">
      <c r="G173" s="11" t="n"/>
      <c r="Q173" s="7">
        <f>IF($D173="","",P173*Y173/100)</f>
        <v/>
      </c>
      <c r="R173" s="7" t="n"/>
      <c r="X173" s="7" t="n"/>
      <c r="Y173" s="7" t="n"/>
      <c r="Z173" s="7">
        <f>IF($D173="","",Y173*AD173/100)</f>
        <v/>
      </c>
      <c r="AA173" s="7">
        <f>IF($D173="","",Y173-Z173)</f>
        <v/>
      </c>
      <c r="AB173" s="7">
        <f>IF($D173="","",AA173-Q173)</f>
        <v/>
      </c>
      <c r="AD173">
        <f>IF($D173="","",IF($AP173=1,0,IF($AO173=1,Settings!$C$6,Settings!$C$7))*100)</f>
        <v/>
      </c>
      <c r="AH173" s="7" t="n"/>
      <c r="AK173" s="11" t="n"/>
      <c r="AM173">
        <f>IF($D173="","",IF(COUNTIF($D$2:$D173,$D173)=1,1,0))</f>
        <v/>
      </c>
      <c r="AN173">
        <f>IF($AM173=1,SUMPRODUCT(--($AQ$2:$AQ$1001&lt;$AQ173))+1,"")</f>
        <v/>
      </c>
      <c r="AO173">
        <f>IF($D173="","",IF(OR($U173=TRUE(),$U173="TRUE"),1,0))</f>
        <v/>
      </c>
      <c r="AP173">
        <f>IF($D173="","",IF($AC173="Yes",1,0))</f>
        <v/>
      </c>
      <c r="AQ173">
        <f>IF($AM173=1,IFERROR(VALUE(MID($D173,2,20)),1000000000)+ROW()/100000,"")</f>
        <v/>
      </c>
    </row>
    <row r="174">
      <c r="G174" s="11" t="n"/>
      <c r="Q174" s="7">
        <f>IF($D174="","",P174*Y174/100)</f>
        <v/>
      </c>
      <c r="R174" s="7" t="n"/>
      <c r="X174" s="7" t="n"/>
      <c r="Y174" s="7" t="n"/>
      <c r="Z174" s="7">
        <f>IF($D174="","",Y174*AD174/100)</f>
        <v/>
      </c>
      <c r="AA174" s="7">
        <f>IF($D174="","",Y174-Z174)</f>
        <v/>
      </c>
      <c r="AB174" s="7">
        <f>IF($D174="","",AA174-Q174)</f>
        <v/>
      </c>
      <c r="AD174">
        <f>IF($D174="","",IF($AP174=1,0,IF($AO174=1,Settings!$C$6,Settings!$C$7))*100)</f>
        <v/>
      </c>
      <c r="AH174" s="7" t="n"/>
      <c r="AK174" s="11" t="n"/>
      <c r="AM174">
        <f>IF($D174="","",IF(COUNTIF($D$2:$D174,$D174)=1,1,0))</f>
        <v/>
      </c>
      <c r="AN174">
        <f>IF($AM174=1,SUMPRODUCT(--($AQ$2:$AQ$1001&lt;$AQ174))+1,"")</f>
        <v/>
      </c>
      <c r="AO174">
        <f>IF($D174="","",IF(OR($U174=TRUE(),$U174="TRUE"),1,0))</f>
        <v/>
      </c>
      <c r="AP174">
        <f>IF($D174="","",IF($AC174="Yes",1,0))</f>
        <v/>
      </c>
      <c r="AQ174">
        <f>IF($AM174=1,IFERROR(VALUE(MID($D174,2,20)),1000000000)+ROW()/100000,"")</f>
        <v/>
      </c>
    </row>
    <row r="175">
      <c r="G175" s="11" t="n"/>
      <c r="Q175" s="7">
        <f>IF($D175="","",P175*Y175/100)</f>
        <v/>
      </c>
      <c r="R175" s="7" t="n"/>
      <c r="X175" s="7" t="n"/>
      <c r="Y175" s="7" t="n"/>
      <c r="Z175" s="7">
        <f>IF($D175="","",Y175*AD175/100)</f>
        <v/>
      </c>
      <c r="AA175" s="7">
        <f>IF($D175="","",Y175-Z175)</f>
        <v/>
      </c>
      <c r="AB175" s="7">
        <f>IF($D175="","",AA175-Q175)</f>
        <v/>
      </c>
      <c r="AD175">
        <f>IF($D175="","",IF($AP175=1,0,IF($AO175=1,Settings!$C$6,Settings!$C$7))*100)</f>
        <v/>
      </c>
      <c r="AH175" s="7" t="n"/>
      <c r="AK175" s="11" t="n"/>
      <c r="AM175">
        <f>IF($D175="","",IF(COUNTIF($D$2:$D175,$D175)=1,1,0))</f>
        <v/>
      </c>
      <c r="AN175">
        <f>IF($AM175=1,SUMPRODUCT(--($AQ$2:$AQ$1001&lt;$AQ175))+1,"")</f>
        <v/>
      </c>
      <c r="AO175">
        <f>IF($D175="","",IF(OR($U175=TRUE(),$U175="TRUE"),1,0))</f>
        <v/>
      </c>
      <c r="AP175">
        <f>IF($D175="","",IF($AC175="Yes",1,0))</f>
        <v/>
      </c>
      <c r="AQ175">
        <f>IF($AM175=1,IFERROR(VALUE(MID($D175,2,20)),1000000000)+ROW()/100000,"")</f>
        <v/>
      </c>
    </row>
    <row r="176">
      <c r="G176" s="11" t="n"/>
      <c r="Q176" s="7">
        <f>IF($D176="","",P176*Y176/100)</f>
        <v/>
      </c>
      <c r="R176" s="7" t="n"/>
      <c r="X176" s="7" t="n"/>
      <c r="Y176" s="7" t="n"/>
      <c r="Z176" s="7">
        <f>IF($D176="","",Y176*AD176/100)</f>
        <v/>
      </c>
      <c r="AA176" s="7">
        <f>IF($D176="","",Y176-Z176)</f>
        <v/>
      </c>
      <c r="AB176" s="7">
        <f>IF($D176="","",AA176-Q176)</f>
        <v/>
      </c>
      <c r="AD176">
        <f>IF($D176="","",IF($AP176=1,0,IF($AO176=1,Settings!$C$6,Settings!$C$7))*100)</f>
        <v/>
      </c>
      <c r="AH176" s="7" t="n"/>
      <c r="AK176" s="11" t="n"/>
      <c r="AM176">
        <f>IF($D176="","",IF(COUNTIF($D$2:$D176,$D176)=1,1,0))</f>
        <v/>
      </c>
      <c r="AN176">
        <f>IF($AM176=1,SUMPRODUCT(--($AQ$2:$AQ$1001&lt;$AQ176))+1,"")</f>
        <v/>
      </c>
      <c r="AO176">
        <f>IF($D176="","",IF(OR($U176=TRUE(),$U176="TRUE"),1,0))</f>
        <v/>
      </c>
      <c r="AP176">
        <f>IF($D176="","",IF($AC176="Yes",1,0))</f>
        <v/>
      </c>
      <c r="AQ176">
        <f>IF($AM176=1,IFERROR(VALUE(MID($D176,2,20)),1000000000)+ROW()/100000,"")</f>
        <v/>
      </c>
    </row>
    <row r="177">
      <c r="G177" s="11" t="n"/>
      <c r="Q177" s="7">
        <f>IF($D177="","",P177*Y177/100)</f>
        <v/>
      </c>
      <c r="R177" s="7" t="n"/>
      <c r="X177" s="7" t="n"/>
      <c r="Y177" s="7" t="n"/>
      <c r="Z177" s="7">
        <f>IF($D177="","",Y177*AD177/100)</f>
        <v/>
      </c>
      <c r="AA177" s="7">
        <f>IF($D177="","",Y177-Z177)</f>
        <v/>
      </c>
      <c r="AB177" s="7">
        <f>IF($D177="","",AA177-Q177)</f>
        <v/>
      </c>
      <c r="AD177">
        <f>IF($D177="","",IF($AP177=1,0,IF($AO177=1,Settings!$C$6,Settings!$C$7))*100)</f>
        <v/>
      </c>
      <c r="AH177" s="7" t="n"/>
      <c r="AK177" s="11" t="n"/>
      <c r="AM177">
        <f>IF($D177="","",IF(COUNTIF($D$2:$D177,$D177)=1,1,0))</f>
        <v/>
      </c>
      <c r="AN177">
        <f>IF($AM177=1,SUMPRODUCT(--($AQ$2:$AQ$1001&lt;$AQ177))+1,"")</f>
        <v/>
      </c>
      <c r="AO177">
        <f>IF($D177="","",IF(OR($U177=TRUE(),$U177="TRUE"),1,0))</f>
        <v/>
      </c>
      <c r="AP177">
        <f>IF($D177="","",IF($AC177="Yes",1,0))</f>
        <v/>
      </c>
      <c r="AQ177">
        <f>IF($AM177=1,IFERROR(VALUE(MID($D177,2,20)),1000000000)+ROW()/100000,"")</f>
        <v/>
      </c>
    </row>
    <row r="178">
      <c r="G178" s="11" t="n"/>
      <c r="Q178" s="7">
        <f>IF($D178="","",P178*Y178/100)</f>
        <v/>
      </c>
      <c r="R178" s="7" t="n"/>
      <c r="X178" s="7" t="n"/>
      <c r="Y178" s="7" t="n"/>
      <c r="Z178" s="7">
        <f>IF($D178="","",Y178*AD178/100)</f>
        <v/>
      </c>
      <c r="AA178" s="7">
        <f>IF($D178="","",Y178-Z178)</f>
        <v/>
      </c>
      <c r="AB178" s="7">
        <f>IF($D178="","",AA178-Q178)</f>
        <v/>
      </c>
      <c r="AD178">
        <f>IF($D178="","",IF($AP178=1,0,IF($AO178=1,Settings!$C$6,Settings!$C$7))*100)</f>
        <v/>
      </c>
      <c r="AH178" s="7" t="n"/>
      <c r="AK178" s="11" t="n"/>
      <c r="AM178">
        <f>IF($D178="","",IF(COUNTIF($D$2:$D178,$D178)=1,1,0))</f>
        <v/>
      </c>
      <c r="AN178">
        <f>IF($AM178=1,SUMPRODUCT(--($AQ$2:$AQ$1001&lt;$AQ178))+1,"")</f>
        <v/>
      </c>
      <c r="AO178">
        <f>IF($D178="","",IF(OR($U178=TRUE(),$U178="TRUE"),1,0))</f>
        <v/>
      </c>
      <c r="AP178">
        <f>IF($D178="","",IF($AC178="Yes",1,0))</f>
        <v/>
      </c>
      <c r="AQ178">
        <f>IF($AM178=1,IFERROR(VALUE(MID($D178,2,20)),1000000000)+ROW()/100000,"")</f>
        <v/>
      </c>
    </row>
    <row r="179">
      <c r="G179" s="11" t="n"/>
      <c r="Q179" s="7">
        <f>IF($D179="","",P179*Y179/100)</f>
        <v/>
      </c>
      <c r="R179" s="7" t="n"/>
      <c r="X179" s="7" t="n"/>
      <c r="Y179" s="7" t="n"/>
      <c r="Z179" s="7">
        <f>IF($D179="","",Y179*AD179/100)</f>
        <v/>
      </c>
      <c r="AA179" s="7">
        <f>IF($D179="","",Y179-Z179)</f>
        <v/>
      </c>
      <c r="AB179" s="7">
        <f>IF($D179="","",AA179-Q179)</f>
        <v/>
      </c>
      <c r="AD179">
        <f>IF($D179="","",IF($AP179=1,0,IF($AO179=1,Settings!$C$6,Settings!$C$7))*100)</f>
        <v/>
      </c>
      <c r="AH179" s="7" t="n"/>
      <c r="AK179" s="11" t="n"/>
      <c r="AM179">
        <f>IF($D179="","",IF(COUNTIF($D$2:$D179,$D179)=1,1,0))</f>
        <v/>
      </c>
      <c r="AN179">
        <f>IF($AM179=1,SUMPRODUCT(--($AQ$2:$AQ$1001&lt;$AQ179))+1,"")</f>
        <v/>
      </c>
      <c r="AO179">
        <f>IF($D179="","",IF(OR($U179=TRUE(),$U179="TRUE"),1,0))</f>
        <v/>
      </c>
      <c r="AP179">
        <f>IF($D179="","",IF($AC179="Yes",1,0))</f>
        <v/>
      </c>
      <c r="AQ179">
        <f>IF($AM179=1,IFERROR(VALUE(MID($D179,2,20)),1000000000)+ROW()/100000,"")</f>
        <v/>
      </c>
    </row>
    <row r="180">
      <c r="G180" s="11" t="n"/>
      <c r="Q180" s="7">
        <f>IF($D180="","",P180*Y180/100)</f>
        <v/>
      </c>
      <c r="R180" s="7" t="n"/>
      <c r="X180" s="7" t="n"/>
      <c r="Y180" s="7" t="n"/>
      <c r="Z180" s="7">
        <f>IF($D180="","",Y180*AD180/100)</f>
        <v/>
      </c>
      <c r="AA180" s="7">
        <f>IF($D180="","",Y180-Z180)</f>
        <v/>
      </c>
      <c r="AB180" s="7">
        <f>IF($D180="","",AA180-Q180)</f>
        <v/>
      </c>
      <c r="AD180">
        <f>IF($D180="","",IF($AP180=1,0,IF($AO180=1,Settings!$C$6,Settings!$C$7))*100)</f>
        <v/>
      </c>
      <c r="AH180" s="7" t="n"/>
      <c r="AK180" s="11" t="n"/>
      <c r="AM180">
        <f>IF($D180="","",IF(COUNTIF($D$2:$D180,$D180)=1,1,0))</f>
        <v/>
      </c>
      <c r="AN180">
        <f>IF($AM180=1,SUMPRODUCT(--($AQ$2:$AQ$1001&lt;$AQ180))+1,"")</f>
        <v/>
      </c>
      <c r="AO180">
        <f>IF($D180="","",IF(OR($U180=TRUE(),$U180="TRUE"),1,0))</f>
        <v/>
      </c>
      <c r="AP180">
        <f>IF($D180="","",IF($AC180="Yes",1,0))</f>
        <v/>
      </c>
      <c r="AQ180">
        <f>IF($AM180=1,IFERROR(VALUE(MID($D180,2,20)),1000000000)+ROW()/100000,"")</f>
        <v/>
      </c>
    </row>
    <row r="181">
      <c r="G181" s="11" t="n"/>
      <c r="Q181" s="7">
        <f>IF($D181="","",P181*Y181/100)</f>
        <v/>
      </c>
      <c r="R181" s="7" t="n"/>
      <c r="X181" s="7" t="n"/>
      <c r="Y181" s="7" t="n"/>
      <c r="Z181" s="7">
        <f>IF($D181="","",Y181*AD181/100)</f>
        <v/>
      </c>
      <c r="AA181" s="7">
        <f>IF($D181="","",Y181-Z181)</f>
        <v/>
      </c>
      <c r="AB181" s="7">
        <f>IF($D181="","",AA181-Q181)</f>
        <v/>
      </c>
      <c r="AD181">
        <f>IF($D181="","",IF($AP181=1,0,IF($AO181=1,Settings!$C$6,Settings!$C$7))*100)</f>
        <v/>
      </c>
      <c r="AH181" s="7" t="n"/>
      <c r="AK181" s="11" t="n"/>
      <c r="AM181">
        <f>IF($D181="","",IF(COUNTIF($D$2:$D181,$D181)=1,1,0))</f>
        <v/>
      </c>
      <c r="AN181">
        <f>IF($AM181=1,SUMPRODUCT(--($AQ$2:$AQ$1001&lt;$AQ181))+1,"")</f>
        <v/>
      </c>
      <c r="AO181">
        <f>IF($D181="","",IF(OR($U181=TRUE(),$U181="TRUE"),1,0))</f>
        <v/>
      </c>
      <c r="AP181">
        <f>IF($D181="","",IF($AC181="Yes",1,0))</f>
        <v/>
      </c>
      <c r="AQ181">
        <f>IF($AM181=1,IFERROR(VALUE(MID($D181,2,20)),1000000000)+ROW()/100000,"")</f>
        <v/>
      </c>
    </row>
    <row r="182">
      <c r="G182" s="11" t="n"/>
      <c r="Q182" s="7">
        <f>IF($D182="","",P182*Y182/100)</f>
        <v/>
      </c>
      <c r="R182" s="7" t="n"/>
      <c r="X182" s="7" t="n"/>
      <c r="Y182" s="7" t="n"/>
      <c r="Z182" s="7">
        <f>IF($D182="","",Y182*AD182/100)</f>
        <v/>
      </c>
      <c r="AA182" s="7">
        <f>IF($D182="","",Y182-Z182)</f>
        <v/>
      </c>
      <c r="AB182" s="7">
        <f>IF($D182="","",AA182-Q182)</f>
        <v/>
      </c>
      <c r="AD182">
        <f>IF($D182="","",IF($AP182=1,0,IF($AO182=1,Settings!$C$6,Settings!$C$7))*100)</f>
        <v/>
      </c>
      <c r="AH182" s="7" t="n"/>
      <c r="AK182" s="11" t="n"/>
      <c r="AM182">
        <f>IF($D182="","",IF(COUNTIF($D$2:$D182,$D182)=1,1,0))</f>
        <v/>
      </c>
      <c r="AN182">
        <f>IF($AM182=1,SUMPRODUCT(--($AQ$2:$AQ$1001&lt;$AQ182))+1,"")</f>
        <v/>
      </c>
      <c r="AO182">
        <f>IF($D182="","",IF(OR($U182=TRUE(),$U182="TRUE"),1,0))</f>
        <v/>
      </c>
      <c r="AP182">
        <f>IF($D182="","",IF($AC182="Yes",1,0))</f>
        <v/>
      </c>
      <c r="AQ182">
        <f>IF($AM182=1,IFERROR(VALUE(MID($D182,2,20)),1000000000)+ROW()/100000,"")</f>
        <v/>
      </c>
    </row>
    <row r="183">
      <c r="G183" s="11" t="n"/>
      <c r="Q183" s="7">
        <f>IF($D183="","",P183*Y183/100)</f>
        <v/>
      </c>
      <c r="R183" s="7" t="n"/>
      <c r="X183" s="7" t="n"/>
      <c r="Y183" s="7" t="n"/>
      <c r="Z183" s="7">
        <f>IF($D183="","",Y183*AD183/100)</f>
        <v/>
      </c>
      <c r="AA183" s="7">
        <f>IF($D183="","",Y183-Z183)</f>
        <v/>
      </c>
      <c r="AB183" s="7">
        <f>IF($D183="","",AA183-Q183)</f>
        <v/>
      </c>
      <c r="AD183">
        <f>IF($D183="","",IF($AP183=1,0,IF($AO183=1,Settings!$C$6,Settings!$C$7))*100)</f>
        <v/>
      </c>
      <c r="AH183" s="7" t="n"/>
      <c r="AK183" s="11" t="n"/>
      <c r="AM183">
        <f>IF($D183="","",IF(COUNTIF($D$2:$D183,$D183)=1,1,0))</f>
        <v/>
      </c>
      <c r="AN183">
        <f>IF($AM183=1,SUMPRODUCT(--($AQ$2:$AQ$1001&lt;$AQ183))+1,"")</f>
        <v/>
      </c>
      <c r="AO183">
        <f>IF($D183="","",IF(OR($U183=TRUE(),$U183="TRUE"),1,0))</f>
        <v/>
      </c>
      <c r="AP183">
        <f>IF($D183="","",IF($AC183="Yes",1,0))</f>
        <v/>
      </c>
      <c r="AQ183">
        <f>IF($AM183=1,IFERROR(VALUE(MID($D183,2,20)),1000000000)+ROW()/100000,"")</f>
        <v/>
      </c>
    </row>
    <row r="184">
      <c r="G184" s="11" t="n"/>
      <c r="Q184" s="7">
        <f>IF($D184="","",P184*Y184/100)</f>
        <v/>
      </c>
      <c r="R184" s="7" t="n"/>
      <c r="X184" s="7" t="n"/>
      <c r="Y184" s="7" t="n"/>
      <c r="Z184" s="7">
        <f>IF($D184="","",Y184*AD184/100)</f>
        <v/>
      </c>
      <c r="AA184" s="7">
        <f>IF($D184="","",Y184-Z184)</f>
        <v/>
      </c>
      <c r="AB184" s="7">
        <f>IF($D184="","",AA184-Q184)</f>
        <v/>
      </c>
      <c r="AD184">
        <f>IF($D184="","",IF($AP184=1,0,IF($AO184=1,Settings!$C$6,Settings!$C$7))*100)</f>
        <v/>
      </c>
      <c r="AH184" s="7" t="n"/>
      <c r="AK184" s="11" t="n"/>
      <c r="AM184">
        <f>IF($D184="","",IF(COUNTIF($D$2:$D184,$D184)=1,1,0))</f>
        <v/>
      </c>
      <c r="AN184">
        <f>IF($AM184=1,SUMPRODUCT(--($AQ$2:$AQ$1001&lt;$AQ184))+1,"")</f>
        <v/>
      </c>
      <c r="AO184">
        <f>IF($D184="","",IF(OR($U184=TRUE(),$U184="TRUE"),1,0))</f>
        <v/>
      </c>
      <c r="AP184">
        <f>IF($D184="","",IF($AC184="Yes",1,0))</f>
        <v/>
      </c>
      <c r="AQ184">
        <f>IF($AM184=1,IFERROR(VALUE(MID($D184,2,20)),1000000000)+ROW()/100000,"")</f>
        <v/>
      </c>
    </row>
    <row r="185">
      <c r="G185" s="11" t="n"/>
      <c r="Q185" s="7">
        <f>IF($D185="","",P185*Y185/100)</f>
        <v/>
      </c>
      <c r="R185" s="7" t="n"/>
      <c r="X185" s="7" t="n"/>
      <c r="Y185" s="7" t="n"/>
      <c r="Z185" s="7">
        <f>IF($D185="","",Y185*AD185/100)</f>
        <v/>
      </c>
      <c r="AA185" s="7">
        <f>IF($D185="","",Y185-Z185)</f>
        <v/>
      </c>
      <c r="AB185" s="7">
        <f>IF($D185="","",AA185-Q185)</f>
        <v/>
      </c>
      <c r="AD185">
        <f>IF($D185="","",IF($AP185=1,0,IF($AO185=1,Settings!$C$6,Settings!$C$7))*100)</f>
        <v/>
      </c>
      <c r="AH185" s="7" t="n"/>
      <c r="AK185" s="11" t="n"/>
      <c r="AM185">
        <f>IF($D185="","",IF(COUNTIF($D$2:$D185,$D185)=1,1,0))</f>
        <v/>
      </c>
      <c r="AN185">
        <f>IF($AM185=1,SUMPRODUCT(--($AQ$2:$AQ$1001&lt;$AQ185))+1,"")</f>
        <v/>
      </c>
      <c r="AO185">
        <f>IF($D185="","",IF(OR($U185=TRUE(),$U185="TRUE"),1,0))</f>
        <v/>
      </c>
      <c r="AP185">
        <f>IF($D185="","",IF($AC185="Yes",1,0))</f>
        <v/>
      </c>
      <c r="AQ185">
        <f>IF($AM185=1,IFERROR(VALUE(MID($D185,2,20)),1000000000)+ROW()/100000,"")</f>
        <v/>
      </c>
    </row>
    <row r="186">
      <c r="G186" s="11" t="n"/>
      <c r="Q186" s="7">
        <f>IF($D186="","",P186*Y186/100)</f>
        <v/>
      </c>
      <c r="R186" s="7" t="n"/>
      <c r="X186" s="7" t="n"/>
      <c r="Y186" s="7" t="n"/>
      <c r="Z186" s="7">
        <f>IF($D186="","",Y186*AD186/100)</f>
        <v/>
      </c>
      <c r="AA186" s="7">
        <f>IF($D186="","",Y186-Z186)</f>
        <v/>
      </c>
      <c r="AB186" s="7">
        <f>IF($D186="","",AA186-Q186)</f>
        <v/>
      </c>
      <c r="AD186">
        <f>IF($D186="","",IF($AP186=1,0,IF($AO186=1,Settings!$C$6,Settings!$C$7))*100)</f>
        <v/>
      </c>
      <c r="AH186" s="7" t="n"/>
      <c r="AK186" s="11" t="n"/>
      <c r="AM186">
        <f>IF($D186="","",IF(COUNTIF($D$2:$D186,$D186)=1,1,0))</f>
        <v/>
      </c>
      <c r="AN186">
        <f>IF($AM186=1,SUMPRODUCT(--($AQ$2:$AQ$1001&lt;$AQ186))+1,"")</f>
        <v/>
      </c>
      <c r="AO186">
        <f>IF($D186="","",IF(OR($U186=TRUE(),$U186="TRUE"),1,0))</f>
        <v/>
      </c>
      <c r="AP186">
        <f>IF($D186="","",IF($AC186="Yes",1,0))</f>
        <v/>
      </c>
      <c r="AQ186">
        <f>IF($AM186=1,IFERROR(VALUE(MID($D186,2,20)),1000000000)+ROW()/100000,"")</f>
        <v/>
      </c>
    </row>
    <row r="187">
      <c r="G187" s="11" t="n"/>
      <c r="Q187" s="7">
        <f>IF($D187="","",P187*Y187/100)</f>
        <v/>
      </c>
      <c r="R187" s="7" t="n"/>
      <c r="X187" s="7" t="n"/>
      <c r="Y187" s="7" t="n"/>
      <c r="Z187" s="7">
        <f>IF($D187="","",Y187*AD187/100)</f>
        <v/>
      </c>
      <c r="AA187" s="7">
        <f>IF($D187="","",Y187-Z187)</f>
        <v/>
      </c>
      <c r="AB187" s="7">
        <f>IF($D187="","",AA187-Q187)</f>
        <v/>
      </c>
      <c r="AD187">
        <f>IF($D187="","",IF($AP187=1,0,IF($AO187=1,Settings!$C$6,Settings!$C$7))*100)</f>
        <v/>
      </c>
      <c r="AH187" s="7" t="n"/>
      <c r="AK187" s="11" t="n"/>
      <c r="AM187">
        <f>IF($D187="","",IF(COUNTIF($D$2:$D187,$D187)=1,1,0))</f>
        <v/>
      </c>
      <c r="AN187">
        <f>IF($AM187=1,SUMPRODUCT(--($AQ$2:$AQ$1001&lt;$AQ187))+1,"")</f>
        <v/>
      </c>
      <c r="AO187">
        <f>IF($D187="","",IF(OR($U187=TRUE(),$U187="TRUE"),1,0))</f>
        <v/>
      </c>
      <c r="AP187">
        <f>IF($D187="","",IF($AC187="Yes",1,0))</f>
        <v/>
      </c>
      <c r="AQ187">
        <f>IF($AM187=1,IFERROR(VALUE(MID($D187,2,20)),1000000000)+ROW()/100000,"")</f>
        <v/>
      </c>
    </row>
    <row r="188">
      <c r="G188" s="11" t="n"/>
      <c r="Q188" s="7">
        <f>IF($D188="","",P188*Y188/100)</f>
        <v/>
      </c>
      <c r="R188" s="7" t="n"/>
      <c r="X188" s="7" t="n"/>
      <c r="Y188" s="7" t="n"/>
      <c r="Z188" s="7">
        <f>IF($D188="","",Y188*AD188/100)</f>
        <v/>
      </c>
      <c r="AA188" s="7">
        <f>IF($D188="","",Y188-Z188)</f>
        <v/>
      </c>
      <c r="AB188" s="7">
        <f>IF($D188="","",AA188-Q188)</f>
        <v/>
      </c>
      <c r="AD188">
        <f>IF($D188="","",IF($AP188=1,0,IF($AO188=1,Settings!$C$6,Settings!$C$7))*100)</f>
        <v/>
      </c>
      <c r="AH188" s="7" t="n"/>
      <c r="AK188" s="11" t="n"/>
      <c r="AM188">
        <f>IF($D188="","",IF(COUNTIF($D$2:$D188,$D188)=1,1,0))</f>
        <v/>
      </c>
      <c r="AN188">
        <f>IF($AM188=1,SUMPRODUCT(--($AQ$2:$AQ$1001&lt;$AQ188))+1,"")</f>
        <v/>
      </c>
      <c r="AO188">
        <f>IF($D188="","",IF(OR($U188=TRUE(),$U188="TRUE"),1,0))</f>
        <v/>
      </c>
      <c r="AP188">
        <f>IF($D188="","",IF($AC188="Yes",1,0))</f>
        <v/>
      </c>
      <c r="AQ188">
        <f>IF($AM188=1,IFERROR(VALUE(MID($D188,2,20)),1000000000)+ROW()/100000,"")</f>
        <v/>
      </c>
    </row>
    <row r="189">
      <c r="G189" s="11" t="n"/>
      <c r="Q189" s="7">
        <f>IF($D189="","",P189*Y189/100)</f>
        <v/>
      </c>
      <c r="R189" s="7" t="n"/>
      <c r="X189" s="7" t="n"/>
      <c r="Y189" s="7" t="n"/>
      <c r="Z189" s="7">
        <f>IF($D189="","",Y189*AD189/100)</f>
        <v/>
      </c>
      <c r="AA189" s="7">
        <f>IF($D189="","",Y189-Z189)</f>
        <v/>
      </c>
      <c r="AB189" s="7">
        <f>IF($D189="","",AA189-Q189)</f>
        <v/>
      </c>
      <c r="AD189">
        <f>IF($D189="","",IF($AP189=1,0,IF($AO189=1,Settings!$C$6,Settings!$C$7))*100)</f>
        <v/>
      </c>
      <c r="AH189" s="7" t="n"/>
      <c r="AK189" s="11" t="n"/>
      <c r="AM189">
        <f>IF($D189="","",IF(COUNTIF($D$2:$D189,$D189)=1,1,0))</f>
        <v/>
      </c>
      <c r="AN189">
        <f>IF($AM189=1,SUMPRODUCT(--($AQ$2:$AQ$1001&lt;$AQ189))+1,"")</f>
        <v/>
      </c>
      <c r="AO189">
        <f>IF($D189="","",IF(OR($U189=TRUE(),$U189="TRUE"),1,0))</f>
        <v/>
      </c>
      <c r="AP189">
        <f>IF($D189="","",IF($AC189="Yes",1,0))</f>
        <v/>
      </c>
      <c r="AQ189">
        <f>IF($AM189=1,IFERROR(VALUE(MID($D189,2,20)),1000000000)+ROW()/100000,"")</f>
        <v/>
      </c>
    </row>
    <row r="190">
      <c r="G190" s="11" t="n"/>
      <c r="Q190" s="7">
        <f>IF($D190="","",P190*Y190/100)</f>
        <v/>
      </c>
      <c r="R190" s="7" t="n"/>
      <c r="X190" s="7" t="n"/>
      <c r="Y190" s="7" t="n"/>
      <c r="Z190" s="7">
        <f>IF($D190="","",Y190*AD190/100)</f>
        <v/>
      </c>
      <c r="AA190" s="7">
        <f>IF($D190="","",Y190-Z190)</f>
        <v/>
      </c>
      <c r="AB190" s="7">
        <f>IF($D190="","",AA190-Q190)</f>
        <v/>
      </c>
      <c r="AD190">
        <f>IF($D190="","",IF($AP190=1,0,IF($AO190=1,Settings!$C$6,Settings!$C$7))*100)</f>
        <v/>
      </c>
      <c r="AH190" s="7" t="n"/>
      <c r="AK190" s="11" t="n"/>
      <c r="AM190">
        <f>IF($D190="","",IF(COUNTIF($D$2:$D190,$D190)=1,1,0))</f>
        <v/>
      </c>
      <c r="AN190">
        <f>IF($AM190=1,SUMPRODUCT(--($AQ$2:$AQ$1001&lt;$AQ190))+1,"")</f>
        <v/>
      </c>
      <c r="AO190">
        <f>IF($D190="","",IF(OR($U190=TRUE(),$U190="TRUE"),1,0))</f>
        <v/>
      </c>
      <c r="AP190">
        <f>IF($D190="","",IF($AC190="Yes",1,0))</f>
        <v/>
      </c>
      <c r="AQ190">
        <f>IF($AM190=1,IFERROR(VALUE(MID($D190,2,20)),1000000000)+ROW()/100000,"")</f>
        <v/>
      </c>
    </row>
    <row r="191">
      <c r="G191" s="11" t="n"/>
      <c r="Q191" s="7">
        <f>IF($D191="","",P191*Y191/100)</f>
        <v/>
      </c>
      <c r="R191" s="7" t="n"/>
      <c r="X191" s="7" t="n"/>
      <c r="Y191" s="7" t="n"/>
      <c r="Z191" s="7">
        <f>IF($D191="","",Y191*AD191/100)</f>
        <v/>
      </c>
      <c r="AA191" s="7">
        <f>IF($D191="","",Y191-Z191)</f>
        <v/>
      </c>
      <c r="AB191" s="7">
        <f>IF($D191="","",AA191-Q191)</f>
        <v/>
      </c>
      <c r="AD191">
        <f>IF($D191="","",IF($AP191=1,0,IF($AO191=1,Settings!$C$6,Settings!$C$7))*100)</f>
        <v/>
      </c>
      <c r="AH191" s="7" t="n"/>
      <c r="AK191" s="11" t="n"/>
      <c r="AM191">
        <f>IF($D191="","",IF(COUNTIF($D$2:$D191,$D191)=1,1,0))</f>
        <v/>
      </c>
      <c r="AN191">
        <f>IF($AM191=1,SUMPRODUCT(--($AQ$2:$AQ$1001&lt;$AQ191))+1,"")</f>
        <v/>
      </c>
      <c r="AO191">
        <f>IF($D191="","",IF(OR($U191=TRUE(),$U191="TRUE"),1,0))</f>
        <v/>
      </c>
      <c r="AP191">
        <f>IF($D191="","",IF($AC191="Yes",1,0))</f>
        <v/>
      </c>
      <c r="AQ191">
        <f>IF($AM191=1,IFERROR(VALUE(MID($D191,2,20)),1000000000)+ROW()/100000,"")</f>
        <v/>
      </c>
    </row>
    <row r="192">
      <c r="G192" s="11" t="n"/>
      <c r="Q192" s="7">
        <f>IF($D192="","",P192*Y192/100)</f>
        <v/>
      </c>
      <c r="R192" s="7" t="n"/>
      <c r="X192" s="7" t="n"/>
      <c r="Y192" s="7" t="n"/>
      <c r="Z192" s="7">
        <f>IF($D192="","",Y192*AD192/100)</f>
        <v/>
      </c>
      <c r="AA192" s="7">
        <f>IF($D192="","",Y192-Z192)</f>
        <v/>
      </c>
      <c r="AB192" s="7">
        <f>IF($D192="","",AA192-Q192)</f>
        <v/>
      </c>
      <c r="AD192">
        <f>IF($D192="","",IF($AP192=1,0,IF($AO192=1,Settings!$C$6,Settings!$C$7))*100)</f>
        <v/>
      </c>
      <c r="AH192" s="7" t="n"/>
      <c r="AK192" s="11" t="n"/>
      <c r="AM192">
        <f>IF($D192="","",IF(COUNTIF($D$2:$D192,$D192)=1,1,0))</f>
        <v/>
      </c>
      <c r="AN192">
        <f>IF($AM192=1,SUMPRODUCT(--($AQ$2:$AQ$1001&lt;$AQ192))+1,"")</f>
        <v/>
      </c>
      <c r="AO192">
        <f>IF($D192="","",IF(OR($U192=TRUE(),$U192="TRUE"),1,0))</f>
        <v/>
      </c>
      <c r="AP192">
        <f>IF($D192="","",IF($AC192="Yes",1,0))</f>
        <v/>
      </c>
      <c r="AQ192">
        <f>IF($AM192=1,IFERROR(VALUE(MID($D192,2,20)),1000000000)+ROW()/100000,"")</f>
        <v/>
      </c>
    </row>
    <row r="193">
      <c r="G193" s="11" t="n"/>
      <c r="Q193" s="7">
        <f>IF($D193="","",P193*Y193/100)</f>
        <v/>
      </c>
      <c r="R193" s="7" t="n"/>
      <c r="X193" s="7" t="n"/>
      <c r="Y193" s="7" t="n"/>
      <c r="Z193" s="7">
        <f>IF($D193="","",Y193*AD193/100)</f>
        <v/>
      </c>
      <c r="AA193" s="7">
        <f>IF($D193="","",Y193-Z193)</f>
        <v/>
      </c>
      <c r="AB193" s="7">
        <f>IF($D193="","",AA193-Q193)</f>
        <v/>
      </c>
      <c r="AD193">
        <f>IF($D193="","",IF($AP193=1,0,IF($AO193=1,Settings!$C$6,Settings!$C$7))*100)</f>
        <v/>
      </c>
      <c r="AH193" s="7" t="n"/>
      <c r="AK193" s="11" t="n"/>
      <c r="AM193">
        <f>IF($D193="","",IF(COUNTIF($D$2:$D193,$D193)=1,1,0))</f>
        <v/>
      </c>
      <c r="AN193">
        <f>IF($AM193=1,SUMPRODUCT(--($AQ$2:$AQ$1001&lt;$AQ193))+1,"")</f>
        <v/>
      </c>
      <c r="AO193">
        <f>IF($D193="","",IF(OR($U193=TRUE(),$U193="TRUE"),1,0))</f>
        <v/>
      </c>
      <c r="AP193">
        <f>IF($D193="","",IF($AC193="Yes",1,0))</f>
        <v/>
      </c>
      <c r="AQ193">
        <f>IF($AM193=1,IFERROR(VALUE(MID($D193,2,20)),1000000000)+ROW()/100000,"")</f>
        <v/>
      </c>
    </row>
    <row r="194">
      <c r="G194" s="11" t="n"/>
      <c r="Q194" s="7">
        <f>IF($D194="","",P194*Y194/100)</f>
        <v/>
      </c>
      <c r="R194" s="7" t="n"/>
      <c r="X194" s="7" t="n"/>
      <c r="Y194" s="7" t="n"/>
      <c r="Z194" s="7">
        <f>IF($D194="","",Y194*AD194/100)</f>
        <v/>
      </c>
      <c r="AA194" s="7">
        <f>IF($D194="","",Y194-Z194)</f>
        <v/>
      </c>
      <c r="AB194" s="7">
        <f>IF($D194="","",AA194-Q194)</f>
        <v/>
      </c>
      <c r="AD194">
        <f>IF($D194="","",IF($AP194=1,0,IF($AO194=1,Settings!$C$6,Settings!$C$7))*100)</f>
        <v/>
      </c>
      <c r="AH194" s="7" t="n"/>
      <c r="AK194" s="11" t="n"/>
      <c r="AM194">
        <f>IF($D194="","",IF(COUNTIF($D$2:$D194,$D194)=1,1,0))</f>
        <v/>
      </c>
      <c r="AN194">
        <f>IF($AM194=1,SUMPRODUCT(--($AQ$2:$AQ$1001&lt;$AQ194))+1,"")</f>
        <v/>
      </c>
      <c r="AO194">
        <f>IF($D194="","",IF(OR($U194=TRUE(),$U194="TRUE"),1,0))</f>
        <v/>
      </c>
      <c r="AP194">
        <f>IF($D194="","",IF($AC194="Yes",1,0))</f>
        <v/>
      </c>
      <c r="AQ194">
        <f>IF($AM194=1,IFERROR(VALUE(MID($D194,2,20)),1000000000)+ROW()/100000,"")</f>
        <v/>
      </c>
    </row>
    <row r="195">
      <c r="G195" s="11" t="n"/>
      <c r="Q195" s="7">
        <f>IF($D195="","",P195*Y195/100)</f>
        <v/>
      </c>
      <c r="R195" s="7" t="n"/>
      <c r="X195" s="7" t="n"/>
      <c r="Y195" s="7" t="n"/>
      <c r="Z195" s="7">
        <f>IF($D195="","",Y195*AD195/100)</f>
        <v/>
      </c>
      <c r="AA195" s="7">
        <f>IF($D195="","",Y195-Z195)</f>
        <v/>
      </c>
      <c r="AB195" s="7">
        <f>IF($D195="","",AA195-Q195)</f>
        <v/>
      </c>
      <c r="AD195">
        <f>IF($D195="","",IF($AP195=1,0,IF($AO195=1,Settings!$C$6,Settings!$C$7))*100)</f>
        <v/>
      </c>
      <c r="AH195" s="7" t="n"/>
      <c r="AK195" s="11" t="n"/>
      <c r="AM195">
        <f>IF($D195="","",IF(COUNTIF($D$2:$D195,$D195)=1,1,0))</f>
        <v/>
      </c>
      <c r="AN195">
        <f>IF($AM195=1,SUMPRODUCT(--($AQ$2:$AQ$1001&lt;$AQ195))+1,"")</f>
        <v/>
      </c>
      <c r="AO195">
        <f>IF($D195="","",IF(OR($U195=TRUE(),$U195="TRUE"),1,0))</f>
        <v/>
      </c>
      <c r="AP195">
        <f>IF($D195="","",IF($AC195="Yes",1,0))</f>
        <v/>
      </c>
      <c r="AQ195">
        <f>IF($AM195=1,IFERROR(VALUE(MID($D195,2,20)),1000000000)+ROW()/100000,"")</f>
        <v/>
      </c>
    </row>
    <row r="196">
      <c r="G196" s="11" t="n"/>
      <c r="Q196" s="7">
        <f>IF($D196="","",P196*Y196/100)</f>
        <v/>
      </c>
      <c r="R196" s="7" t="n"/>
      <c r="X196" s="7" t="n"/>
      <c r="Y196" s="7" t="n"/>
      <c r="Z196" s="7">
        <f>IF($D196="","",Y196*AD196/100)</f>
        <v/>
      </c>
      <c r="AA196" s="7">
        <f>IF($D196="","",Y196-Z196)</f>
        <v/>
      </c>
      <c r="AB196" s="7">
        <f>IF($D196="","",AA196-Q196)</f>
        <v/>
      </c>
      <c r="AD196">
        <f>IF($D196="","",IF($AP196=1,0,IF($AO196=1,Settings!$C$6,Settings!$C$7))*100)</f>
        <v/>
      </c>
      <c r="AH196" s="7" t="n"/>
      <c r="AK196" s="11" t="n"/>
      <c r="AM196">
        <f>IF($D196="","",IF(COUNTIF($D$2:$D196,$D196)=1,1,0))</f>
        <v/>
      </c>
      <c r="AN196">
        <f>IF($AM196=1,SUMPRODUCT(--($AQ$2:$AQ$1001&lt;$AQ196))+1,"")</f>
        <v/>
      </c>
      <c r="AO196">
        <f>IF($D196="","",IF(OR($U196=TRUE(),$U196="TRUE"),1,0))</f>
        <v/>
      </c>
      <c r="AP196">
        <f>IF($D196="","",IF($AC196="Yes",1,0))</f>
        <v/>
      </c>
      <c r="AQ196">
        <f>IF($AM196=1,IFERROR(VALUE(MID($D196,2,20)),1000000000)+ROW()/100000,"")</f>
        <v/>
      </c>
    </row>
    <row r="197">
      <c r="G197" s="11" t="n"/>
      <c r="Q197" s="7">
        <f>IF($D197="","",P197*Y197/100)</f>
        <v/>
      </c>
      <c r="R197" s="7" t="n"/>
      <c r="X197" s="7" t="n"/>
      <c r="Y197" s="7" t="n"/>
      <c r="Z197" s="7">
        <f>IF($D197="","",Y197*AD197/100)</f>
        <v/>
      </c>
      <c r="AA197" s="7">
        <f>IF($D197="","",Y197-Z197)</f>
        <v/>
      </c>
      <c r="AB197" s="7">
        <f>IF($D197="","",AA197-Q197)</f>
        <v/>
      </c>
      <c r="AD197">
        <f>IF($D197="","",IF($AP197=1,0,IF($AO197=1,Settings!$C$6,Settings!$C$7))*100)</f>
        <v/>
      </c>
      <c r="AH197" s="7" t="n"/>
      <c r="AK197" s="11" t="n"/>
      <c r="AM197">
        <f>IF($D197="","",IF(COUNTIF($D$2:$D197,$D197)=1,1,0))</f>
        <v/>
      </c>
      <c r="AN197">
        <f>IF($AM197=1,SUMPRODUCT(--($AQ$2:$AQ$1001&lt;$AQ197))+1,"")</f>
        <v/>
      </c>
      <c r="AO197">
        <f>IF($D197="","",IF(OR($U197=TRUE(),$U197="TRUE"),1,0))</f>
        <v/>
      </c>
      <c r="AP197">
        <f>IF($D197="","",IF($AC197="Yes",1,0))</f>
        <v/>
      </c>
      <c r="AQ197">
        <f>IF($AM197=1,IFERROR(VALUE(MID($D197,2,20)),1000000000)+ROW()/100000,"")</f>
        <v/>
      </c>
    </row>
    <row r="198">
      <c r="G198" s="11" t="n"/>
      <c r="Q198" s="7">
        <f>IF($D198="","",P198*Y198/100)</f>
        <v/>
      </c>
      <c r="R198" s="7" t="n"/>
      <c r="X198" s="7" t="n"/>
      <c r="Y198" s="7" t="n"/>
      <c r="Z198" s="7">
        <f>IF($D198="","",Y198*AD198/100)</f>
        <v/>
      </c>
      <c r="AA198" s="7">
        <f>IF($D198="","",Y198-Z198)</f>
        <v/>
      </c>
      <c r="AB198" s="7">
        <f>IF($D198="","",AA198-Q198)</f>
        <v/>
      </c>
      <c r="AD198">
        <f>IF($D198="","",IF($AP198=1,0,IF($AO198=1,Settings!$C$6,Settings!$C$7))*100)</f>
        <v/>
      </c>
      <c r="AH198" s="7" t="n"/>
      <c r="AK198" s="11" t="n"/>
      <c r="AM198">
        <f>IF($D198="","",IF(COUNTIF($D$2:$D198,$D198)=1,1,0))</f>
        <v/>
      </c>
      <c r="AN198">
        <f>IF($AM198=1,SUMPRODUCT(--($AQ$2:$AQ$1001&lt;$AQ198))+1,"")</f>
        <v/>
      </c>
      <c r="AO198">
        <f>IF($D198="","",IF(OR($U198=TRUE(),$U198="TRUE"),1,0))</f>
        <v/>
      </c>
      <c r="AP198">
        <f>IF($D198="","",IF($AC198="Yes",1,0))</f>
        <v/>
      </c>
      <c r="AQ198">
        <f>IF($AM198=1,IFERROR(VALUE(MID($D198,2,20)),1000000000)+ROW()/100000,"")</f>
        <v/>
      </c>
    </row>
    <row r="199">
      <c r="G199" s="11" t="n"/>
      <c r="Q199" s="7">
        <f>IF($D199="","",P199*Y199/100)</f>
        <v/>
      </c>
      <c r="R199" s="7" t="n"/>
      <c r="X199" s="7" t="n"/>
      <c r="Y199" s="7" t="n"/>
      <c r="Z199" s="7">
        <f>IF($D199="","",Y199*AD199/100)</f>
        <v/>
      </c>
      <c r="AA199" s="7">
        <f>IF($D199="","",Y199-Z199)</f>
        <v/>
      </c>
      <c r="AB199" s="7">
        <f>IF($D199="","",AA199-Q199)</f>
        <v/>
      </c>
      <c r="AD199">
        <f>IF($D199="","",IF($AP199=1,0,IF($AO199=1,Settings!$C$6,Settings!$C$7))*100)</f>
        <v/>
      </c>
      <c r="AH199" s="7" t="n"/>
      <c r="AK199" s="11" t="n"/>
      <c r="AM199">
        <f>IF($D199="","",IF(COUNTIF($D$2:$D199,$D199)=1,1,0))</f>
        <v/>
      </c>
      <c r="AN199">
        <f>IF($AM199=1,SUMPRODUCT(--($AQ$2:$AQ$1001&lt;$AQ199))+1,"")</f>
        <v/>
      </c>
      <c r="AO199">
        <f>IF($D199="","",IF(OR($U199=TRUE(),$U199="TRUE"),1,0))</f>
        <v/>
      </c>
      <c r="AP199">
        <f>IF($D199="","",IF($AC199="Yes",1,0))</f>
        <v/>
      </c>
      <c r="AQ199">
        <f>IF($AM199=1,IFERROR(VALUE(MID($D199,2,20)),1000000000)+ROW()/100000,"")</f>
        <v/>
      </c>
    </row>
    <row r="200">
      <c r="G200" s="11" t="n"/>
      <c r="Q200" s="7">
        <f>IF($D200="","",P200*Y200/100)</f>
        <v/>
      </c>
      <c r="R200" s="7" t="n"/>
      <c r="X200" s="7" t="n"/>
      <c r="Y200" s="7" t="n"/>
      <c r="Z200" s="7">
        <f>IF($D200="","",Y200*AD200/100)</f>
        <v/>
      </c>
      <c r="AA200" s="7">
        <f>IF($D200="","",Y200-Z200)</f>
        <v/>
      </c>
      <c r="AB200" s="7">
        <f>IF($D200="","",AA200-Q200)</f>
        <v/>
      </c>
      <c r="AD200">
        <f>IF($D200="","",IF($AP200=1,0,IF($AO200=1,Settings!$C$6,Settings!$C$7))*100)</f>
        <v/>
      </c>
      <c r="AH200" s="7" t="n"/>
      <c r="AK200" s="11" t="n"/>
      <c r="AM200">
        <f>IF($D200="","",IF(COUNTIF($D$2:$D200,$D200)=1,1,0))</f>
        <v/>
      </c>
      <c r="AN200">
        <f>IF($AM200=1,SUMPRODUCT(--($AQ$2:$AQ$1001&lt;$AQ200))+1,"")</f>
        <v/>
      </c>
      <c r="AO200">
        <f>IF($D200="","",IF(OR($U200=TRUE(),$U200="TRUE"),1,0))</f>
        <v/>
      </c>
      <c r="AP200">
        <f>IF($D200="","",IF($AC200="Yes",1,0))</f>
        <v/>
      </c>
      <c r="AQ200">
        <f>IF($AM200=1,IFERROR(VALUE(MID($D200,2,20)),1000000000)+ROW()/100000,"")</f>
        <v/>
      </c>
    </row>
    <row r="201">
      <c r="G201" s="11" t="n"/>
      <c r="Q201" s="7">
        <f>IF($D201="","",P201*Y201/100)</f>
        <v/>
      </c>
      <c r="R201" s="7" t="n"/>
      <c r="X201" s="7" t="n"/>
      <c r="Y201" s="7" t="n"/>
      <c r="Z201" s="7">
        <f>IF($D201="","",Y201*AD201/100)</f>
        <v/>
      </c>
      <c r="AA201" s="7">
        <f>IF($D201="","",Y201-Z201)</f>
        <v/>
      </c>
      <c r="AB201" s="7">
        <f>IF($D201="","",AA201-Q201)</f>
        <v/>
      </c>
      <c r="AD201">
        <f>IF($D201="","",IF($AP201=1,0,IF($AO201=1,Settings!$C$6,Settings!$C$7))*100)</f>
        <v/>
      </c>
      <c r="AH201" s="7" t="n"/>
      <c r="AK201" s="11" t="n"/>
      <c r="AM201">
        <f>IF($D201="","",IF(COUNTIF($D$2:$D201,$D201)=1,1,0))</f>
        <v/>
      </c>
      <c r="AN201">
        <f>IF($AM201=1,SUMPRODUCT(--($AQ$2:$AQ$1001&lt;$AQ201))+1,"")</f>
        <v/>
      </c>
      <c r="AO201">
        <f>IF($D201="","",IF(OR($U201=TRUE(),$U201="TRUE"),1,0))</f>
        <v/>
      </c>
      <c r="AP201">
        <f>IF($D201="","",IF($AC201="Yes",1,0))</f>
        <v/>
      </c>
      <c r="AQ201">
        <f>IF($AM201=1,IFERROR(VALUE(MID($D201,2,20)),1000000000)+ROW()/100000,"")</f>
        <v/>
      </c>
    </row>
    <row r="202">
      <c r="G202" s="11" t="n"/>
      <c r="Q202" s="7">
        <f>IF($D202="","",P202*Y202/100)</f>
        <v/>
      </c>
      <c r="R202" s="7" t="n"/>
      <c r="X202" s="7" t="n"/>
      <c r="Y202" s="7" t="n"/>
      <c r="Z202" s="7">
        <f>IF($D202="","",Y202*AD202/100)</f>
        <v/>
      </c>
      <c r="AA202" s="7">
        <f>IF($D202="","",Y202-Z202)</f>
        <v/>
      </c>
      <c r="AB202" s="7">
        <f>IF($D202="","",AA202-Q202)</f>
        <v/>
      </c>
      <c r="AD202">
        <f>IF($D202="","",IF($AP202=1,0,IF($AO202=1,Settings!$C$6,Settings!$C$7))*100)</f>
        <v/>
      </c>
      <c r="AH202" s="7" t="n"/>
      <c r="AK202" s="11" t="n"/>
      <c r="AM202">
        <f>IF($D202="","",IF(COUNTIF($D$2:$D202,$D202)=1,1,0))</f>
        <v/>
      </c>
      <c r="AN202">
        <f>IF($AM202=1,SUMPRODUCT(--($AQ$2:$AQ$1001&lt;$AQ202))+1,"")</f>
        <v/>
      </c>
      <c r="AO202">
        <f>IF($D202="","",IF(OR($U202=TRUE(),$U202="TRUE"),1,0))</f>
        <v/>
      </c>
      <c r="AP202">
        <f>IF($D202="","",IF($AC202="Yes",1,0))</f>
        <v/>
      </c>
      <c r="AQ202">
        <f>IF($AM202=1,IFERROR(VALUE(MID($D202,2,20)),1000000000)+ROW()/100000,"")</f>
        <v/>
      </c>
    </row>
    <row r="203">
      <c r="G203" s="11" t="n"/>
      <c r="Q203" s="7">
        <f>IF($D203="","",P203*Y203/100)</f>
        <v/>
      </c>
      <c r="R203" s="7" t="n"/>
      <c r="X203" s="7" t="n"/>
      <c r="Y203" s="7" t="n"/>
      <c r="Z203" s="7">
        <f>IF($D203="","",Y203*AD203/100)</f>
        <v/>
      </c>
      <c r="AA203" s="7">
        <f>IF($D203="","",Y203-Z203)</f>
        <v/>
      </c>
      <c r="AB203" s="7">
        <f>IF($D203="","",AA203-Q203)</f>
        <v/>
      </c>
      <c r="AD203">
        <f>IF($D203="","",IF($AP203=1,0,IF($AO203=1,Settings!$C$6,Settings!$C$7))*100)</f>
        <v/>
      </c>
      <c r="AH203" s="7" t="n"/>
      <c r="AK203" s="11" t="n"/>
      <c r="AM203">
        <f>IF($D203="","",IF(COUNTIF($D$2:$D203,$D203)=1,1,0))</f>
        <v/>
      </c>
      <c r="AN203">
        <f>IF($AM203=1,SUMPRODUCT(--($AQ$2:$AQ$1001&lt;$AQ203))+1,"")</f>
        <v/>
      </c>
      <c r="AO203">
        <f>IF($D203="","",IF(OR($U203=TRUE(),$U203="TRUE"),1,0))</f>
        <v/>
      </c>
      <c r="AP203">
        <f>IF($D203="","",IF($AC203="Yes",1,0))</f>
        <v/>
      </c>
      <c r="AQ203">
        <f>IF($AM203=1,IFERROR(VALUE(MID($D203,2,20)),1000000000)+ROW()/100000,"")</f>
        <v/>
      </c>
    </row>
    <row r="204">
      <c r="G204" s="11" t="n"/>
      <c r="Q204" s="7">
        <f>IF($D204="","",P204*Y204/100)</f>
        <v/>
      </c>
      <c r="R204" s="7" t="n"/>
      <c r="X204" s="7" t="n"/>
      <c r="Y204" s="7" t="n"/>
      <c r="Z204" s="7">
        <f>IF($D204="","",Y204*AD204/100)</f>
        <v/>
      </c>
      <c r="AA204" s="7">
        <f>IF($D204="","",Y204-Z204)</f>
        <v/>
      </c>
      <c r="AB204" s="7">
        <f>IF($D204="","",AA204-Q204)</f>
        <v/>
      </c>
      <c r="AD204">
        <f>IF($D204="","",IF($AP204=1,0,IF($AO204=1,Settings!$C$6,Settings!$C$7))*100)</f>
        <v/>
      </c>
      <c r="AH204" s="7" t="n"/>
      <c r="AK204" s="11" t="n"/>
      <c r="AM204">
        <f>IF($D204="","",IF(COUNTIF($D$2:$D204,$D204)=1,1,0))</f>
        <v/>
      </c>
      <c r="AN204">
        <f>IF($AM204=1,SUMPRODUCT(--($AQ$2:$AQ$1001&lt;$AQ204))+1,"")</f>
        <v/>
      </c>
      <c r="AO204">
        <f>IF($D204="","",IF(OR($U204=TRUE(),$U204="TRUE"),1,0))</f>
        <v/>
      </c>
      <c r="AP204">
        <f>IF($D204="","",IF($AC204="Yes",1,0))</f>
        <v/>
      </c>
      <c r="AQ204">
        <f>IF($AM204=1,IFERROR(VALUE(MID($D204,2,20)),1000000000)+ROW()/100000,"")</f>
        <v/>
      </c>
    </row>
    <row r="205">
      <c r="G205" s="11" t="n"/>
      <c r="Q205" s="7">
        <f>IF($D205="","",P205*Y205/100)</f>
        <v/>
      </c>
      <c r="R205" s="7" t="n"/>
      <c r="X205" s="7" t="n"/>
      <c r="Y205" s="7" t="n"/>
      <c r="Z205" s="7">
        <f>IF($D205="","",Y205*AD205/100)</f>
        <v/>
      </c>
      <c r="AA205" s="7">
        <f>IF($D205="","",Y205-Z205)</f>
        <v/>
      </c>
      <c r="AB205" s="7">
        <f>IF($D205="","",AA205-Q205)</f>
        <v/>
      </c>
      <c r="AD205">
        <f>IF($D205="","",IF($AP205=1,0,IF($AO205=1,Settings!$C$6,Settings!$C$7))*100)</f>
        <v/>
      </c>
      <c r="AH205" s="7" t="n"/>
      <c r="AK205" s="11" t="n"/>
      <c r="AM205">
        <f>IF($D205="","",IF(COUNTIF($D$2:$D205,$D205)=1,1,0))</f>
        <v/>
      </c>
      <c r="AN205">
        <f>IF($AM205=1,SUMPRODUCT(--($AQ$2:$AQ$1001&lt;$AQ205))+1,"")</f>
        <v/>
      </c>
      <c r="AO205">
        <f>IF($D205="","",IF(OR($U205=TRUE(),$U205="TRUE"),1,0))</f>
        <v/>
      </c>
      <c r="AP205">
        <f>IF($D205="","",IF($AC205="Yes",1,0))</f>
        <v/>
      </c>
      <c r="AQ205">
        <f>IF($AM205=1,IFERROR(VALUE(MID($D205,2,20)),1000000000)+ROW()/100000,"")</f>
        <v/>
      </c>
    </row>
    <row r="206">
      <c r="G206" s="11" t="n"/>
      <c r="Q206" s="7">
        <f>IF($D206="","",P206*Y206/100)</f>
        <v/>
      </c>
      <c r="R206" s="7" t="n"/>
      <c r="X206" s="7" t="n"/>
      <c r="Y206" s="7" t="n"/>
      <c r="Z206" s="7">
        <f>IF($D206="","",Y206*AD206/100)</f>
        <v/>
      </c>
      <c r="AA206" s="7">
        <f>IF($D206="","",Y206-Z206)</f>
        <v/>
      </c>
      <c r="AB206" s="7">
        <f>IF($D206="","",AA206-Q206)</f>
        <v/>
      </c>
      <c r="AD206">
        <f>IF($D206="","",IF($AP206=1,0,IF($AO206=1,Settings!$C$6,Settings!$C$7))*100)</f>
        <v/>
      </c>
      <c r="AH206" s="7" t="n"/>
      <c r="AK206" s="11" t="n"/>
      <c r="AM206">
        <f>IF($D206="","",IF(COUNTIF($D$2:$D206,$D206)=1,1,0))</f>
        <v/>
      </c>
      <c r="AN206">
        <f>IF($AM206=1,SUMPRODUCT(--($AQ$2:$AQ$1001&lt;$AQ206))+1,"")</f>
        <v/>
      </c>
      <c r="AO206">
        <f>IF($D206="","",IF(OR($U206=TRUE(),$U206="TRUE"),1,0))</f>
        <v/>
      </c>
      <c r="AP206">
        <f>IF($D206="","",IF($AC206="Yes",1,0))</f>
        <v/>
      </c>
      <c r="AQ206">
        <f>IF($AM206=1,IFERROR(VALUE(MID($D206,2,20)),1000000000)+ROW()/100000,"")</f>
        <v/>
      </c>
    </row>
    <row r="207">
      <c r="G207" s="11" t="n"/>
      <c r="Q207" s="7">
        <f>IF($D207="","",P207*Y207/100)</f>
        <v/>
      </c>
      <c r="R207" s="7" t="n"/>
      <c r="X207" s="7" t="n"/>
      <c r="Y207" s="7" t="n"/>
      <c r="Z207" s="7">
        <f>IF($D207="","",Y207*AD207/100)</f>
        <v/>
      </c>
      <c r="AA207" s="7">
        <f>IF($D207="","",Y207-Z207)</f>
        <v/>
      </c>
      <c r="AB207" s="7">
        <f>IF($D207="","",AA207-Q207)</f>
        <v/>
      </c>
      <c r="AD207">
        <f>IF($D207="","",IF($AP207=1,0,IF($AO207=1,Settings!$C$6,Settings!$C$7))*100)</f>
        <v/>
      </c>
      <c r="AH207" s="7" t="n"/>
      <c r="AK207" s="11" t="n"/>
      <c r="AM207">
        <f>IF($D207="","",IF(COUNTIF($D$2:$D207,$D207)=1,1,0))</f>
        <v/>
      </c>
      <c r="AN207">
        <f>IF($AM207=1,SUMPRODUCT(--($AQ$2:$AQ$1001&lt;$AQ207))+1,"")</f>
        <v/>
      </c>
      <c r="AO207">
        <f>IF($D207="","",IF(OR($U207=TRUE(),$U207="TRUE"),1,0))</f>
        <v/>
      </c>
      <c r="AP207">
        <f>IF($D207="","",IF($AC207="Yes",1,0))</f>
        <v/>
      </c>
      <c r="AQ207">
        <f>IF($AM207=1,IFERROR(VALUE(MID($D207,2,20)),1000000000)+ROW()/100000,"")</f>
        <v/>
      </c>
    </row>
    <row r="208">
      <c r="G208" s="11" t="n"/>
      <c r="Q208" s="7">
        <f>IF($D208="","",P208*Y208/100)</f>
        <v/>
      </c>
      <c r="R208" s="7" t="n"/>
      <c r="X208" s="7" t="n"/>
      <c r="Y208" s="7" t="n"/>
      <c r="Z208" s="7">
        <f>IF($D208="","",Y208*AD208/100)</f>
        <v/>
      </c>
      <c r="AA208" s="7">
        <f>IF($D208="","",Y208-Z208)</f>
        <v/>
      </c>
      <c r="AB208" s="7">
        <f>IF($D208="","",AA208-Q208)</f>
        <v/>
      </c>
      <c r="AD208">
        <f>IF($D208="","",IF($AP208=1,0,IF($AO208=1,Settings!$C$6,Settings!$C$7))*100)</f>
        <v/>
      </c>
      <c r="AH208" s="7" t="n"/>
      <c r="AK208" s="11" t="n"/>
      <c r="AM208">
        <f>IF($D208="","",IF(COUNTIF($D$2:$D208,$D208)=1,1,0))</f>
        <v/>
      </c>
      <c r="AN208">
        <f>IF($AM208=1,SUMPRODUCT(--($AQ$2:$AQ$1001&lt;$AQ208))+1,"")</f>
        <v/>
      </c>
      <c r="AO208">
        <f>IF($D208="","",IF(OR($U208=TRUE(),$U208="TRUE"),1,0))</f>
        <v/>
      </c>
      <c r="AP208">
        <f>IF($D208="","",IF($AC208="Yes",1,0))</f>
        <v/>
      </c>
      <c r="AQ208">
        <f>IF($AM208=1,IFERROR(VALUE(MID($D208,2,20)),1000000000)+ROW()/100000,"")</f>
        <v/>
      </c>
    </row>
    <row r="209">
      <c r="G209" s="11" t="n"/>
      <c r="Q209" s="7">
        <f>IF($D209="","",P209*Y209/100)</f>
        <v/>
      </c>
      <c r="R209" s="7" t="n"/>
      <c r="X209" s="7" t="n"/>
      <c r="Y209" s="7" t="n"/>
      <c r="Z209" s="7">
        <f>IF($D209="","",Y209*AD209/100)</f>
        <v/>
      </c>
      <c r="AA209" s="7">
        <f>IF($D209="","",Y209-Z209)</f>
        <v/>
      </c>
      <c r="AB209" s="7">
        <f>IF($D209="","",AA209-Q209)</f>
        <v/>
      </c>
      <c r="AD209">
        <f>IF($D209="","",IF($AP209=1,0,IF($AO209=1,Settings!$C$6,Settings!$C$7))*100)</f>
        <v/>
      </c>
      <c r="AH209" s="7" t="n"/>
      <c r="AK209" s="11" t="n"/>
      <c r="AM209">
        <f>IF($D209="","",IF(COUNTIF($D$2:$D209,$D209)=1,1,0))</f>
        <v/>
      </c>
      <c r="AN209">
        <f>IF($AM209=1,SUMPRODUCT(--($AQ$2:$AQ$1001&lt;$AQ209))+1,"")</f>
        <v/>
      </c>
      <c r="AO209">
        <f>IF($D209="","",IF(OR($U209=TRUE(),$U209="TRUE"),1,0))</f>
        <v/>
      </c>
      <c r="AP209">
        <f>IF($D209="","",IF($AC209="Yes",1,0))</f>
        <v/>
      </c>
      <c r="AQ209">
        <f>IF($AM209=1,IFERROR(VALUE(MID($D209,2,20)),1000000000)+ROW()/100000,"")</f>
        <v/>
      </c>
    </row>
    <row r="210">
      <c r="G210" s="11" t="n"/>
      <c r="Q210" s="7">
        <f>IF($D210="","",P210*Y210/100)</f>
        <v/>
      </c>
      <c r="R210" s="7" t="n"/>
      <c r="X210" s="7" t="n"/>
      <c r="Y210" s="7" t="n"/>
      <c r="Z210" s="7">
        <f>IF($D210="","",Y210*AD210/100)</f>
        <v/>
      </c>
      <c r="AA210" s="7">
        <f>IF($D210="","",Y210-Z210)</f>
        <v/>
      </c>
      <c r="AB210" s="7">
        <f>IF($D210="","",AA210-Q210)</f>
        <v/>
      </c>
      <c r="AD210">
        <f>IF($D210="","",IF($AP210=1,0,IF($AO210=1,Settings!$C$6,Settings!$C$7))*100)</f>
        <v/>
      </c>
      <c r="AH210" s="7" t="n"/>
      <c r="AK210" s="11" t="n"/>
      <c r="AM210">
        <f>IF($D210="","",IF(COUNTIF($D$2:$D210,$D210)=1,1,0))</f>
        <v/>
      </c>
      <c r="AN210">
        <f>IF($AM210=1,SUMPRODUCT(--($AQ$2:$AQ$1001&lt;$AQ210))+1,"")</f>
        <v/>
      </c>
      <c r="AO210">
        <f>IF($D210="","",IF(OR($U210=TRUE(),$U210="TRUE"),1,0))</f>
        <v/>
      </c>
      <c r="AP210">
        <f>IF($D210="","",IF($AC210="Yes",1,0))</f>
        <v/>
      </c>
      <c r="AQ210">
        <f>IF($AM210=1,IFERROR(VALUE(MID($D210,2,20)),1000000000)+ROW()/100000,"")</f>
        <v/>
      </c>
    </row>
    <row r="211">
      <c r="G211" s="11" t="n"/>
      <c r="Q211" s="7">
        <f>IF($D211="","",P211*Y211/100)</f>
        <v/>
      </c>
      <c r="R211" s="7" t="n"/>
      <c r="X211" s="7" t="n"/>
      <c r="Y211" s="7" t="n"/>
      <c r="Z211" s="7">
        <f>IF($D211="","",Y211*AD211/100)</f>
        <v/>
      </c>
      <c r="AA211" s="7">
        <f>IF($D211="","",Y211-Z211)</f>
        <v/>
      </c>
      <c r="AB211" s="7">
        <f>IF($D211="","",AA211-Q211)</f>
        <v/>
      </c>
      <c r="AD211">
        <f>IF($D211="","",IF($AP211=1,0,IF($AO211=1,Settings!$C$6,Settings!$C$7))*100)</f>
        <v/>
      </c>
      <c r="AH211" s="7" t="n"/>
      <c r="AK211" s="11" t="n"/>
      <c r="AM211">
        <f>IF($D211="","",IF(COUNTIF($D$2:$D211,$D211)=1,1,0))</f>
        <v/>
      </c>
      <c r="AN211">
        <f>IF($AM211=1,SUMPRODUCT(--($AQ$2:$AQ$1001&lt;$AQ211))+1,"")</f>
        <v/>
      </c>
      <c r="AO211">
        <f>IF($D211="","",IF(OR($U211=TRUE(),$U211="TRUE"),1,0))</f>
        <v/>
      </c>
      <c r="AP211">
        <f>IF($D211="","",IF($AC211="Yes",1,0))</f>
        <v/>
      </c>
      <c r="AQ211">
        <f>IF($AM211=1,IFERROR(VALUE(MID($D211,2,20)),1000000000)+ROW()/100000,"")</f>
        <v/>
      </c>
    </row>
    <row r="212">
      <c r="G212" s="11" t="n"/>
      <c r="Q212" s="7">
        <f>IF($D212="","",P212*Y212/100)</f>
        <v/>
      </c>
      <c r="R212" s="7" t="n"/>
      <c r="X212" s="7" t="n"/>
      <c r="Y212" s="7" t="n"/>
      <c r="Z212" s="7">
        <f>IF($D212="","",Y212*AD212/100)</f>
        <v/>
      </c>
      <c r="AA212" s="7">
        <f>IF($D212="","",Y212-Z212)</f>
        <v/>
      </c>
      <c r="AB212" s="7">
        <f>IF($D212="","",AA212-Q212)</f>
        <v/>
      </c>
      <c r="AD212">
        <f>IF($D212="","",IF($AP212=1,0,IF($AO212=1,Settings!$C$6,Settings!$C$7))*100)</f>
        <v/>
      </c>
      <c r="AH212" s="7" t="n"/>
      <c r="AK212" s="11" t="n"/>
      <c r="AM212">
        <f>IF($D212="","",IF(COUNTIF($D$2:$D212,$D212)=1,1,0))</f>
        <v/>
      </c>
      <c r="AN212">
        <f>IF($AM212=1,SUMPRODUCT(--($AQ$2:$AQ$1001&lt;$AQ212))+1,"")</f>
        <v/>
      </c>
      <c r="AO212">
        <f>IF($D212="","",IF(OR($U212=TRUE(),$U212="TRUE"),1,0))</f>
        <v/>
      </c>
      <c r="AP212">
        <f>IF($D212="","",IF($AC212="Yes",1,0))</f>
        <v/>
      </c>
      <c r="AQ212">
        <f>IF($AM212=1,IFERROR(VALUE(MID($D212,2,20)),1000000000)+ROW()/100000,"")</f>
        <v/>
      </c>
    </row>
    <row r="213">
      <c r="G213" s="11" t="n"/>
      <c r="Q213" s="7">
        <f>IF($D213="","",P213*Y213/100)</f>
        <v/>
      </c>
      <c r="R213" s="7" t="n"/>
      <c r="X213" s="7" t="n"/>
      <c r="Y213" s="7" t="n"/>
      <c r="Z213" s="7">
        <f>IF($D213="","",Y213*AD213/100)</f>
        <v/>
      </c>
      <c r="AA213" s="7">
        <f>IF($D213="","",Y213-Z213)</f>
        <v/>
      </c>
      <c r="AB213" s="7">
        <f>IF($D213="","",AA213-Q213)</f>
        <v/>
      </c>
      <c r="AD213">
        <f>IF($D213="","",IF($AP213=1,0,IF($AO213=1,Settings!$C$6,Settings!$C$7))*100)</f>
        <v/>
      </c>
      <c r="AH213" s="7" t="n"/>
      <c r="AK213" s="11" t="n"/>
      <c r="AM213">
        <f>IF($D213="","",IF(COUNTIF($D$2:$D213,$D213)=1,1,0))</f>
        <v/>
      </c>
      <c r="AN213">
        <f>IF($AM213=1,SUMPRODUCT(--($AQ$2:$AQ$1001&lt;$AQ213))+1,"")</f>
        <v/>
      </c>
      <c r="AO213">
        <f>IF($D213="","",IF(OR($U213=TRUE(),$U213="TRUE"),1,0))</f>
        <v/>
      </c>
      <c r="AP213">
        <f>IF($D213="","",IF($AC213="Yes",1,0))</f>
        <v/>
      </c>
      <c r="AQ213">
        <f>IF($AM213=1,IFERROR(VALUE(MID($D213,2,20)),1000000000)+ROW()/100000,"")</f>
        <v/>
      </c>
    </row>
    <row r="214">
      <c r="G214" s="11" t="n"/>
      <c r="Q214" s="7">
        <f>IF($D214="","",P214*Y214/100)</f>
        <v/>
      </c>
      <c r="R214" s="7" t="n"/>
      <c r="X214" s="7" t="n"/>
      <c r="Y214" s="7" t="n"/>
      <c r="Z214" s="7">
        <f>IF($D214="","",Y214*AD214/100)</f>
        <v/>
      </c>
      <c r="AA214" s="7">
        <f>IF($D214="","",Y214-Z214)</f>
        <v/>
      </c>
      <c r="AB214" s="7">
        <f>IF($D214="","",AA214-Q214)</f>
        <v/>
      </c>
      <c r="AD214">
        <f>IF($D214="","",IF($AP214=1,0,IF($AO214=1,Settings!$C$6,Settings!$C$7))*100)</f>
        <v/>
      </c>
      <c r="AH214" s="7" t="n"/>
      <c r="AK214" s="11" t="n"/>
      <c r="AM214">
        <f>IF($D214="","",IF(COUNTIF($D$2:$D214,$D214)=1,1,0))</f>
        <v/>
      </c>
      <c r="AN214">
        <f>IF($AM214=1,SUMPRODUCT(--($AQ$2:$AQ$1001&lt;$AQ214))+1,"")</f>
        <v/>
      </c>
      <c r="AO214">
        <f>IF($D214="","",IF(OR($U214=TRUE(),$U214="TRUE"),1,0))</f>
        <v/>
      </c>
      <c r="AP214">
        <f>IF($D214="","",IF($AC214="Yes",1,0))</f>
        <v/>
      </c>
      <c r="AQ214">
        <f>IF($AM214=1,IFERROR(VALUE(MID($D214,2,20)),1000000000)+ROW()/100000,"")</f>
        <v/>
      </c>
    </row>
    <row r="215">
      <c r="G215" s="11" t="n"/>
      <c r="Q215" s="7">
        <f>IF($D215="","",P215*Y215/100)</f>
        <v/>
      </c>
      <c r="R215" s="7" t="n"/>
      <c r="X215" s="7" t="n"/>
      <c r="Y215" s="7" t="n"/>
      <c r="Z215" s="7">
        <f>IF($D215="","",Y215*AD215/100)</f>
        <v/>
      </c>
      <c r="AA215" s="7">
        <f>IF($D215="","",Y215-Z215)</f>
        <v/>
      </c>
      <c r="AB215" s="7">
        <f>IF($D215="","",AA215-Q215)</f>
        <v/>
      </c>
      <c r="AD215">
        <f>IF($D215="","",IF($AP215=1,0,IF($AO215=1,Settings!$C$6,Settings!$C$7))*100)</f>
        <v/>
      </c>
      <c r="AH215" s="7" t="n"/>
      <c r="AK215" s="11" t="n"/>
      <c r="AM215">
        <f>IF($D215="","",IF(COUNTIF($D$2:$D215,$D215)=1,1,0))</f>
        <v/>
      </c>
      <c r="AN215">
        <f>IF($AM215=1,SUMPRODUCT(--($AQ$2:$AQ$1001&lt;$AQ215))+1,"")</f>
        <v/>
      </c>
      <c r="AO215">
        <f>IF($D215="","",IF(OR($U215=TRUE(),$U215="TRUE"),1,0))</f>
        <v/>
      </c>
      <c r="AP215">
        <f>IF($D215="","",IF($AC215="Yes",1,0))</f>
        <v/>
      </c>
      <c r="AQ215">
        <f>IF($AM215=1,IFERROR(VALUE(MID($D215,2,20)),1000000000)+ROW()/100000,"")</f>
        <v/>
      </c>
    </row>
    <row r="216">
      <c r="G216" s="11" t="n"/>
      <c r="Q216" s="7">
        <f>IF($D216="","",P216*Y216/100)</f>
        <v/>
      </c>
      <c r="R216" s="7" t="n"/>
      <c r="X216" s="7" t="n"/>
      <c r="Y216" s="7" t="n"/>
      <c r="Z216" s="7">
        <f>IF($D216="","",Y216*AD216/100)</f>
        <v/>
      </c>
      <c r="AA216" s="7">
        <f>IF($D216="","",Y216-Z216)</f>
        <v/>
      </c>
      <c r="AB216" s="7">
        <f>IF($D216="","",AA216-Q216)</f>
        <v/>
      </c>
      <c r="AD216">
        <f>IF($D216="","",IF($AP216=1,0,IF($AO216=1,Settings!$C$6,Settings!$C$7))*100)</f>
        <v/>
      </c>
      <c r="AH216" s="7" t="n"/>
      <c r="AK216" s="11" t="n"/>
      <c r="AM216">
        <f>IF($D216="","",IF(COUNTIF($D$2:$D216,$D216)=1,1,0))</f>
        <v/>
      </c>
      <c r="AN216">
        <f>IF($AM216=1,SUMPRODUCT(--($AQ$2:$AQ$1001&lt;$AQ216))+1,"")</f>
        <v/>
      </c>
      <c r="AO216">
        <f>IF($D216="","",IF(OR($U216=TRUE(),$U216="TRUE"),1,0))</f>
        <v/>
      </c>
      <c r="AP216">
        <f>IF($D216="","",IF($AC216="Yes",1,0))</f>
        <v/>
      </c>
      <c r="AQ216">
        <f>IF($AM216=1,IFERROR(VALUE(MID($D216,2,20)),1000000000)+ROW()/100000,"")</f>
        <v/>
      </c>
    </row>
    <row r="217">
      <c r="G217" s="11" t="n"/>
      <c r="Q217" s="7">
        <f>IF($D217="","",P217*Y217/100)</f>
        <v/>
      </c>
      <c r="R217" s="7" t="n"/>
      <c r="X217" s="7" t="n"/>
      <c r="Y217" s="7" t="n"/>
      <c r="Z217" s="7">
        <f>IF($D217="","",Y217*AD217/100)</f>
        <v/>
      </c>
      <c r="AA217" s="7">
        <f>IF($D217="","",Y217-Z217)</f>
        <v/>
      </c>
      <c r="AB217" s="7">
        <f>IF($D217="","",AA217-Q217)</f>
        <v/>
      </c>
      <c r="AD217">
        <f>IF($D217="","",IF($AP217=1,0,IF($AO217=1,Settings!$C$6,Settings!$C$7))*100)</f>
        <v/>
      </c>
      <c r="AH217" s="7" t="n"/>
      <c r="AK217" s="11" t="n"/>
      <c r="AM217">
        <f>IF($D217="","",IF(COUNTIF($D$2:$D217,$D217)=1,1,0))</f>
        <v/>
      </c>
      <c r="AN217">
        <f>IF($AM217=1,SUMPRODUCT(--($AQ$2:$AQ$1001&lt;$AQ217))+1,"")</f>
        <v/>
      </c>
      <c r="AO217">
        <f>IF($D217="","",IF(OR($U217=TRUE(),$U217="TRUE"),1,0))</f>
        <v/>
      </c>
      <c r="AP217">
        <f>IF($D217="","",IF($AC217="Yes",1,0))</f>
        <v/>
      </c>
      <c r="AQ217">
        <f>IF($AM217=1,IFERROR(VALUE(MID($D217,2,20)),1000000000)+ROW()/100000,"")</f>
        <v/>
      </c>
    </row>
    <row r="218">
      <c r="G218" s="11" t="n"/>
      <c r="Q218" s="7">
        <f>IF($D218="","",P218*Y218/100)</f>
        <v/>
      </c>
      <c r="R218" s="7" t="n"/>
      <c r="X218" s="7" t="n"/>
      <c r="Y218" s="7" t="n"/>
      <c r="Z218" s="7">
        <f>IF($D218="","",Y218*AD218/100)</f>
        <v/>
      </c>
      <c r="AA218" s="7">
        <f>IF($D218="","",Y218-Z218)</f>
        <v/>
      </c>
      <c r="AB218" s="7">
        <f>IF($D218="","",AA218-Q218)</f>
        <v/>
      </c>
      <c r="AD218">
        <f>IF($D218="","",IF($AP218=1,0,IF($AO218=1,Settings!$C$6,Settings!$C$7))*100)</f>
        <v/>
      </c>
      <c r="AH218" s="7" t="n"/>
      <c r="AK218" s="11" t="n"/>
      <c r="AM218">
        <f>IF($D218="","",IF(COUNTIF($D$2:$D218,$D218)=1,1,0))</f>
        <v/>
      </c>
      <c r="AN218">
        <f>IF($AM218=1,SUMPRODUCT(--($AQ$2:$AQ$1001&lt;$AQ218))+1,"")</f>
        <v/>
      </c>
      <c r="AO218">
        <f>IF($D218="","",IF(OR($U218=TRUE(),$U218="TRUE"),1,0))</f>
        <v/>
      </c>
      <c r="AP218">
        <f>IF($D218="","",IF($AC218="Yes",1,0))</f>
        <v/>
      </c>
      <c r="AQ218">
        <f>IF($AM218=1,IFERROR(VALUE(MID($D218,2,20)),1000000000)+ROW()/100000,"")</f>
        <v/>
      </c>
    </row>
    <row r="219">
      <c r="G219" s="11" t="n"/>
      <c r="Q219" s="7">
        <f>IF($D219="","",P219*Y219/100)</f>
        <v/>
      </c>
      <c r="R219" s="7" t="n"/>
      <c r="X219" s="7" t="n"/>
      <c r="Y219" s="7" t="n"/>
      <c r="Z219" s="7">
        <f>IF($D219="","",Y219*AD219/100)</f>
        <v/>
      </c>
      <c r="AA219" s="7">
        <f>IF($D219="","",Y219-Z219)</f>
        <v/>
      </c>
      <c r="AB219" s="7">
        <f>IF($D219="","",AA219-Q219)</f>
        <v/>
      </c>
      <c r="AD219">
        <f>IF($D219="","",IF($AP219=1,0,IF($AO219=1,Settings!$C$6,Settings!$C$7))*100)</f>
        <v/>
      </c>
      <c r="AH219" s="7" t="n"/>
      <c r="AK219" s="11" t="n"/>
      <c r="AM219">
        <f>IF($D219="","",IF(COUNTIF($D$2:$D219,$D219)=1,1,0))</f>
        <v/>
      </c>
      <c r="AN219">
        <f>IF($AM219=1,SUMPRODUCT(--($AQ$2:$AQ$1001&lt;$AQ219))+1,"")</f>
        <v/>
      </c>
      <c r="AO219">
        <f>IF($D219="","",IF(OR($U219=TRUE(),$U219="TRUE"),1,0))</f>
        <v/>
      </c>
      <c r="AP219">
        <f>IF($D219="","",IF($AC219="Yes",1,0))</f>
        <v/>
      </c>
      <c r="AQ219">
        <f>IF($AM219=1,IFERROR(VALUE(MID($D219,2,20)),1000000000)+ROW()/100000,"")</f>
        <v/>
      </c>
    </row>
    <row r="220">
      <c r="G220" s="11" t="n"/>
      <c r="Q220" s="7">
        <f>IF($D220="","",P220*Y220/100)</f>
        <v/>
      </c>
      <c r="R220" s="7" t="n"/>
      <c r="X220" s="7" t="n"/>
      <c r="Y220" s="7" t="n"/>
      <c r="Z220" s="7">
        <f>IF($D220="","",Y220*AD220/100)</f>
        <v/>
      </c>
      <c r="AA220" s="7">
        <f>IF($D220="","",Y220-Z220)</f>
        <v/>
      </c>
      <c r="AB220" s="7">
        <f>IF($D220="","",AA220-Q220)</f>
        <v/>
      </c>
      <c r="AD220">
        <f>IF($D220="","",IF($AP220=1,0,IF($AO220=1,Settings!$C$6,Settings!$C$7))*100)</f>
        <v/>
      </c>
      <c r="AH220" s="7" t="n"/>
      <c r="AK220" s="11" t="n"/>
      <c r="AM220">
        <f>IF($D220="","",IF(COUNTIF($D$2:$D220,$D220)=1,1,0))</f>
        <v/>
      </c>
      <c r="AN220">
        <f>IF($AM220=1,SUMPRODUCT(--($AQ$2:$AQ$1001&lt;$AQ220))+1,"")</f>
        <v/>
      </c>
      <c r="AO220">
        <f>IF($D220="","",IF(OR($U220=TRUE(),$U220="TRUE"),1,0))</f>
        <v/>
      </c>
      <c r="AP220">
        <f>IF($D220="","",IF($AC220="Yes",1,0))</f>
        <v/>
      </c>
      <c r="AQ220">
        <f>IF($AM220=1,IFERROR(VALUE(MID($D220,2,20)),1000000000)+ROW()/100000,"")</f>
        <v/>
      </c>
    </row>
    <row r="221">
      <c r="G221" s="11" t="n"/>
      <c r="Q221" s="7">
        <f>IF($D221="","",P221*Y221/100)</f>
        <v/>
      </c>
      <c r="R221" s="7" t="n"/>
      <c r="X221" s="7" t="n"/>
      <c r="Y221" s="7" t="n"/>
      <c r="Z221" s="7">
        <f>IF($D221="","",Y221*AD221/100)</f>
        <v/>
      </c>
      <c r="AA221" s="7">
        <f>IF($D221="","",Y221-Z221)</f>
        <v/>
      </c>
      <c r="AB221" s="7">
        <f>IF($D221="","",AA221-Q221)</f>
        <v/>
      </c>
      <c r="AD221">
        <f>IF($D221="","",IF($AP221=1,0,IF($AO221=1,Settings!$C$6,Settings!$C$7))*100)</f>
        <v/>
      </c>
      <c r="AH221" s="7" t="n"/>
      <c r="AK221" s="11" t="n"/>
      <c r="AM221">
        <f>IF($D221="","",IF(COUNTIF($D$2:$D221,$D221)=1,1,0))</f>
        <v/>
      </c>
      <c r="AN221">
        <f>IF($AM221=1,SUMPRODUCT(--($AQ$2:$AQ$1001&lt;$AQ221))+1,"")</f>
        <v/>
      </c>
      <c r="AO221">
        <f>IF($D221="","",IF(OR($U221=TRUE(),$U221="TRUE"),1,0))</f>
        <v/>
      </c>
      <c r="AP221">
        <f>IF($D221="","",IF($AC221="Yes",1,0))</f>
        <v/>
      </c>
      <c r="AQ221">
        <f>IF($AM221=1,IFERROR(VALUE(MID($D221,2,20)),1000000000)+ROW()/100000,"")</f>
        <v/>
      </c>
    </row>
    <row r="222">
      <c r="G222" s="11" t="n"/>
      <c r="Q222" s="7">
        <f>IF($D222="","",P222*Y222/100)</f>
        <v/>
      </c>
      <c r="R222" s="7" t="n"/>
      <c r="X222" s="7" t="n"/>
      <c r="Y222" s="7" t="n"/>
      <c r="Z222" s="7">
        <f>IF($D222="","",Y222*AD222/100)</f>
        <v/>
      </c>
      <c r="AA222" s="7">
        <f>IF($D222="","",Y222-Z222)</f>
        <v/>
      </c>
      <c r="AB222" s="7">
        <f>IF($D222="","",AA222-Q222)</f>
        <v/>
      </c>
      <c r="AD222">
        <f>IF($D222="","",IF($AP222=1,0,IF($AO222=1,Settings!$C$6,Settings!$C$7))*100)</f>
        <v/>
      </c>
      <c r="AH222" s="7" t="n"/>
      <c r="AK222" s="11" t="n"/>
      <c r="AM222">
        <f>IF($D222="","",IF(COUNTIF($D$2:$D222,$D222)=1,1,0))</f>
        <v/>
      </c>
      <c r="AN222">
        <f>IF($AM222=1,SUMPRODUCT(--($AQ$2:$AQ$1001&lt;$AQ222))+1,"")</f>
        <v/>
      </c>
      <c r="AO222">
        <f>IF($D222="","",IF(OR($U222=TRUE(),$U222="TRUE"),1,0))</f>
        <v/>
      </c>
      <c r="AP222">
        <f>IF($D222="","",IF($AC222="Yes",1,0))</f>
        <v/>
      </c>
      <c r="AQ222">
        <f>IF($AM222=1,IFERROR(VALUE(MID($D222,2,20)),1000000000)+ROW()/100000,"")</f>
        <v/>
      </c>
    </row>
    <row r="223">
      <c r="G223" s="11" t="n"/>
      <c r="Q223" s="7">
        <f>IF($D223="","",P223*Y223/100)</f>
        <v/>
      </c>
      <c r="R223" s="7" t="n"/>
      <c r="X223" s="7" t="n"/>
      <c r="Y223" s="7" t="n"/>
      <c r="Z223" s="7">
        <f>IF($D223="","",Y223*AD223/100)</f>
        <v/>
      </c>
      <c r="AA223" s="7">
        <f>IF($D223="","",Y223-Z223)</f>
        <v/>
      </c>
      <c r="AB223" s="7">
        <f>IF($D223="","",AA223-Q223)</f>
        <v/>
      </c>
      <c r="AD223">
        <f>IF($D223="","",IF($AP223=1,0,IF($AO223=1,Settings!$C$6,Settings!$C$7))*100)</f>
        <v/>
      </c>
      <c r="AH223" s="7" t="n"/>
      <c r="AK223" s="11" t="n"/>
      <c r="AM223">
        <f>IF($D223="","",IF(COUNTIF($D$2:$D223,$D223)=1,1,0))</f>
        <v/>
      </c>
      <c r="AN223">
        <f>IF($AM223=1,SUMPRODUCT(--($AQ$2:$AQ$1001&lt;$AQ223))+1,"")</f>
        <v/>
      </c>
      <c r="AO223">
        <f>IF($D223="","",IF(OR($U223=TRUE(),$U223="TRUE"),1,0))</f>
        <v/>
      </c>
      <c r="AP223">
        <f>IF($D223="","",IF($AC223="Yes",1,0))</f>
        <v/>
      </c>
      <c r="AQ223">
        <f>IF($AM223=1,IFERROR(VALUE(MID($D223,2,20)),1000000000)+ROW()/100000,"")</f>
        <v/>
      </c>
    </row>
    <row r="224">
      <c r="G224" s="11" t="n"/>
      <c r="Q224" s="7">
        <f>IF($D224="","",P224*Y224/100)</f>
        <v/>
      </c>
      <c r="R224" s="7" t="n"/>
      <c r="X224" s="7" t="n"/>
      <c r="Y224" s="7" t="n"/>
      <c r="Z224" s="7">
        <f>IF($D224="","",Y224*AD224/100)</f>
        <v/>
      </c>
      <c r="AA224" s="7">
        <f>IF($D224="","",Y224-Z224)</f>
        <v/>
      </c>
      <c r="AB224" s="7">
        <f>IF($D224="","",AA224-Q224)</f>
        <v/>
      </c>
      <c r="AD224">
        <f>IF($D224="","",IF($AP224=1,0,IF($AO224=1,Settings!$C$6,Settings!$C$7))*100)</f>
        <v/>
      </c>
      <c r="AH224" s="7" t="n"/>
      <c r="AK224" s="11" t="n"/>
      <c r="AM224">
        <f>IF($D224="","",IF(COUNTIF($D$2:$D224,$D224)=1,1,0))</f>
        <v/>
      </c>
      <c r="AN224">
        <f>IF($AM224=1,SUMPRODUCT(--($AQ$2:$AQ$1001&lt;$AQ224))+1,"")</f>
        <v/>
      </c>
      <c r="AO224">
        <f>IF($D224="","",IF(OR($U224=TRUE(),$U224="TRUE"),1,0))</f>
        <v/>
      </c>
      <c r="AP224">
        <f>IF($D224="","",IF($AC224="Yes",1,0))</f>
        <v/>
      </c>
      <c r="AQ224">
        <f>IF($AM224=1,IFERROR(VALUE(MID($D224,2,20)),1000000000)+ROW()/100000,"")</f>
        <v/>
      </c>
    </row>
    <row r="225">
      <c r="G225" s="11" t="n"/>
      <c r="Q225" s="7">
        <f>IF($D225="","",P225*Y225/100)</f>
        <v/>
      </c>
      <c r="R225" s="7" t="n"/>
      <c r="X225" s="7" t="n"/>
      <c r="Y225" s="7" t="n"/>
      <c r="Z225" s="7">
        <f>IF($D225="","",Y225*AD225/100)</f>
        <v/>
      </c>
      <c r="AA225" s="7">
        <f>IF($D225="","",Y225-Z225)</f>
        <v/>
      </c>
      <c r="AB225" s="7">
        <f>IF($D225="","",AA225-Q225)</f>
        <v/>
      </c>
      <c r="AD225">
        <f>IF($D225="","",IF($AP225=1,0,IF($AO225=1,Settings!$C$6,Settings!$C$7))*100)</f>
        <v/>
      </c>
      <c r="AH225" s="7" t="n"/>
      <c r="AK225" s="11" t="n"/>
      <c r="AM225">
        <f>IF($D225="","",IF(COUNTIF($D$2:$D225,$D225)=1,1,0))</f>
        <v/>
      </c>
      <c r="AN225">
        <f>IF($AM225=1,SUMPRODUCT(--($AQ$2:$AQ$1001&lt;$AQ225))+1,"")</f>
        <v/>
      </c>
      <c r="AO225">
        <f>IF($D225="","",IF(OR($U225=TRUE(),$U225="TRUE"),1,0))</f>
        <v/>
      </c>
      <c r="AP225">
        <f>IF($D225="","",IF($AC225="Yes",1,0))</f>
        <v/>
      </c>
      <c r="AQ225">
        <f>IF($AM225=1,IFERROR(VALUE(MID($D225,2,20)),1000000000)+ROW()/100000,"")</f>
        <v/>
      </c>
    </row>
    <row r="226">
      <c r="G226" s="11" t="n"/>
      <c r="Q226" s="7">
        <f>IF($D226="","",P226*Y226/100)</f>
        <v/>
      </c>
      <c r="R226" s="7" t="n"/>
      <c r="X226" s="7" t="n"/>
      <c r="Y226" s="7" t="n"/>
      <c r="Z226" s="7">
        <f>IF($D226="","",Y226*AD226/100)</f>
        <v/>
      </c>
      <c r="AA226" s="7">
        <f>IF($D226="","",Y226-Z226)</f>
        <v/>
      </c>
      <c r="AB226" s="7">
        <f>IF($D226="","",AA226-Q226)</f>
        <v/>
      </c>
      <c r="AD226">
        <f>IF($D226="","",IF($AP226=1,0,IF($AO226=1,Settings!$C$6,Settings!$C$7))*100)</f>
        <v/>
      </c>
      <c r="AH226" s="7" t="n"/>
      <c r="AK226" s="11" t="n"/>
      <c r="AM226">
        <f>IF($D226="","",IF(COUNTIF($D$2:$D226,$D226)=1,1,0))</f>
        <v/>
      </c>
      <c r="AN226">
        <f>IF($AM226=1,SUMPRODUCT(--($AQ$2:$AQ$1001&lt;$AQ226))+1,"")</f>
        <v/>
      </c>
      <c r="AO226">
        <f>IF($D226="","",IF(OR($U226=TRUE(),$U226="TRUE"),1,0))</f>
        <v/>
      </c>
      <c r="AP226">
        <f>IF($D226="","",IF($AC226="Yes",1,0))</f>
        <v/>
      </c>
      <c r="AQ226">
        <f>IF($AM226=1,IFERROR(VALUE(MID($D226,2,20)),1000000000)+ROW()/100000,"")</f>
        <v/>
      </c>
    </row>
    <row r="227">
      <c r="G227" s="11" t="n"/>
      <c r="Q227" s="7">
        <f>IF($D227="","",P227*Y227/100)</f>
        <v/>
      </c>
      <c r="R227" s="7" t="n"/>
      <c r="X227" s="7" t="n"/>
      <c r="Y227" s="7" t="n"/>
      <c r="Z227" s="7">
        <f>IF($D227="","",Y227*AD227/100)</f>
        <v/>
      </c>
      <c r="AA227" s="7">
        <f>IF($D227="","",Y227-Z227)</f>
        <v/>
      </c>
      <c r="AB227" s="7">
        <f>IF($D227="","",AA227-Q227)</f>
        <v/>
      </c>
      <c r="AD227">
        <f>IF($D227="","",IF($AP227=1,0,IF($AO227=1,Settings!$C$6,Settings!$C$7))*100)</f>
        <v/>
      </c>
      <c r="AH227" s="7" t="n"/>
      <c r="AK227" s="11" t="n"/>
      <c r="AM227">
        <f>IF($D227="","",IF(COUNTIF($D$2:$D227,$D227)=1,1,0))</f>
        <v/>
      </c>
      <c r="AN227">
        <f>IF($AM227=1,SUMPRODUCT(--($AQ$2:$AQ$1001&lt;$AQ227))+1,"")</f>
        <v/>
      </c>
      <c r="AO227">
        <f>IF($D227="","",IF(OR($U227=TRUE(),$U227="TRUE"),1,0))</f>
        <v/>
      </c>
      <c r="AP227">
        <f>IF($D227="","",IF($AC227="Yes",1,0))</f>
        <v/>
      </c>
      <c r="AQ227">
        <f>IF($AM227=1,IFERROR(VALUE(MID($D227,2,20)),1000000000)+ROW()/100000,"")</f>
        <v/>
      </c>
    </row>
    <row r="228">
      <c r="G228" s="11" t="n"/>
      <c r="Q228" s="7">
        <f>IF($D228="","",P228*Y228/100)</f>
        <v/>
      </c>
      <c r="R228" s="7" t="n"/>
      <c r="X228" s="7" t="n"/>
      <c r="Y228" s="7" t="n"/>
      <c r="Z228" s="7">
        <f>IF($D228="","",Y228*AD228/100)</f>
        <v/>
      </c>
      <c r="AA228" s="7">
        <f>IF($D228="","",Y228-Z228)</f>
        <v/>
      </c>
      <c r="AB228" s="7">
        <f>IF($D228="","",AA228-Q228)</f>
        <v/>
      </c>
      <c r="AD228">
        <f>IF($D228="","",IF($AP228=1,0,IF($AO228=1,Settings!$C$6,Settings!$C$7))*100)</f>
        <v/>
      </c>
      <c r="AH228" s="7" t="n"/>
      <c r="AK228" s="11" t="n"/>
      <c r="AM228">
        <f>IF($D228="","",IF(COUNTIF($D$2:$D228,$D228)=1,1,0))</f>
        <v/>
      </c>
      <c r="AN228">
        <f>IF($AM228=1,SUMPRODUCT(--($AQ$2:$AQ$1001&lt;$AQ228))+1,"")</f>
        <v/>
      </c>
      <c r="AO228">
        <f>IF($D228="","",IF(OR($U228=TRUE(),$U228="TRUE"),1,0))</f>
        <v/>
      </c>
      <c r="AP228">
        <f>IF($D228="","",IF($AC228="Yes",1,0))</f>
        <v/>
      </c>
      <c r="AQ228">
        <f>IF($AM228=1,IFERROR(VALUE(MID($D228,2,20)),1000000000)+ROW()/100000,"")</f>
        <v/>
      </c>
    </row>
    <row r="229">
      <c r="G229" s="11" t="n"/>
      <c r="Q229" s="7">
        <f>IF($D229="","",P229*Y229/100)</f>
        <v/>
      </c>
      <c r="R229" s="7" t="n"/>
      <c r="X229" s="7" t="n"/>
      <c r="Y229" s="7" t="n"/>
      <c r="Z229" s="7">
        <f>IF($D229="","",Y229*AD229/100)</f>
        <v/>
      </c>
      <c r="AA229" s="7">
        <f>IF($D229="","",Y229-Z229)</f>
        <v/>
      </c>
      <c r="AB229" s="7">
        <f>IF($D229="","",AA229-Q229)</f>
        <v/>
      </c>
      <c r="AD229">
        <f>IF($D229="","",IF($AP229=1,0,IF($AO229=1,Settings!$C$6,Settings!$C$7))*100)</f>
        <v/>
      </c>
      <c r="AH229" s="7" t="n"/>
      <c r="AK229" s="11" t="n"/>
      <c r="AM229">
        <f>IF($D229="","",IF(COUNTIF($D$2:$D229,$D229)=1,1,0))</f>
        <v/>
      </c>
      <c r="AN229">
        <f>IF($AM229=1,SUMPRODUCT(--($AQ$2:$AQ$1001&lt;$AQ229))+1,"")</f>
        <v/>
      </c>
      <c r="AO229">
        <f>IF($D229="","",IF(OR($U229=TRUE(),$U229="TRUE"),1,0))</f>
        <v/>
      </c>
      <c r="AP229">
        <f>IF($D229="","",IF($AC229="Yes",1,0))</f>
        <v/>
      </c>
      <c r="AQ229">
        <f>IF($AM229=1,IFERROR(VALUE(MID($D229,2,20)),1000000000)+ROW()/100000,"")</f>
        <v/>
      </c>
    </row>
    <row r="230">
      <c r="G230" s="11" t="n"/>
      <c r="Q230" s="7">
        <f>IF($D230="","",P230*Y230/100)</f>
        <v/>
      </c>
      <c r="R230" s="7" t="n"/>
      <c r="X230" s="7" t="n"/>
      <c r="Y230" s="7" t="n"/>
      <c r="Z230" s="7">
        <f>IF($D230="","",Y230*AD230/100)</f>
        <v/>
      </c>
      <c r="AA230" s="7">
        <f>IF($D230="","",Y230-Z230)</f>
        <v/>
      </c>
      <c r="AB230" s="7">
        <f>IF($D230="","",AA230-Q230)</f>
        <v/>
      </c>
      <c r="AD230">
        <f>IF($D230="","",IF($AP230=1,0,IF($AO230=1,Settings!$C$6,Settings!$C$7))*100)</f>
        <v/>
      </c>
      <c r="AH230" s="7" t="n"/>
      <c r="AK230" s="11" t="n"/>
      <c r="AM230">
        <f>IF($D230="","",IF(COUNTIF($D$2:$D230,$D230)=1,1,0))</f>
        <v/>
      </c>
      <c r="AN230">
        <f>IF($AM230=1,SUMPRODUCT(--($AQ$2:$AQ$1001&lt;$AQ230))+1,"")</f>
        <v/>
      </c>
      <c r="AO230">
        <f>IF($D230="","",IF(OR($U230=TRUE(),$U230="TRUE"),1,0))</f>
        <v/>
      </c>
      <c r="AP230">
        <f>IF($D230="","",IF($AC230="Yes",1,0))</f>
        <v/>
      </c>
      <c r="AQ230">
        <f>IF($AM230=1,IFERROR(VALUE(MID($D230,2,20)),1000000000)+ROW()/100000,"")</f>
        <v/>
      </c>
    </row>
    <row r="231">
      <c r="G231" s="11" t="n"/>
      <c r="Q231" s="7">
        <f>IF($D231="","",P231*Y231/100)</f>
        <v/>
      </c>
      <c r="R231" s="7" t="n"/>
      <c r="X231" s="7" t="n"/>
      <c r="Y231" s="7" t="n"/>
      <c r="Z231" s="7">
        <f>IF($D231="","",Y231*AD231/100)</f>
        <v/>
      </c>
      <c r="AA231" s="7">
        <f>IF($D231="","",Y231-Z231)</f>
        <v/>
      </c>
      <c r="AB231" s="7">
        <f>IF($D231="","",AA231-Q231)</f>
        <v/>
      </c>
      <c r="AD231">
        <f>IF($D231="","",IF($AP231=1,0,IF($AO231=1,Settings!$C$6,Settings!$C$7))*100)</f>
        <v/>
      </c>
      <c r="AH231" s="7" t="n"/>
      <c r="AK231" s="11" t="n"/>
      <c r="AM231">
        <f>IF($D231="","",IF(COUNTIF($D$2:$D231,$D231)=1,1,0))</f>
        <v/>
      </c>
      <c r="AN231">
        <f>IF($AM231=1,SUMPRODUCT(--($AQ$2:$AQ$1001&lt;$AQ231))+1,"")</f>
        <v/>
      </c>
      <c r="AO231">
        <f>IF($D231="","",IF(OR($U231=TRUE(),$U231="TRUE"),1,0))</f>
        <v/>
      </c>
      <c r="AP231">
        <f>IF($D231="","",IF($AC231="Yes",1,0))</f>
        <v/>
      </c>
      <c r="AQ231">
        <f>IF($AM231=1,IFERROR(VALUE(MID($D231,2,20)),1000000000)+ROW()/100000,"")</f>
        <v/>
      </c>
    </row>
    <row r="232">
      <c r="G232" s="11" t="n"/>
      <c r="Q232" s="7">
        <f>IF($D232="","",P232*Y232/100)</f>
        <v/>
      </c>
      <c r="R232" s="7" t="n"/>
      <c r="X232" s="7" t="n"/>
      <c r="Y232" s="7" t="n"/>
      <c r="Z232" s="7">
        <f>IF($D232="","",Y232*AD232/100)</f>
        <v/>
      </c>
      <c r="AA232" s="7">
        <f>IF($D232="","",Y232-Z232)</f>
        <v/>
      </c>
      <c r="AB232" s="7">
        <f>IF($D232="","",AA232-Q232)</f>
        <v/>
      </c>
      <c r="AD232">
        <f>IF($D232="","",IF($AP232=1,0,IF($AO232=1,Settings!$C$6,Settings!$C$7))*100)</f>
        <v/>
      </c>
      <c r="AH232" s="7" t="n"/>
      <c r="AK232" s="11" t="n"/>
      <c r="AM232">
        <f>IF($D232="","",IF(COUNTIF($D$2:$D232,$D232)=1,1,0))</f>
        <v/>
      </c>
      <c r="AN232">
        <f>IF($AM232=1,SUMPRODUCT(--($AQ$2:$AQ$1001&lt;$AQ232))+1,"")</f>
        <v/>
      </c>
      <c r="AO232">
        <f>IF($D232="","",IF(OR($U232=TRUE(),$U232="TRUE"),1,0))</f>
        <v/>
      </c>
      <c r="AP232">
        <f>IF($D232="","",IF($AC232="Yes",1,0))</f>
        <v/>
      </c>
      <c r="AQ232">
        <f>IF($AM232=1,IFERROR(VALUE(MID($D232,2,20)),1000000000)+ROW()/100000,"")</f>
        <v/>
      </c>
    </row>
    <row r="233">
      <c r="G233" s="11" t="n"/>
      <c r="Q233" s="7">
        <f>IF($D233="","",P233*Y233/100)</f>
        <v/>
      </c>
      <c r="R233" s="7" t="n"/>
      <c r="X233" s="7" t="n"/>
      <c r="Y233" s="7" t="n"/>
      <c r="Z233" s="7">
        <f>IF($D233="","",Y233*AD233/100)</f>
        <v/>
      </c>
      <c r="AA233" s="7">
        <f>IF($D233="","",Y233-Z233)</f>
        <v/>
      </c>
      <c r="AB233" s="7">
        <f>IF($D233="","",AA233-Q233)</f>
        <v/>
      </c>
      <c r="AD233">
        <f>IF($D233="","",IF($AP233=1,0,IF($AO233=1,Settings!$C$6,Settings!$C$7))*100)</f>
        <v/>
      </c>
      <c r="AH233" s="7" t="n"/>
      <c r="AK233" s="11" t="n"/>
      <c r="AM233">
        <f>IF($D233="","",IF(COUNTIF($D$2:$D233,$D233)=1,1,0))</f>
        <v/>
      </c>
      <c r="AN233">
        <f>IF($AM233=1,SUMPRODUCT(--($AQ$2:$AQ$1001&lt;$AQ233))+1,"")</f>
        <v/>
      </c>
      <c r="AO233">
        <f>IF($D233="","",IF(OR($U233=TRUE(),$U233="TRUE"),1,0))</f>
        <v/>
      </c>
      <c r="AP233">
        <f>IF($D233="","",IF($AC233="Yes",1,0))</f>
        <v/>
      </c>
      <c r="AQ233">
        <f>IF($AM233=1,IFERROR(VALUE(MID($D233,2,20)),1000000000)+ROW()/100000,"")</f>
        <v/>
      </c>
    </row>
    <row r="234">
      <c r="G234" s="11" t="n"/>
      <c r="Q234" s="7">
        <f>IF($D234="","",P234*Y234/100)</f>
        <v/>
      </c>
      <c r="R234" s="7" t="n"/>
      <c r="X234" s="7" t="n"/>
      <c r="Y234" s="7" t="n"/>
      <c r="Z234" s="7">
        <f>IF($D234="","",Y234*AD234/100)</f>
        <v/>
      </c>
      <c r="AA234" s="7">
        <f>IF($D234="","",Y234-Z234)</f>
        <v/>
      </c>
      <c r="AB234" s="7">
        <f>IF($D234="","",AA234-Q234)</f>
        <v/>
      </c>
      <c r="AD234">
        <f>IF($D234="","",IF($AP234=1,0,IF($AO234=1,Settings!$C$6,Settings!$C$7))*100)</f>
        <v/>
      </c>
      <c r="AH234" s="7" t="n"/>
      <c r="AK234" s="11" t="n"/>
      <c r="AM234">
        <f>IF($D234="","",IF(COUNTIF($D$2:$D234,$D234)=1,1,0))</f>
        <v/>
      </c>
      <c r="AN234">
        <f>IF($AM234=1,SUMPRODUCT(--($AQ$2:$AQ$1001&lt;$AQ234))+1,"")</f>
        <v/>
      </c>
      <c r="AO234">
        <f>IF($D234="","",IF(OR($U234=TRUE(),$U234="TRUE"),1,0))</f>
        <v/>
      </c>
      <c r="AP234">
        <f>IF($D234="","",IF($AC234="Yes",1,0))</f>
        <v/>
      </c>
      <c r="AQ234">
        <f>IF($AM234=1,IFERROR(VALUE(MID($D234,2,20)),1000000000)+ROW()/100000,"")</f>
        <v/>
      </c>
    </row>
    <row r="235">
      <c r="G235" s="11" t="n"/>
      <c r="Q235" s="7">
        <f>IF($D235="","",P235*Y235/100)</f>
        <v/>
      </c>
      <c r="R235" s="7" t="n"/>
      <c r="X235" s="7" t="n"/>
      <c r="Y235" s="7" t="n"/>
      <c r="Z235" s="7">
        <f>IF($D235="","",Y235*AD235/100)</f>
        <v/>
      </c>
      <c r="AA235" s="7">
        <f>IF($D235="","",Y235-Z235)</f>
        <v/>
      </c>
      <c r="AB235" s="7">
        <f>IF($D235="","",AA235-Q235)</f>
        <v/>
      </c>
      <c r="AD235">
        <f>IF($D235="","",IF($AP235=1,0,IF($AO235=1,Settings!$C$6,Settings!$C$7))*100)</f>
        <v/>
      </c>
      <c r="AH235" s="7" t="n"/>
      <c r="AK235" s="11" t="n"/>
      <c r="AM235">
        <f>IF($D235="","",IF(COUNTIF($D$2:$D235,$D235)=1,1,0))</f>
        <v/>
      </c>
      <c r="AN235">
        <f>IF($AM235=1,SUMPRODUCT(--($AQ$2:$AQ$1001&lt;$AQ235))+1,"")</f>
        <v/>
      </c>
      <c r="AO235">
        <f>IF($D235="","",IF(OR($U235=TRUE(),$U235="TRUE"),1,0))</f>
        <v/>
      </c>
      <c r="AP235">
        <f>IF($D235="","",IF($AC235="Yes",1,0))</f>
        <v/>
      </c>
      <c r="AQ235">
        <f>IF($AM235=1,IFERROR(VALUE(MID($D235,2,20)),1000000000)+ROW()/100000,"")</f>
        <v/>
      </c>
    </row>
    <row r="236">
      <c r="G236" s="11" t="n"/>
      <c r="Q236" s="7">
        <f>IF($D236="","",P236*Y236/100)</f>
        <v/>
      </c>
      <c r="R236" s="7" t="n"/>
      <c r="X236" s="7" t="n"/>
      <c r="Y236" s="7" t="n"/>
      <c r="Z236" s="7">
        <f>IF($D236="","",Y236*AD236/100)</f>
        <v/>
      </c>
      <c r="AA236" s="7">
        <f>IF($D236="","",Y236-Z236)</f>
        <v/>
      </c>
      <c r="AB236" s="7">
        <f>IF($D236="","",AA236-Q236)</f>
        <v/>
      </c>
      <c r="AD236">
        <f>IF($D236="","",IF($AP236=1,0,IF($AO236=1,Settings!$C$6,Settings!$C$7))*100)</f>
        <v/>
      </c>
      <c r="AH236" s="7" t="n"/>
      <c r="AK236" s="11" t="n"/>
      <c r="AM236">
        <f>IF($D236="","",IF(COUNTIF($D$2:$D236,$D236)=1,1,0))</f>
        <v/>
      </c>
      <c r="AN236">
        <f>IF($AM236=1,SUMPRODUCT(--($AQ$2:$AQ$1001&lt;$AQ236))+1,"")</f>
        <v/>
      </c>
      <c r="AO236">
        <f>IF($D236="","",IF(OR($U236=TRUE(),$U236="TRUE"),1,0))</f>
        <v/>
      </c>
      <c r="AP236">
        <f>IF($D236="","",IF($AC236="Yes",1,0))</f>
        <v/>
      </c>
      <c r="AQ236">
        <f>IF($AM236=1,IFERROR(VALUE(MID($D236,2,20)),1000000000)+ROW()/100000,"")</f>
        <v/>
      </c>
    </row>
    <row r="237">
      <c r="G237" s="11" t="n"/>
      <c r="Q237" s="7">
        <f>IF($D237="","",P237*Y237/100)</f>
        <v/>
      </c>
      <c r="R237" s="7" t="n"/>
      <c r="X237" s="7" t="n"/>
      <c r="Y237" s="7" t="n"/>
      <c r="Z237" s="7">
        <f>IF($D237="","",Y237*AD237/100)</f>
        <v/>
      </c>
      <c r="AA237" s="7">
        <f>IF($D237="","",Y237-Z237)</f>
        <v/>
      </c>
      <c r="AB237" s="7">
        <f>IF($D237="","",AA237-Q237)</f>
        <v/>
      </c>
      <c r="AD237">
        <f>IF($D237="","",IF($AP237=1,0,IF($AO237=1,Settings!$C$6,Settings!$C$7))*100)</f>
        <v/>
      </c>
      <c r="AH237" s="7" t="n"/>
      <c r="AK237" s="11" t="n"/>
      <c r="AM237">
        <f>IF($D237="","",IF(COUNTIF($D$2:$D237,$D237)=1,1,0))</f>
        <v/>
      </c>
      <c r="AN237">
        <f>IF($AM237=1,SUMPRODUCT(--($AQ$2:$AQ$1001&lt;$AQ237))+1,"")</f>
        <v/>
      </c>
      <c r="AO237">
        <f>IF($D237="","",IF(OR($U237=TRUE(),$U237="TRUE"),1,0))</f>
        <v/>
      </c>
      <c r="AP237">
        <f>IF($D237="","",IF($AC237="Yes",1,0))</f>
        <v/>
      </c>
      <c r="AQ237">
        <f>IF($AM237=1,IFERROR(VALUE(MID($D237,2,20)),1000000000)+ROW()/100000,"")</f>
        <v/>
      </c>
    </row>
    <row r="238">
      <c r="G238" s="11" t="n"/>
      <c r="Q238" s="7">
        <f>IF($D238="","",P238*Y238/100)</f>
        <v/>
      </c>
      <c r="R238" s="7" t="n"/>
      <c r="X238" s="7" t="n"/>
      <c r="Y238" s="7" t="n"/>
      <c r="Z238" s="7">
        <f>IF($D238="","",Y238*AD238/100)</f>
        <v/>
      </c>
      <c r="AA238" s="7">
        <f>IF($D238="","",Y238-Z238)</f>
        <v/>
      </c>
      <c r="AB238" s="7">
        <f>IF($D238="","",AA238-Q238)</f>
        <v/>
      </c>
      <c r="AD238">
        <f>IF($D238="","",IF($AP238=1,0,IF($AO238=1,Settings!$C$6,Settings!$C$7))*100)</f>
        <v/>
      </c>
      <c r="AH238" s="7" t="n"/>
      <c r="AK238" s="11" t="n"/>
      <c r="AM238">
        <f>IF($D238="","",IF(COUNTIF($D$2:$D238,$D238)=1,1,0))</f>
        <v/>
      </c>
      <c r="AN238">
        <f>IF($AM238=1,SUMPRODUCT(--($AQ$2:$AQ$1001&lt;$AQ238))+1,"")</f>
        <v/>
      </c>
      <c r="AO238">
        <f>IF($D238="","",IF(OR($U238=TRUE(),$U238="TRUE"),1,0))</f>
        <v/>
      </c>
      <c r="AP238">
        <f>IF($D238="","",IF($AC238="Yes",1,0))</f>
        <v/>
      </c>
      <c r="AQ238">
        <f>IF($AM238=1,IFERROR(VALUE(MID($D238,2,20)),1000000000)+ROW()/100000,"")</f>
        <v/>
      </c>
    </row>
    <row r="239">
      <c r="G239" s="11" t="n"/>
      <c r="Q239" s="7">
        <f>IF($D239="","",P239*Y239/100)</f>
        <v/>
      </c>
      <c r="R239" s="7" t="n"/>
      <c r="X239" s="7" t="n"/>
      <c r="Y239" s="7" t="n"/>
      <c r="Z239" s="7">
        <f>IF($D239="","",Y239*AD239/100)</f>
        <v/>
      </c>
      <c r="AA239" s="7">
        <f>IF($D239="","",Y239-Z239)</f>
        <v/>
      </c>
      <c r="AB239" s="7">
        <f>IF($D239="","",AA239-Q239)</f>
        <v/>
      </c>
      <c r="AD239">
        <f>IF($D239="","",IF($AP239=1,0,IF($AO239=1,Settings!$C$6,Settings!$C$7))*100)</f>
        <v/>
      </c>
      <c r="AH239" s="7" t="n"/>
      <c r="AK239" s="11" t="n"/>
      <c r="AM239">
        <f>IF($D239="","",IF(COUNTIF($D$2:$D239,$D239)=1,1,0))</f>
        <v/>
      </c>
      <c r="AN239">
        <f>IF($AM239=1,SUMPRODUCT(--($AQ$2:$AQ$1001&lt;$AQ239))+1,"")</f>
        <v/>
      </c>
      <c r="AO239">
        <f>IF($D239="","",IF(OR($U239=TRUE(),$U239="TRUE"),1,0))</f>
        <v/>
      </c>
      <c r="AP239">
        <f>IF($D239="","",IF($AC239="Yes",1,0))</f>
        <v/>
      </c>
      <c r="AQ239">
        <f>IF($AM239=1,IFERROR(VALUE(MID($D239,2,20)),1000000000)+ROW()/100000,"")</f>
        <v/>
      </c>
    </row>
    <row r="240">
      <c r="G240" s="11" t="n"/>
      <c r="Q240" s="7">
        <f>IF($D240="","",P240*Y240/100)</f>
        <v/>
      </c>
      <c r="R240" s="7" t="n"/>
      <c r="X240" s="7" t="n"/>
      <c r="Y240" s="7" t="n"/>
      <c r="Z240" s="7">
        <f>IF($D240="","",Y240*AD240/100)</f>
        <v/>
      </c>
      <c r="AA240" s="7">
        <f>IF($D240="","",Y240-Z240)</f>
        <v/>
      </c>
      <c r="AB240" s="7">
        <f>IF($D240="","",AA240-Q240)</f>
        <v/>
      </c>
      <c r="AD240">
        <f>IF($D240="","",IF($AP240=1,0,IF($AO240=1,Settings!$C$6,Settings!$C$7))*100)</f>
        <v/>
      </c>
      <c r="AH240" s="7" t="n"/>
      <c r="AK240" s="11" t="n"/>
      <c r="AM240">
        <f>IF($D240="","",IF(COUNTIF($D$2:$D240,$D240)=1,1,0))</f>
        <v/>
      </c>
      <c r="AN240">
        <f>IF($AM240=1,SUMPRODUCT(--($AQ$2:$AQ$1001&lt;$AQ240))+1,"")</f>
        <v/>
      </c>
      <c r="AO240">
        <f>IF($D240="","",IF(OR($U240=TRUE(),$U240="TRUE"),1,0))</f>
        <v/>
      </c>
      <c r="AP240">
        <f>IF($D240="","",IF($AC240="Yes",1,0))</f>
        <v/>
      </c>
      <c r="AQ240">
        <f>IF($AM240=1,IFERROR(VALUE(MID($D240,2,20)),1000000000)+ROW()/100000,"")</f>
        <v/>
      </c>
    </row>
    <row r="241">
      <c r="G241" s="11" t="n"/>
      <c r="Q241" s="7">
        <f>IF($D241="","",P241*Y241/100)</f>
        <v/>
      </c>
      <c r="R241" s="7" t="n"/>
      <c r="X241" s="7" t="n"/>
      <c r="Y241" s="7" t="n"/>
      <c r="Z241" s="7">
        <f>IF($D241="","",Y241*AD241/100)</f>
        <v/>
      </c>
      <c r="AA241" s="7">
        <f>IF($D241="","",Y241-Z241)</f>
        <v/>
      </c>
      <c r="AB241" s="7">
        <f>IF($D241="","",AA241-Q241)</f>
        <v/>
      </c>
      <c r="AD241">
        <f>IF($D241="","",IF($AP241=1,0,IF($AO241=1,Settings!$C$6,Settings!$C$7))*100)</f>
        <v/>
      </c>
      <c r="AH241" s="7" t="n"/>
      <c r="AK241" s="11" t="n"/>
      <c r="AM241">
        <f>IF($D241="","",IF(COUNTIF($D$2:$D241,$D241)=1,1,0))</f>
        <v/>
      </c>
      <c r="AN241">
        <f>IF($AM241=1,SUMPRODUCT(--($AQ$2:$AQ$1001&lt;$AQ241))+1,"")</f>
        <v/>
      </c>
      <c r="AO241">
        <f>IF($D241="","",IF(OR($U241=TRUE(),$U241="TRUE"),1,0))</f>
        <v/>
      </c>
      <c r="AP241">
        <f>IF($D241="","",IF($AC241="Yes",1,0))</f>
        <v/>
      </c>
      <c r="AQ241">
        <f>IF($AM241=1,IFERROR(VALUE(MID($D241,2,20)),1000000000)+ROW()/100000,"")</f>
        <v/>
      </c>
    </row>
    <row r="242">
      <c r="G242" s="11" t="n"/>
      <c r="Q242" s="7">
        <f>IF($D242="","",P242*Y242/100)</f>
        <v/>
      </c>
      <c r="R242" s="7" t="n"/>
      <c r="X242" s="7" t="n"/>
      <c r="Y242" s="7" t="n"/>
      <c r="Z242" s="7">
        <f>IF($D242="","",Y242*AD242/100)</f>
        <v/>
      </c>
      <c r="AA242" s="7">
        <f>IF($D242="","",Y242-Z242)</f>
        <v/>
      </c>
      <c r="AB242" s="7">
        <f>IF($D242="","",AA242-Q242)</f>
        <v/>
      </c>
      <c r="AD242">
        <f>IF($D242="","",IF($AP242=1,0,IF($AO242=1,Settings!$C$6,Settings!$C$7))*100)</f>
        <v/>
      </c>
      <c r="AH242" s="7" t="n"/>
      <c r="AK242" s="11" t="n"/>
      <c r="AM242">
        <f>IF($D242="","",IF(COUNTIF($D$2:$D242,$D242)=1,1,0))</f>
        <v/>
      </c>
      <c r="AN242">
        <f>IF($AM242=1,SUMPRODUCT(--($AQ$2:$AQ$1001&lt;$AQ242))+1,"")</f>
        <v/>
      </c>
      <c r="AO242">
        <f>IF($D242="","",IF(OR($U242=TRUE(),$U242="TRUE"),1,0))</f>
        <v/>
      </c>
      <c r="AP242">
        <f>IF($D242="","",IF($AC242="Yes",1,0))</f>
        <v/>
      </c>
      <c r="AQ242">
        <f>IF($AM242=1,IFERROR(VALUE(MID($D242,2,20)),1000000000)+ROW()/100000,"")</f>
        <v/>
      </c>
    </row>
    <row r="243">
      <c r="G243" s="11" t="n"/>
      <c r="Q243" s="7">
        <f>IF($D243="","",P243*Y243/100)</f>
        <v/>
      </c>
      <c r="R243" s="7" t="n"/>
      <c r="X243" s="7" t="n"/>
      <c r="Y243" s="7" t="n"/>
      <c r="Z243" s="7">
        <f>IF($D243="","",Y243*AD243/100)</f>
        <v/>
      </c>
      <c r="AA243" s="7">
        <f>IF($D243="","",Y243-Z243)</f>
        <v/>
      </c>
      <c r="AB243" s="7">
        <f>IF($D243="","",AA243-Q243)</f>
        <v/>
      </c>
      <c r="AD243">
        <f>IF($D243="","",IF($AP243=1,0,IF($AO243=1,Settings!$C$6,Settings!$C$7))*100)</f>
        <v/>
      </c>
      <c r="AH243" s="7" t="n"/>
      <c r="AK243" s="11" t="n"/>
      <c r="AM243">
        <f>IF($D243="","",IF(COUNTIF($D$2:$D243,$D243)=1,1,0))</f>
        <v/>
      </c>
      <c r="AN243">
        <f>IF($AM243=1,SUMPRODUCT(--($AQ$2:$AQ$1001&lt;$AQ243))+1,"")</f>
        <v/>
      </c>
      <c r="AO243">
        <f>IF($D243="","",IF(OR($U243=TRUE(),$U243="TRUE"),1,0))</f>
        <v/>
      </c>
      <c r="AP243">
        <f>IF($D243="","",IF($AC243="Yes",1,0))</f>
        <v/>
      </c>
      <c r="AQ243">
        <f>IF($AM243=1,IFERROR(VALUE(MID($D243,2,20)),1000000000)+ROW()/100000,"")</f>
        <v/>
      </c>
    </row>
    <row r="244">
      <c r="G244" s="11" t="n"/>
      <c r="Q244" s="7">
        <f>IF($D244="","",P244*Y244/100)</f>
        <v/>
      </c>
      <c r="R244" s="7" t="n"/>
      <c r="X244" s="7" t="n"/>
      <c r="Y244" s="7" t="n"/>
      <c r="Z244" s="7">
        <f>IF($D244="","",Y244*AD244/100)</f>
        <v/>
      </c>
      <c r="AA244" s="7">
        <f>IF($D244="","",Y244-Z244)</f>
        <v/>
      </c>
      <c r="AB244" s="7">
        <f>IF($D244="","",AA244-Q244)</f>
        <v/>
      </c>
      <c r="AD244">
        <f>IF($D244="","",IF($AP244=1,0,IF($AO244=1,Settings!$C$6,Settings!$C$7))*100)</f>
        <v/>
      </c>
      <c r="AH244" s="7" t="n"/>
      <c r="AK244" s="11" t="n"/>
      <c r="AM244">
        <f>IF($D244="","",IF(COUNTIF($D$2:$D244,$D244)=1,1,0))</f>
        <v/>
      </c>
      <c r="AN244">
        <f>IF($AM244=1,SUMPRODUCT(--($AQ$2:$AQ$1001&lt;$AQ244))+1,"")</f>
        <v/>
      </c>
      <c r="AO244">
        <f>IF($D244="","",IF(OR($U244=TRUE(),$U244="TRUE"),1,0))</f>
        <v/>
      </c>
      <c r="AP244">
        <f>IF($D244="","",IF($AC244="Yes",1,0))</f>
        <v/>
      </c>
      <c r="AQ244">
        <f>IF($AM244=1,IFERROR(VALUE(MID($D244,2,20)),1000000000)+ROW()/100000,"")</f>
        <v/>
      </c>
    </row>
    <row r="245">
      <c r="G245" s="11" t="n"/>
      <c r="Q245" s="7">
        <f>IF($D245="","",P245*Y245/100)</f>
        <v/>
      </c>
      <c r="R245" s="7" t="n"/>
      <c r="X245" s="7" t="n"/>
      <c r="Y245" s="7" t="n"/>
      <c r="Z245" s="7">
        <f>IF($D245="","",Y245*AD245/100)</f>
        <v/>
      </c>
      <c r="AA245" s="7">
        <f>IF($D245="","",Y245-Z245)</f>
        <v/>
      </c>
      <c r="AB245" s="7">
        <f>IF($D245="","",AA245-Q245)</f>
        <v/>
      </c>
      <c r="AD245">
        <f>IF($D245="","",IF($AP245=1,0,IF($AO245=1,Settings!$C$6,Settings!$C$7))*100)</f>
        <v/>
      </c>
      <c r="AH245" s="7" t="n"/>
      <c r="AK245" s="11" t="n"/>
      <c r="AM245">
        <f>IF($D245="","",IF(COUNTIF($D$2:$D245,$D245)=1,1,0))</f>
        <v/>
      </c>
      <c r="AN245">
        <f>IF($AM245=1,SUMPRODUCT(--($AQ$2:$AQ$1001&lt;$AQ245))+1,"")</f>
        <v/>
      </c>
      <c r="AO245">
        <f>IF($D245="","",IF(OR($U245=TRUE(),$U245="TRUE"),1,0))</f>
        <v/>
      </c>
      <c r="AP245">
        <f>IF($D245="","",IF($AC245="Yes",1,0))</f>
        <v/>
      </c>
      <c r="AQ245">
        <f>IF($AM245=1,IFERROR(VALUE(MID($D245,2,20)),1000000000)+ROW()/100000,"")</f>
        <v/>
      </c>
    </row>
    <row r="246">
      <c r="G246" s="11" t="n"/>
      <c r="Q246" s="7">
        <f>IF($D246="","",P246*Y246/100)</f>
        <v/>
      </c>
      <c r="R246" s="7" t="n"/>
      <c r="X246" s="7" t="n"/>
      <c r="Y246" s="7" t="n"/>
      <c r="Z246" s="7">
        <f>IF($D246="","",Y246*AD246/100)</f>
        <v/>
      </c>
      <c r="AA246" s="7">
        <f>IF($D246="","",Y246-Z246)</f>
        <v/>
      </c>
      <c r="AB246" s="7">
        <f>IF($D246="","",AA246-Q246)</f>
        <v/>
      </c>
      <c r="AD246">
        <f>IF($D246="","",IF($AP246=1,0,IF($AO246=1,Settings!$C$6,Settings!$C$7))*100)</f>
        <v/>
      </c>
      <c r="AH246" s="7" t="n"/>
      <c r="AK246" s="11" t="n"/>
      <c r="AM246">
        <f>IF($D246="","",IF(COUNTIF($D$2:$D246,$D246)=1,1,0))</f>
        <v/>
      </c>
      <c r="AN246">
        <f>IF($AM246=1,SUMPRODUCT(--($AQ$2:$AQ$1001&lt;$AQ246))+1,"")</f>
        <v/>
      </c>
      <c r="AO246">
        <f>IF($D246="","",IF(OR($U246=TRUE(),$U246="TRUE"),1,0))</f>
        <v/>
      </c>
      <c r="AP246">
        <f>IF($D246="","",IF($AC246="Yes",1,0))</f>
        <v/>
      </c>
      <c r="AQ246">
        <f>IF($AM246=1,IFERROR(VALUE(MID($D246,2,20)),1000000000)+ROW()/100000,"")</f>
        <v/>
      </c>
    </row>
    <row r="247">
      <c r="G247" s="11" t="n"/>
      <c r="Q247" s="7">
        <f>IF($D247="","",P247*Y247/100)</f>
        <v/>
      </c>
      <c r="R247" s="7" t="n"/>
      <c r="X247" s="7" t="n"/>
      <c r="Y247" s="7" t="n"/>
      <c r="Z247" s="7">
        <f>IF($D247="","",Y247*AD247/100)</f>
        <v/>
      </c>
      <c r="AA247" s="7">
        <f>IF($D247="","",Y247-Z247)</f>
        <v/>
      </c>
      <c r="AB247" s="7">
        <f>IF($D247="","",AA247-Q247)</f>
        <v/>
      </c>
      <c r="AD247">
        <f>IF($D247="","",IF($AP247=1,0,IF($AO247=1,Settings!$C$6,Settings!$C$7))*100)</f>
        <v/>
      </c>
      <c r="AH247" s="7" t="n"/>
      <c r="AK247" s="11" t="n"/>
      <c r="AM247">
        <f>IF($D247="","",IF(COUNTIF($D$2:$D247,$D247)=1,1,0))</f>
        <v/>
      </c>
      <c r="AN247">
        <f>IF($AM247=1,SUMPRODUCT(--($AQ$2:$AQ$1001&lt;$AQ247))+1,"")</f>
        <v/>
      </c>
      <c r="AO247">
        <f>IF($D247="","",IF(OR($U247=TRUE(),$U247="TRUE"),1,0))</f>
        <v/>
      </c>
      <c r="AP247">
        <f>IF($D247="","",IF($AC247="Yes",1,0))</f>
        <v/>
      </c>
      <c r="AQ247">
        <f>IF($AM247=1,IFERROR(VALUE(MID($D247,2,20)),1000000000)+ROW()/100000,"")</f>
        <v/>
      </c>
    </row>
    <row r="248">
      <c r="G248" s="11" t="n"/>
      <c r="Q248" s="7">
        <f>IF($D248="","",P248*Y248/100)</f>
        <v/>
      </c>
      <c r="R248" s="7" t="n"/>
      <c r="X248" s="7" t="n"/>
      <c r="Y248" s="7" t="n"/>
      <c r="Z248" s="7">
        <f>IF($D248="","",Y248*AD248/100)</f>
        <v/>
      </c>
      <c r="AA248" s="7">
        <f>IF($D248="","",Y248-Z248)</f>
        <v/>
      </c>
      <c r="AB248" s="7">
        <f>IF($D248="","",AA248-Q248)</f>
        <v/>
      </c>
      <c r="AD248">
        <f>IF($D248="","",IF($AP248=1,0,IF($AO248=1,Settings!$C$6,Settings!$C$7))*100)</f>
        <v/>
      </c>
      <c r="AH248" s="7" t="n"/>
      <c r="AK248" s="11" t="n"/>
      <c r="AM248">
        <f>IF($D248="","",IF(COUNTIF($D$2:$D248,$D248)=1,1,0))</f>
        <v/>
      </c>
      <c r="AN248">
        <f>IF($AM248=1,SUMPRODUCT(--($AQ$2:$AQ$1001&lt;$AQ248))+1,"")</f>
        <v/>
      </c>
      <c r="AO248">
        <f>IF($D248="","",IF(OR($U248=TRUE(),$U248="TRUE"),1,0))</f>
        <v/>
      </c>
      <c r="AP248">
        <f>IF($D248="","",IF($AC248="Yes",1,0))</f>
        <v/>
      </c>
      <c r="AQ248">
        <f>IF($AM248=1,IFERROR(VALUE(MID($D248,2,20)),1000000000)+ROW()/100000,"")</f>
        <v/>
      </c>
    </row>
    <row r="249">
      <c r="G249" s="11" t="n"/>
      <c r="Q249" s="7">
        <f>IF($D249="","",P249*Y249/100)</f>
        <v/>
      </c>
      <c r="R249" s="7" t="n"/>
      <c r="X249" s="7" t="n"/>
      <c r="Y249" s="7" t="n"/>
      <c r="Z249" s="7">
        <f>IF($D249="","",Y249*AD249/100)</f>
        <v/>
      </c>
      <c r="AA249" s="7">
        <f>IF($D249="","",Y249-Z249)</f>
        <v/>
      </c>
      <c r="AB249" s="7">
        <f>IF($D249="","",AA249-Q249)</f>
        <v/>
      </c>
      <c r="AD249">
        <f>IF($D249="","",IF($AP249=1,0,IF($AO249=1,Settings!$C$6,Settings!$C$7))*100)</f>
        <v/>
      </c>
      <c r="AH249" s="7" t="n"/>
      <c r="AK249" s="11" t="n"/>
      <c r="AM249">
        <f>IF($D249="","",IF(COUNTIF($D$2:$D249,$D249)=1,1,0))</f>
        <v/>
      </c>
      <c r="AN249">
        <f>IF($AM249=1,SUMPRODUCT(--($AQ$2:$AQ$1001&lt;$AQ249))+1,"")</f>
        <v/>
      </c>
      <c r="AO249">
        <f>IF($D249="","",IF(OR($U249=TRUE(),$U249="TRUE"),1,0))</f>
        <v/>
      </c>
      <c r="AP249">
        <f>IF($D249="","",IF($AC249="Yes",1,0))</f>
        <v/>
      </c>
      <c r="AQ249">
        <f>IF($AM249=1,IFERROR(VALUE(MID($D249,2,20)),1000000000)+ROW()/100000,"")</f>
        <v/>
      </c>
    </row>
    <row r="250">
      <c r="G250" s="11" t="n"/>
      <c r="Q250" s="7">
        <f>IF($D250="","",P250*Y250/100)</f>
        <v/>
      </c>
      <c r="R250" s="7" t="n"/>
      <c r="X250" s="7" t="n"/>
      <c r="Y250" s="7" t="n"/>
      <c r="Z250" s="7">
        <f>IF($D250="","",Y250*AD250/100)</f>
        <v/>
      </c>
      <c r="AA250" s="7">
        <f>IF($D250="","",Y250-Z250)</f>
        <v/>
      </c>
      <c r="AB250" s="7">
        <f>IF($D250="","",AA250-Q250)</f>
        <v/>
      </c>
      <c r="AD250">
        <f>IF($D250="","",IF($AP250=1,0,IF($AO250=1,Settings!$C$6,Settings!$C$7))*100)</f>
        <v/>
      </c>
      <c r="AH250" s="7" t="n"/>
      <c r="AK250" s="11" t="n"/>
      <c r="AM250">
        <f>IF($D250="","",IF(COUNTIF($D$2:$D250,$D250)=1,1,0))</f>
        <v/>
      </c>
      <c r="AN250">
        <f>IF($AM250=1,SUMPRODUCT(--($AQ$2:$AQ$1001&lt;$AQ250))+1,"")</f>
        <v/>
      </c>
      <c r="AO250">
        <f>IF($D250="","",IF(OR($U250=TRUE(),$U250="TRUE"),1,0))</f>
        <v/>
      </c>
      <c r="AP250">
        <f>IF($D250="","",IF($AC250="Yes",1,0))</f>
        <v/>
      </c>
      <c r="AQ250">
        <f>IF($AM250=1,IFERROR(VALUE(MID($D250,2,20)),1000000000)+ROW()/100000,"")</f>
        <v/>
      </c>
    </row>
    <row r="251">
      <c r="G251" s="11" t="n"/>
      <c r="Q251" s="7">
        <f>IF($D251="","",P251*Y251/100)</f>
        <v/>
      </c>
      <c r="R251" s="7" t="n"/>
      <c r="X251" s="7" t="n"/>
      <c r="Y251" s="7" t="n"/>
      <c r="Z251" s="7">
        <f>IF($D251="","",Y251*AD251/100)</f>
        <v/>
      </c>
      <c r="AA251" s="7">
        <f>IF($D251="","",Y251-Z251)</f>
        <v/>
      </c>
      <c r="AB251" s="7">
        <f>IF($D251="","",AA251-Q251)</f>
        <v/>
      </c>
      <c r="AD251">
        <f>IF($D251="","",IF($AP251=1,0,IF($AO251=1,Settings!$C$6,Settings!$C$7))*100)</f>
        <v/>
      </c>
      <c r="AH251" s="7" t="n"/>
      <c r="AK251" s="11" t="n"/>
      <c r="AM251">
        <f>IF($D251="","",IF(COUNTIF($D$2:$D251,$D251)=1,1,0))</f>
        <v/>
      </c>
      <c r="AN251">
        <f>IF($AM251=1,SUMPRODUCT(--($AQ$2:$AQ$1001&lt;$AQ251))+1,"")</f>
        <v/>
      </c>
      <c r="AO251">
        <f>IF($D251="","",IF(OR($U251=TRUE(),$U251="TRUE"),1,0))</f>
        <v/>
      </c>
      <c r="AP251">
        <f>IF($D251="","",IF($AC251="Yes",1,0))</f>
        <v/>
      </c>
      <c r="AQ251">
        <f>IF($AM251=1,IFERROR(VALUE(MID($D251,2,20)),1000000000)+ROW()/100000,"")</f>
        <v/>
      </c>
    </row>
    <row r="252">
      <c r="G252" s="11" t="n"/>
      <c r="Q252" s="7">
        <f>IF($D252="","",P252*Y252/100)</f>
        <v/>
      </c>
      <c r="R252" s="7" t="n"/>
      <c r="X252" s="7" t="n"/>
      <c r="Y252" s="7" t="n"/>
      <c r="Z252" s="7">
        <f>IF($D252="","",Y252*AD252/100)</f>
        <v/>
      </c>
      <c r="AA252" s="7">
        <f>IF($D252="","",Y252-Z252)</f>
        <v/>
      </c>
      <c r="AB252" s="7">
        <f>IF($D252="","",AA252-Q252)</f>
        <v/>
      </c>
      <c r="AD252">
        <f>IF($D252="","",IF($AP252=1,0,IF($AO252=1,Settings!$C$6,Settings!$C$7))*100)</f>
        <v/>
      </c>
      <c r="AH252" s="7" t="n"/>
      <c r="AK252" s="11" t="n"/>
      <c r="AM252">
        <f>IF($D252="","",IF(COUNTIF($D$2:$D252,$D252)=1,1,0))</f>
        <v/>
      </c>
      <c r="AN252">
        <f>IF($AM252=1,SUMPRODUCT(--($AQ$2:$AQ$1001&lt;$AQ252))+1,"")</f>
        <v/>
      </c>
      <c r="AO252">
        <f>IF($D252="","",IF(OR($U252=TRUE(),$U252="TRUE"),1,0))</f>
        <v/>
      </c>
      <c r="AP252">
        <f>IF($D252="","",IF($AC252="Yes",1,0))</f>
        <v/>
      </c>
      <c r="AQ252">
        <f>IF($AM252=1,IFERROR(VALUE(MID($D252,2,20)),1000000000)+ROW()/100000,"")</f>
        <v/>
      </c>
    </row>
    <row r="253">
      <c r="G253" s="11" t="n"/>
      <c r="Q253" s="7">
        <f>IF($D253="","",P253*Y253/100)</f>
        <v/>
      </c>
      <c r="R253" s="7" t="n"/>
      <c r="X253" s="7" t="n"/>
      <c r="Y253" s="7" t="n"/>
      <c r="Z253" s="7">
        <f>IF($D253="","",Y253*AD253/100)</f>
        <v/>
      </c>
      <c r="AA253" s="7">
        <f>IF($D253="","",Y253-Z253)</f>
        <v/>
      </c>
      <c r="AB253" s="7">
        <f>IF($D253="","",AA253-Q253)</f>
        <v/>
      </c>
      <c r="AD253">
        <f>IF($D253="","",IF($AP253=1,0,IF($AO253=1,Settings!$C$6,Settings!$C$7))*100)</f>
        <v/>
      </c>
      <c r="AH253" s="7" t="n"/>
      <c r="AK253" s="11" t="n"/>
      <c r="AM253">
        <f>IF($D253="","",IF(COUNTIF($D$2:$D253,$D253)=1,1,0))</f>
        <v/>
      </c>
      <c r="AN253">
        <f>IF($AM253=1,SUMPRODUCT(--($AQ$2:$AQ$1001&lt;$AQ253))+1,"")</f>
        <v/>
      </c>
      <c r="AO253">
        <f>IF($D253="","",IF(OR($U253=TRUE(),$U253="TRUE"),1,0))</f>
        <v/>
      </c>
      <c r="AP253">
        <f>IF($D253="","",IF($AC253="Yes",1,0))</f>
        <v/>
      </c>
      <c r="AQ253">
        <f>IF($AM253=1,IFERROR(VALUE(MID($D253,2,20)),1000000000)+ROW()/100000,"")</f>
        <v/>
      </c>
    </row>
    <row r="254">
      <c r="G254" s="11" t="n"/>
      <c r="Q254" s="7">
        <f>IF($D254="","",P254*Y254/100)</f>
        <v/>
      </c>
      <c r="R254" s="7" t="n"/>
      <c r="X254" s="7" t="n"/>
      <c r="Y254" s="7" t="n"/>
      <c r="Z254" s="7">
        <f>IF($D254="","",Y254*AD254/100)</f>
        <v/>
      </c>
      <c r="AA254" s="7">
        <f>IF($D254="","",Y254-Z254)</f>
        <v/>
      </c>
      <c r="AB254" s="7">
        <f>IF($D254="","",AA254-Q254)</f>
        <v/>
      </c>
      <c r="AD254">
        <f>IF($D254="","",IF($AP254=1,0,IF($AO254=1,Settings!$C$6,Settings!$C$7))*100)</f>
        <v/>
      </c>
      <c r="AH254" s="7" t="n"/>
      <c r="AK254" s="11" t="n"/>
      <c r="AM254">
        <f>IF($D254="","",IF(COUNTIF($D$2:$D254,$D254)=1,1,0))</f>
        <v/>
      </c>
      <c r="AN254">
        <f>IF($AM254=1,SUMPRODUCT(--($AQ$2:$AQ$1001&lt;$AQ254))+1,"")</f>
        <v/>
      </c>
      <c r="AO254">
        <f>IF($D254="","",IF(OR($U254=TRUE(),$U254="TRUE"),1,0))</f>
        <v/>
      </c>
      <c r="AP254">
        <f>IF($D254="","",IF($AC254="Yes",1,0))</f>
        <v/>
      </c>
      <c r="AQ254">
        <f>IF($AM254=1,IFERROR(VALUE(MID($D254,2,20)),1000000000)+ROW()/100000,"")</f>
        <v/>
      </c>
    </row>
    <row r="255">
      <c r="G255" s="11" t="n"/>
      <c r="Q255" s="7">
        <f>IF($D255="","",P255*Y255/100)</f>
        <v/>
      </c>
      <c r="R255" s="7" t="n"/>
      <c r="X255" s="7" t="n"/>
      <c r="Y255" s="7" t="n"/>
      <c r="Z255" s="7">
        <f>IF($D255="","",Y255*AD255/100)</f>
        <v/>
      </c>
      <c r="AA255" s="7">
        <f>IF($D255="","",Y255-Z255)</f>
        <v/>
      </c>
      <c r="AB255" s="7">
        <f>IF($D255="","",AA255-Q255)</f>
        <v/>
      </c>
      <c r="AD255">
        <f>IF($D255="","",IF($AP255=1,0,IF($AO255=1,Settings!$C$6,Settings!$C$7))*100)</f>
        <v/>
      </c>
      <c r="AH255" s="7" t="n"/>
      <c r="AK255" s="11" t="n"/>
      <c r="AM255">
        <f>IF($D255="","",IF(COUNTIF($D$2:$D255,$D255)=1,1,0))</f>
        <v/>
      </c>
      <c r="AN255">
        <f>IF($AM255=1,SUMPRODUCT(--($AQ$2:$AQ$1001&lt;$AQ255))+1,"")</f>
        <v/>
      </c>
      <c r="AO255">
        <f>IF($D255="","",IF(OR($U255=TRUE(),$U255="TRUE"),1,0))</f>
        <v/>
      </c>
      <c r="AP255">
        <f>IF($D255="","",IF($AC255="Yes",1,0))</f>
        <v/>
      </c>
      <c r="AQ255">
        <f>IF($AM255=1,IFERROR(VALUE(MID($D255,2,20)),1000000000)+ROW()/100000,"")</f>
        <v/>
      </c>
    </row>
    <row r="256">
      <c r="G256" s="11" t="n"/>
      <c r="Q256" s="7">
        <f>IF($D256="","",P256*Y256/100)</f>
        <v/>
      </c>
      <c r="R256" s="7" t="n"/>
      <c r="X256" s="7" t="n"/>
      <c r="Y256" s="7" t="n"/>
      <c r="Z256" s="7">
        <f>IF($D256="","",Y256*AD256/100)</f>
        <v/>
      </c>
      <c r="AA256" s="7">
        <f>IF($D256="","",Y256-Z256)</f>
        <v/>
      </c>
      <c r="AB256" s="7">
        <f>IF($D256="","",AA256-Q256)</f>
        <v/>
      </c>
      <c r="AD256">
        <f>IF($D256="","",IF($AP256=1,0,IF($AO256=1,Settings!$C$6,Settings!$C$7))*100)</f>
        <v/>
      </c>
      <c r="AH256" s="7" t="n"/>
      <c r="AK256" s="11" t="n"/>
      <c r="AM256">
        <f>IF($D256="","",IF(COUNTIF($D$2:$D256,$D256)=1,1,0))</f>
        <v/>
      </c>
      <c r="AN256">
        <f>IF($AM256=1,SUMPRODUCT(--($AQ$2:$AQ$1001&lt;$AQ256))+1,"")</f>
        <v/>
      </c>
      <c r="AO256">
        <f>IF($D256="","",IF(OR($U256=TRUE(),$U256="TRUE"),1,0))</f>
        <v/>
      </c>
      <c r="AP256">
        <f>IF($D256="","",IF($AC256="Yes",1,0))</f>
        <v/>
      </c>
      <c r="AQ256">
        <f>IF($AM256=1,IFERROR(VALUE(MID($D256,2,20)),1000000000)+ROW()/100000,"")</f>
        <v/>
      </c>
    </row>
    <row r="257">
      <c r="G257" s="11" t="n"/>
      <c r="Q257" s="7">
        <f>IF($D257="","",P257*Y257/100)</f>
        <v/>
      </c>
      <c r="R257" s="7" t="n"/>
      <c r="X257" s="7" t="n"/>
      <c r="Y257" s="7" t="n"/>
      <c r="Z257" s="7">
        <f>IF($D257="","",Y257*AD257/100)</f>
        <v/>
      </c>
      <c r="AA257" s="7">
        <f>IF($D257="","",Y257-Z257)</f>
        <v/>
      </c>
      <c r="AB257" s="7">
        <f>IF($D257="","",AA257-Q257)</f>
        <v/>
      </c>
      <c r="AD257">
        <f>IF($D257="","",IF($AP257=1,0,IF($AO257=1,Settings!$C$6,Settings!$C$7))*100)</f>
        <v/>
      </c>
      <c r="AH257" s="7" t="n"/>
      <c r="AK257" s="11" t="n"/>
      <c r="AM257">
        <f>IF($D257="","",IF(COUNTIF($D$2:$D257,$D257)=1,1,0))</f>
        <v/>
      </c>
      <c r="AN257">
        <f>IF($AM257=1,SUMPRODUCT(--($AQ$2:$AQ$1001&lt;$AQ257))+1,"")</f>
        <v/>
      </c>
      <c r="AO257">
        <f>IF($D257="","",IF(OR($U257=TRUE(),$U257="TRUE"),1,0))</f>
        <v/>
      </c>
      <c r="AP257">
        <f>IF($D257="","",IF($AC257="Yes",1,0))</f>
        <v/>
      </c>
      <c r="AQ257">
        <f>IF($AM257=1,IFERROR(VALUE(MID($D257,2,20)),1000000000)+ROW()/100000,"")</f>
        <v/>
      </c>
    </row>
    <row r="258">
      <c r="G258" s="11" t="n"/>
      <c r="Q258" s="7">
        <f>IF($D258="","",P258*Y258/100)</f>
        <v/>
      </c>
      <c r="R258" s="7" t="n"/>
      <c r="X258" s="7" t="n"/>
      <c r="Y258" s="7" t="n"/>
      <c r="Z258" s="7">
        <f>IF($D258="","",Y258*AD258/100)</f>
        <v/>
      </c>
      <c r="AA258" s="7">
        <f>IF($D258="","",Y258-Z258)</f>
        <v/>
      </c>
      <c r="AB258" s="7">
        <f>IF($D258="","",AA258-Q258)</f>
        <v/>
      </c>
      <c r="AD258">
        <f>IF($D258="","",IF($AP258=1,0,IF($AO258=1,Settings!$C$6,Settings!$C$7))*100)</f>
        <v/>
      </c>
      <c r="AH258" s="7" t="n"/>
      <c r="AK258" s="11" t="n"/>
      <c r="AM258">
        <f>IF($D258="","",IF(COUNTIF($D$2:$D258,$D258)=1,1,0))</f>
        <v/>
      </c>
      <c r="AN258">
        <f>IF($AM258=1,SUMPRODUCT(--($AQ$2:$AQ$1001&lt;$AQ258))+1,"")</f>
        <v/>
      </c>
      <c r="AO258">
        <f>IF($D258="","",IF(OR($U258=TRUE(),$U258="TRUE"),1,0))</f>
        <v/>
      </c>
      <c r="AP258">
        <f>IF($D258="","",IF($AC258="Yes",1,0))</f>
        <v/>
      </c>
      <c r="AQ258">
        <f>IF($AM258=1,IFERROR(VALUE(MID($D258,2,20)),1000000000)+ROW()/100000,"")</f>
        <v/>
      </c>
    </row>
    <row r="259">
      <c r="G259" s="11" t="n"/>
      <c r="Q259" s="7">
        <f>IF($D259="","",P259*Y259/100)</f>
        <v/>
      </c>
      <c r="R259" s="7" t="n"/>
      <c r="X259" s="7" t="n"/>
      <c r="Y259" s="7" t="n"/>
      <c r="Z259" s="7">
        <f>IF($D259="","",Y259*AD259/100)</f>
        <v/>
      </c>
      <c r="AA259" s="7">
        <f>IF($D259="","",Y259-Z259)</f>
        <v/>
      </c>
      <c r="AB259" s="7">
        <f>IF($D259="","",AA259-Q259)</f>
        <v/>
      </c>
      <c r="AD259">
        <f>IF($D259="","",IF($AP259=1,0,IF($AO259=1,Settings!$C$6,Settings!$C$7))*100)</f>
        <v/>
      </c>
      <c r="AH259" s="7" t="n"/>
      <c r="AK259" s="11" t="n"/>
      <c r="AM259">
        <f>IF($D259="","",IF(COUNTIF($D$2:$D259,$D259)=1,1,0))</f>
        <v/>
      </c>
      <c r="AN259">
        <f>IF($AM259=1,SUMPRODUCT(--($AQ$2:$AQ$1001&lt;$AQ259))+1,"")</f>
        <v/>
      </c>
      <c r="AO259">
        <f>IF($D259="","",IF(OR($U259=TRUE(),$U259="TRUE"),1,0))</f>
        <v/>
      </c>
      <c r="AP259">
        <f>IF($D259="","",IF($AC259="Yes",1,0))</f>
        <v/>
      </c>
      <c r="AQ259">
        <f>IF($AM259=1,IFERROR(VALUE(MID($D259,2,20)),1000000000)+ROW()/100000,"")</f>
        <v/>
      </c>
    </row>
    <row r="260">
      <c r="G260" s="11" t="n"/>
      <c r="Q260" s="7">
        <f>IF($D260="","",P260*Y260/100)</f>
        <v/>
      </c>
      <c r="R260" s="7" t="n"/>
      <c r="X260" s="7" t="n"/>
      <c r="Y260" s="7" t="n"/>
      <c r="Z260" s="7">
        <f>IF($D260="","",Y260*AD260/100)</f>
        <v/>
      </c>
      <c r="AA260" s="7">
        <f>IF($D260="","",Y260-Z260)</f>
        <v/>
      </c>
      <c r="AB260" s="7">
        <f>IF($D260="","",AA260-Q260)</f>
        <v/>
      </c>
      <c r="AD260">
        <f>IF($D260="","",IF($AP260=1,0,IF($AO260=1,Settings!$C$6,Settings!$C$7))*100)</f>
        <v/>
      </c>
      <c r="AH260" s="7" t="n"/>
      <c r="AK260" s="11" t="n"/>
      <c r="AM260">
        <f>IF($D260="","",IF(COUNTIF($D$2:$D260,$D260)=1,1,0))</f>
        <v/>
      </c>
      <c r="AN260">
        <f>IF($AM260=1,SUMPRODUCT(--($AQ$2:$AQ$1001&lt;$AQ260))+1,"")</f>
        <v/>
      </c>
      <c r="AO260">
        <f>IF($D260="","",IF(OR($U260=TRUE(),$U260="TRUE"),1,0))</f>
        <v/>
      </c>
      <c r="AP260">
        <f>IF($D260="","",IF($AC260="Yes",1,0))</f>
        <v/>
      </c>
      <c r="AQ260">
        <f>IF($AM260=1,IFERROR(VALUE(MID($D260,2,20)),1000000000)+ROW()/100000,"")</f>
        <v/>
      </c>
    </row>
    <row r="261">
      <c r="G261" s="11" t="n"/>
      <c r="Q261" s="7">
        <f>IF($D261="","",P261*Y261/100)</f>
        <v/>
      </c>
      <c r="R261" s="7" t="n"/>
      <c r="X261" s="7" t="n"/>
      <c r="Y261" s="7" t="n"/>
      <c r="Z261" s="7">
        <f>IF($D261="","",Y261*AD261/100)</f>
        <v/>
      </c>
      <c r="AA261" s="7">
        <f>IF($D261="","",Y261-Z261)</f>
        <v/>
      </c>
      <c r="AB261" s="7">
        <f>IF($D261="","",AA261-Q261)</f>
        <v/>
      </c>
      <c r="AD261">
        <f>IF($D261="","",IF($AP261=1,0,IF($AO261=1,Settings!$C$6,Settings!$C$7))*100)</f>
        <v/>
      </c>
      <c r="AH261" s="7" t="n"/>
      <c r="AK261" s="11" t="n"/>
      <c r="AM261">
        <f>IF($D261="","",IF(COUNTIF($D$2:$D261,$D261)=1,1,0))</f>
        <v/>
      </c>
      <c r="AN261">
        <f>IF($AM261=1,SUMPRODUCT(--($AQ$2:$AQ$1001&lt;$AQ261))+1,"")</f>
        <v/>
      </c>
      <c r="AO261">
        <f>IF($D261="","",IF(OR($U261=TRUE(),$U261="TRUE"),1,0))</f>
        <v/>
      </c>
      <c r="AP261">
        <f>IF($D261="","",IF($AC261="Yes",1,0))</f>
        <v/>
      </c>
      <c r="AQ261">
        <f>IF($AM261=1,IFERROR(VALUE(MID($D261,2,20)),1000000000)+ROW()/100000,"")</f>
        <v/>
      </c>
    </row>
    <row r="262">
      <c r="G262" s="11" t="n"/>
      <c r="Q262" s="7">
        <f>IF($D262="","",P262*Y262/100)</f>
        <v/>
      </c>
      <c r="R262" s="7" t="n"/>
      <c r="X262" s="7" t="n"/>
      <c r="Y262" s="7" t="n"/>
      <c r="Z262" s="7">
        <f>IF($D262="","",Y262*AD262/100)</f>
        <v/>
      </c>
      <c r="AA262" s="7">
        <f>IF($D262="","",Y262-Z262)</f>
        <v/>
      </c>
      <c r="AB262" s="7">
        <f>IF($D262="","",AA262-Q262)</f>
        <v/>
      </c>
      <c r="AD262">
        <f>IF($D262="","",IF($AP262=1,0,IF($AO262=1,Settings!$C$6,Settings!$C$7))*100)</f>
        <v/>
      </c>
      <c r="AH262" s="7" t="n"/>
      <c r="AK262" s="11" t="n"/>
      <c r="AM262">
        <f>IF($D262="","",IF(COUNTIF($D$2:$D262,$D262)=1,1,0))</f>
        <v/>
      </c>
      <c r="AN262">
        <f>IF($AM262=1,SUMPRODUCT(--($AQ$2:$AQ$1001&lt;$AQ262))+1,"")</f>
        <v/>
      </c>
      <c r="AO262">
        <f>IF($D262="","",IF(OR($U262=TRUE(),$U262="TRUE"),1,0))</f>
        <v/>
      </c>
      <c r="AP262">
        <f>IF($D262="","",IF($AC262="Yes",1,0))</f>
        <v/>
      </c>
      <c r="AQ262">
        <f>IF($AM262=1,IFERROR(VALUE(MID($D262,2,20)),1000000000)+ROW()/100000,"")</f>
        <v/>
      </c>
    </row>
    <row r="263">
      <c r="G263" s="11" t="n"/>
      <c r="Q263" s="7">
        <f>IF($D263="","",P263*Y263/100)</f>
        <v/>
      </c>
      <c r="R263" s="7" t="n"/>
      <c r="X263" s="7" t="n"/>
      <c r="Y263" s="7" t="n"/>
      <c r="Z263" s="7">
        <f>IF($D263="","",Y263*AD263/100)</f>
        <v/>
      </c>
      <c r="AA263" s="7">
        <f>IF($D263="","",Y263-Z263)</f>
        <v/>
      </c>
      <c r="AB263" s="7">
        <f>IF($D263="","",AA263-Q263)</f>
        <v/>
      </c>
      <c r="AD263">
        <f>IF($D263="","",IF($AP263=1,0,IF($AO263=1,Settings!$C$6,Settings!$C$7))*100)</f>
        <v/>
      </c>
      <c r="AH263" s="7" t="n"/>
      <c r="AK263" s="11" t="n"/>
      <c r="AM263">
        <f>IF($D263="","",IF(COUNTIF($D$2:$D263,$D263)=1,1,0))</f>
        <v/>
      </c>
      <c r="AN263">
        <f>IF($AM263=1,SUMPRODUCT(--($AQ$2:$AQ$1001&lt;$AQ263))+1,"")</f>
        <v/>
      </c>
      <c r="AO263">
        <f>IF($D263="","",IF(OR($U263=TRUE(),$U263="TRUE"),1,0))</f>
        <v/>
      </c>
      <c r="AP263">
        <f>IF($D263="","",IF($AC263="Yes",1,0))</f>
        <v/>
      </c>
      <c r="AQ263">
        <f>IF($AM263=1,IFERROR(VALUE(MID($D263,2,20)),1000000000)+ROW()/100000,"")</f>
        <v/>
      </c>
    </row>
    <row r="264">
      <c r="G264" s="11" t="n"/>
      <c r="Q264" s="7">
        <f>IF($D264="","",P264*Y264/100)</f>
        <v/>
      </c>
      <c r="R264" s="7" t="n"/>
      <c r="X264" s="7" t="n"/>
      <c r="Y264" s="7" t="n"/>
      <c r="Z264" s="7">
        <f>IF($D264="","",Y264*AD264/100)</f>
        <v/>
      </c>
      <c r="AA264" s="7">
        <f>IF($D264="","",Y264-Z264)</f>
        <v/>
      </c>
      <c r="AB264" s="7">
        <f>IF($D264="","",AA264-Q264)</f>
        <v/>
      </c>
      <c r="AD264">
        <f>IF($D264="","",IF($AP264=1,0,IF($AO264=1,Settings!$C$6,Settings!$C$7))*100)</f>
        <v/>
      </c>
      <c r="AH264" s="7" t="n"/>
      <c r="AK264" s="11" t="n"/>
      <c r="AM264">
        <f>IF($D264="","",IF(COUNTIF($D$2:$D264,$D264)=1,1,0))</f>
        <v/>
      </c>
      <c r="AN264">
        <f>IF($AM264=1,SUMPRODUCT(--($AQ$2:$AQ$1001&lt;$AQ264))+1,"")</f>
        <v/>
      </c>
      <c r="AO264">
        <f>IF($D264="","",IF(OR($U264=TRUE(),$U264="TRUE"),1,0))</f>
        <v/>
      </c>
      <c r="AP264">
        <f>IF($D264="","",IF($AC264="Yes",1,0))</f>
        <v/>
      </c>
      <c r="AQ264">
        <f>IF($AM264=1,IFERROR(VALUE(MID($D264,2,20)),1000000000)+ROW()/100000,"")</f>
        <v/>
      </c>
    </row>
    <row r="265">
      <c r="G265" s="11" t="n"/>
      <c r="Q265" s="7">
        <f>IF($D265="","",P265*Y265/100)</f>
        <v/>
      </c>
      <c r="R265" s="7" t="n"/>
      <c r="X265" s="7" t="n"/>
      <c r="Y265" s="7" t="n"/>
      <c r="Z265" s="7">
        <f>IF($D265="","",Y265*AD265/100)</f>
        <v/>
      </c>
      <c r="AA265" s="7">
        <f>IF($D265="","",Y265-Z265)</f>
        <v/>
      </c>
      <c r="AB265" s="7">
        <f>IF($D265="","",AA265-Q265)</f>
        <v/>
      </c>
      <c r="AD265">
        <f>IF($D265="","",IF($AP265=1,0,IF($AO265=1,Settings!$C$6,Settings!$C$7))*100)</f>
        <v/>
      </c>
      <c r="AH265" s="7" t="n"/>
      <c r="AK265" s="11" t="n"/>
      <c r="AM265">
        <f>IF($D265="","",IF(COUNTIF($D$2:$D265,$D265)=1,1,0))</f>
        <v/>
      </c>
      <c r="AN265">
        <f>IF($AM265=1,SUMPRODUCT(--($AQ$2:$AQ$1001&lt;$AQ265))+1,"")</f>
        <v/>
      </c>
      <c r="AO265">
        <f>IF($D265="","",IF(OR($U265=TRUE(),$U265="TRUE"),1,0))</f>
        <v/>
      </c>
      <c r="AP265">
        <f>IF($D265="","",IF($AC265="Yes",1,0))</f>
        <v/>
      </c>
      <c r="AQ265">
        <f>IF($AM265=1,IFERROR(VALUE(MID($D265,2,20)),1000000000)+ROW()/100000,"")</f>
        <v/>
      </c>
    </row>
    <row r="266">
      <c r="G266" s="11" t="n"/>
      <c r="Q266" s="7">
        <f>IF($D266="","",P266*Y266/100)</f>
        <v/>
      </c>
      <c r="R266" s="7" t="n"/>
      <c r="X266" s="7" t="n"/>
      <c r="Y266" s="7" t="n"/>
      <c r="Z266" s="7">
        <f>IF($D266="","",Y266*AD266/100)</f>
        <v/>
      </c>
      <c r="AA266" s="7">
        <f>IF($D266="","",Y266-Z266)</f>
        <v/>
      </c>
      <c r="AB266" s="7">
        <f>IF($D266="","",AA266-Q266)</f>
        <v/>
      </c>
      <c r="AD266">
        <f>IF($D266="","",IF($AP266=1,0,IF($AO266=1,Settings!$C$6,Settings!$C$7))*100)</f>
        <v/>
      </c>
      <c r="AH266" s="7" t="n"/>
      <c r="AK266" s="11" t="n"/>
      <c r="AM266">
        <f>IF($D266="","",IF(COUNTIF($D$2:$D266,$D266)=1,1,0))</f>
        <v/>
      </c>
      <c r="AN266">
        <f>IF($AM266=1,SUMPRODUCT(--($AQ$2:$AQ$1001&lt;$AQ266))+1,"")</f>
        <v/>
      </c>
      <c r="AO266">
        <f>IF($D266="","",IF(OR($U266=TRUE(),$U266="TRUE"),1,0))</f>
        <v/>
      </c>
      <c r="AP266">
        <f>IF($D266="","",IF($AC266="Yes",1,0))</f>
        <v/>
      </c>
      <c r="AQ266">
        <f>IF($AM266=1,IFERROR(VALUE(MID($D266,2,20)),1000000000)+ROW()/100000,"")</f>
        <v/>
      </c>
    </row>
    <row r="267">
      <c r="G267" s="11" t="n"/>
      <c r="Q267" s="7">
        <f>IF($D267="","",P267*Y267/100)</f>
        <v/>
      </c>
      <c r="R267" s="7" t="n"/>
      <c r="X267" s="7" t="n"/>
      <c r="Y267" s="7" t="n"/>
      <c r="Z267" s="7">
        <f>IF($D267="","",Y267*AD267/100)</f>
        <v/>
      </c>
      <c r="AA267" s="7">
        <f>IF($D267="","",Y267-Z267)</f>
        <v/>
      </c>
      <c r="AB267" s="7">
        <f>IF($D267="","",AA267-Q267)</f>
        <v/>
      </c>
      <c r="AD267">
        <f>IF($D267="","",IF($AP267=1,0,IF($AO267=1,Settings!$C$6,Settings!$C$7))*100)</f>
        <v/>
      </c>
      <c r="AH267" s="7" t="n"/>
      <c r="AK267" s="11" t="n"/>
      <c r="AM267">
        <f>IF($D267="","",IF(COUNTIF($D$2:$D267,$D267)=1,1,0))</f>
        <v/>
      </c>
      <c r="AN267">
        <f>IF($AM267=1,SUMPRODUCT(--($AQ$2:$AQ$1001&lt;$AQ267))+1,"")</f>
        <v/>
      </c>
      <c r="AO267">
        <f>IF($D267="","",IF(OR($U267=TRUE(),$U267="TRUE"),1,0))</f>
        <v/>
      </c>
      <c r="AP267">
        <f>IF($D267="","",IF($AC267="Yes",1,0))</f>
        <v/>
      </c>
      <c r="AQ267">
        <f>IF($AM267=1,IFERROR(VALUE(MID($D267,2,20)),1000000000)+ROW()/100000,"")</f>
        <v/>
      </c>
    </row>
    <row r="268">
      <c r="G268" s="11" t="n"/>
      <c r="Q268" s="7">
        <f>IF($D268="","",P268*Y268/100)</f>
        <v/>
      </c>
      <c r="R268" s="7" t="n"/>
      <c r="X268" s="7" t="n"/>
      <c r="Y268" s="7" t="n"/>
      <c r="Z268" s="7">
        <f>IF($D268="","",Y268*AD268/100)</f>
        <v/>
      </c>
      <c r="AA268" s="7">
        <f>IF($D268="","",Y268-Z268)</f>
        <v/>
      </c>
      <c r="AB268" s="7">
        <f>IF($D268="","",AA268-Q268)</f>
        <v/>
      </c>
      <c r="AD268">
        <f>IF($D268="","",IF($AP268=1,0,IF($AO268=1,Settings!$C$6,Settings!$C$7))*100)</f>
        <v/>
      </c>
      <c r="AH268" s="7" t="n"/>
      <c r="AK268" s="11" t="n"/>
      <c r="AM268">
        <f>IF($D268="","",IF(COUNTIF($D$2:$D268,$D268)=1,1,0))</f>
        <v/>
      </c>
      <c r="AN268">
        <f>IF($AM268=1,SUMPRODUCT(--($AQ$2:$AQ$1001&lt;$AQ268))+1,"")</f>
        <v/>
      </c>
      <c r="AO268">
        <f>IF($D268="","",IF(OR($U268=TRUE(),$U268="TRUE"),1,0))</f>
        <v/>
      </c>
      <c r="AP268">
        <f>IF($D268="","",IF($AC268="Yes",1,0))</f>
        <v/>
      </c>
      <c r="AQ268">
        <f>IF($AM268=1,IFERROR(VALUE(MID($D268,2,20)),1000000000)+ROW()/100000,"")</f>
        <v/>
      </c>
    </row>
    <row r="269">
      <c r="G269" s="11" t="n"/>
      <c r="Q269" s="7">
        <f>IF($D269="","",P269*Y269/100)</f>
        <v/>
      </c>
      <c r="R269" s="7" t="n"/>
      <c r="X269" s="7" t="n"/>
      <c r="Y269" s="7" t="n"/>
      <c r="Z269" s="7">
        <f>IF($D269="","",Y269*AD269/100)</f>
        <v/>
      </c>
      <c r="AA269" s="7">
        <f>IF($D269="","",Y269-Z269)</f>
        <v/>
      </c>
      <c r="AB269" s="7">
        <f>IF($D269="","",AA269-Q269)</f>
        <v/>
      </c>
      <c r="AD269">
        <f>IF($D269="","",IF($AP269=1,0,IF($AO269=1,Settings!$C$6,Settings!$C$7))*100)</f>
        <v/>
      </c>
      <c r="AH269" s="7" t="n"/>
      <c r="AK269" s="11" t="n"/>
      <c r="AM269">
        <f>IF($D269="","",IF(COUNTIF($D$2:$D269,$D269)=1,1,0))</f>
        <v/>
      </c>
      <c r="AN269">
        <f>IF($AM269=1,SUMPRODUCT(--($AQ$2:$AQ$1001&lt;$AQ269))+1,"")</f>
        <v/>
      </c>
      <c r="AO269">
        <f>IF($D269="","",IF(OR($U269=TRUE(),$U269="TRUE"),1,0))</f>
        <v/>
      </c>
      <c r="AP269">
        <f>IF($D269="","",IF($AC269="Yes",1,0))</f>
        <v/>
      </c>
      <c r="AQ269">
        <f>IF($AM269=1,IFERROR(VALUE(MID($D269,2,20)),1000000000)+ROW()/100000,"")</f>
        <v/>
      </c>
    </row>
    <row r="270">
      <c r="G270" s="11" t="n"/>
      <c r="Q270" s="7">
        <f>IF($D270="","",P270*Y270/100)</f>
        <v/>
      </c>
      <c r="R270" s="7" t="n"/>
      <c r="X270" s="7" t="n"/>
      <c r="Y270" s="7" t="n"/>
      <c r="Z270" s="7">
        <f>IF($D270="","",Y270*AD270/100)</f>
        <v/>
      </c>
      <c r="AA270" s="7">
        <f>IF($D270="","",Y270-Z270)</f>
        <v/>
      </c>
      <c r="AB270" s="7">
        <f>IF($D270="","",AA270-Q270)</f>
        <v/>
      </c>
      <c r="AD270">
        <f>IF($D270="","",IF($AP270=1,0,IF($AO270=1,Settings!$C$6,Settings!$C$7))*100)</f>
        <v/>
      </c>
      <c r="AH270" s="7" t="n"/>
      <c r="AK270" s="11" t="n"/>
      <c r="AM270">
        <f>IF($D270="","",IF(COUNTIF($D$2:$D270,$D270)=1,1,0))</f>
        <v/>
      </c>
      <c r="AN270">
        <f>IF($AM270=1,SUMPRODUCT(--($AQ$2:$AQ$1001&lt;$AQ270))+1,"")</f>
        <v/>
      </c>
      <c r="AO270">
        <f>IF($D270="","",IF(OR($U270=TRUE(),$U270="TRUE"),1,0))</f>
        <v/>
      </c>
      <c r="AP270">
        <f>IF($D270="","",IF($AC270="Yes",1,0))</f>
        <v/>
      </c>
      <c r="AQ270">
        <f>IF($AM270=1,IFERROR(VALUE(MID($D270,2,20)),1000000000)+ROW()/100000,"")</f>
        <v/>
      </c>
    </row>
    <row r="271">
      <c r="G271" s="11" t="n"/>
      <c r="Q271" s="7">
        <f>IF($D271="","",P271*Y271/100)</f>
        <v/>
      </c>
      <c r="R271" s="7" t="n"/>
      <c r="X271" s="7" t="n"/>
      <c r="Y271" s="7" t="n"/>
      <c r="Z271" s="7">
        <f>IF($D271="","",Y271*AD271/100)</f>
        <v/>
      </c>
      <c r="AA271" s="7">
        <f>IF($D271="","",Y271-Z271)</f>
        <v/>
      </c>
      <c r="AB271" s="7">
        <f>IF($D271="","",AA271-Q271)</f>
        <v/>
      </c>
      <c r="AD271">
        <f>IF($D271="","",IF($AP271=1,0,IF($AO271=1,Settings!$C$6,Settings!$C$7))*100)</f>
        <v/>
      </c>
      <c r="AH271" s="7" t="n"/>
      <c r="AK271" s="11" t="n"/>
      <c r="AM271">
        <f>IF($D271="","",IF(COUNTIF($D$2:$D271,$D271)=1,1,0))</f>
        <v/>
      </c>
      <c r="AN271">
        <f>IF($AM271=1,SUMPRODUCT(--($AQ$2:$AQ$1001&lt;$AQ271))+1,"")</f>
        <v/>
      </c>
      <c r="AO271">
        <f>IF($D271="","",IF(OR($U271=TRUE(),$U271="TRUE"),1,0))</f>
        <v/>
      </c>
      <c r="AP271">
        <f>IF($D271="","",IF($AC271="Yes",1,0))</f>
        <v/>
      </c>
      <c r="AQ271">
        <f>IF($AM271=1,IFERROR(VALUE(MID($D271,2,20)),1000000000)+ROW()/100000,"")</f>
        <v/>
      </c>
    </row>
    <row r="272">
      <c r="G272" s="11" t="n"/>
      <c r="Q272" s="7">
        <f>IF($D272="","",P272*Y272/100)</f>
        <v/>
      </c>
      <c r="R272" s="7" t="n"/>
      <c r="X272" s="7" t="n"/>
      <c r="Y272" s="7" t="n"/>
      <c r="Z272" s="7">
        <f>IF($D272="","",Y272*AD272/100)</f>
        <v/>
      </c>
      <c r="AA272" s="7">
        <f>IF($D272="","",Y272-Z272)</f>
        <v/>
      </c>
      <c r="AB272" s="7">
        <f>IF($D272="","",AA272-Q272)</f>
        <v/>
      </c>
      <c r="AD272">
        <f>IF($D272="","",IF($AP272=1,0,IF($AO272=1,Settings!$C$6,Settings!$C$7))*100)</f>
        <v/>
      </c>
      <c r="AH272" s="7" t="n"/>
      <c r="AK272" s="11" t="n"/>
      <c r="AM272">
        <f>IF($D272="","",IF(COUNTIF($D$2:$D272,$D272)=1,1,0))</f>
        <v/>
      </c>
      <c r="AN272">
        <f>IF($AM272=1,SUMPRODUCT(--($AQ$2:$AQ$1001&lt;$AQ272))+1,"")</f>
        <v/>
      </c>
      <c r="AO272">
        <f>IF($D272="","",IF(OR($U272=TRUE(),$U272="TRUE"),1,0))</f>
        <v/>
      </c>
      <c r="AP272">
        <f>IF($D272="","",IF($AC272="Yes",1,0))</f>
        <v/>
      </c>
      <c r="AQ272">
        <f>IF($AM272=1,IFERROR(VALUE(MID($D272,2,20)),1000000000)+ROW()/100000,"")</f>
        <v/>
      </c>
    </row>
    <row r="273">
      <c r="G273" s="11" t="n"/>
      <c r="Q273" s="7">
        <f>IF($D273="","",P273*Y273/100)</f>
        <v/>
      </c>
      <c r="R273" s="7" t="n"/>
      <c r="X273" s="7" t="n"/>
      <c r="Y273" s="7" t="n"/>
      <c r="Z273" s="7">
        <f>IF($D273="","",Y273*AD273/100)</f>
        <v/>
      </c>
      <c r="AA273" s="7">
        <f>IF($D273="","",Y273-Z273)</f>
        <v/>
      </c>
      <c r="AB273" s="7">
        <f>IF($D273="","",AA273-Q273)</f>
        <v/>
      </c>
      <c r="AD273">
        <f>IF($D273="","",IF($AP273=1,0,IF($AO273=1,Settings!$C$6,Settings!$C$7))*100)</f>
        <v/>
      </c>
      <c r="AH273" s="7" t="n"/>
      <c r="AK273" s="11" t="n"/>
      <c r="AM273">
        <f>IF($D273="","",IF(COUNTIF($D$2:$D273,$D273)=1,1,0))</f>
        <v/>
      </c>
      <c r="AN273">
        <f>IF($AM273=1,SUMPRODUCT(--($AQ$2:$AQ$1001&lt;$AQ273))+1,"")</f>
        <v/>
      </c>
      <c r="AO273">
        <f>IF($D273="","",IF(OR($U273=TRUE(),$U273="TRUE"),1,0))</f>
        <v/>
      </c>
      <c r="AP273">
        <f>IF($D273="","",IF($AC273="Yes",1,0))</f>
        <v/>
      </c>
      <c r="AQ273">
        <f>IF($AM273=1,IFERROR(VALUE(MID($D273,2,20)),1000000000)+ROW()/100000,"")</f>
        <v/>
      </c>
    </row>
    <row r="274">
      <c r="G274" s="11" t="n"/>
      <c r="Q274" s="7">
        <f>IF($D274="","",P274*Y274/100)</f>
        <v/>
      </c>
      <c r="R274" s="7" t="n"/>
      <c r="X274" s="7" t="n"/>
      <c r="Y274" s="7" t="n"/>
      <c r="Z274" s="7">
        <f>IF($D274="","",Y274*AD274/100)</f>
        <v/>
      </c>
      <c r="AA274" s="7">
        <f>IF($D274="","",Y274-Z274)</f>
        <v/>
      </c>
      <c r="AB274" s="7">
        <f>IF($D274="","",AA274-Q274)</f>
        <v/>
      </c>
      <c r="AD274">
        <f>IF($D274="","",IF($AP274=1,0,IF($AO274=1,Settings!$C$6,Settings!$C$7))*100)</f>
        <v/>
      </c>
      <c r="AH274" s="7" t="n"/>
      <c r="AK274" s="11" t="n"/>
      <c r="AM274">
        <f>IF($D274="","",IF(COUNTIF($D$2:$D274,$D274)=1,1,0))</f>
        <v/>
      </c>
      <c r="AN274">
        <f>IF($AM274=1,SUMPRODUCT(--($AQ$2:$AQ$1001&lt;$AQ274))+1,"")</f>
        <v/>
      </c>
      <c r="AO274">
        <f>IF($D274="","",IF(OR($U274=TRUE(),$U274="TRUE"),1,0))</f>
        <v/>
      </c>
      <c r="AP274">
        <f>IF($D274="","",IF($AC274="Yes",1,0))</f>
        <v/>
      </c>
      <c r="AQ274">
        <f>IF($AM274=1,IFERROR(VALUE(MID($D274,2,20)),1000000000)+ROW()/100000,"")</f>
        <v/>
      </c>
    </row>
    <row r="275">
      <c r="G275" s="11" t="n"/>
      <c r="Q275" s="7">
        <f>IF($D275="","",P275*Y275/100)</f>
        <v/>
      </c>
      <c r="R275" s="7" t="n"/>
      <c r="X275" s="7" t="n"/>
      <c r="Y275" s="7" t="n"/>
      <c r="Z275" s="7">
        <f>IF($D275="","",Y275*AD275/100)</f>
        <v/>
      </c>
      <c r="AA275" s="7">
        <f>IF($D275="","",Y275-Z275)</f>
        <v/>
      </c>
      <c r="AB275" s="7">
        <f>IF($D275="","",AA275-Q275)</f>
        <v/>
      </c>
      <c r="AD275">
        <f>IF($D275="","",IF($AP275=1,0,IF($AO275=1,Settings!$C$6,Settings!$C$7))*100)</f>
        <v/>
      </c>
      <c r="AH275" s="7" t="n"/>
      <c r="AK275" s="11" t="n"/>
      <c r="AM275">
        <f>IF($D275="","",IF(COUNTIF($D$2:$D275,$D275)=1,1,0))</f>
        <v/>
      </c>
      <c r="AN275">
        <f>IF($AM275=1,SUMPRODUCT(--($AQ$2:$AQ$1001&lt;$AQ275))+1,"")</f>
        <v/>
      </c>
      <c r="AO275">
        <f>IF($D275="","",IF(OR($U275=TRUE(),$U275="TRUE"),1,0))</f>
        <v/>
      </c>
      <c r="AP275">
        <f>IF($D275="","",IF($AC275="Yes",1,0))</f>
        <v/>
      </c>
      <c r="AQ275">
        <f>IF($AM275=1,IFERROR(VALUE(MID($D275,2,20)),1000000000)+ROW()/100000,"")</f>
        <v/>
      </c>
    </row>
    <row r="276">
      <c r="G276" s="11" t="n"/>
      <c r="Q276" s="7">
        <f>IF($D276="","",P276*Y276/100)</f>
        <v/>
      </c>
      <c r="R276" s="7" t="n"/>
      <c r="X276" s="7" t="n"/>
      <c r="Y276" s="7" t="n"/>
      <c r="Z276" s="7">
        <f>IF($D276="","",Y276*AD276/100)</f>
        <v/>
      </c>
      <c r="AA276" s="7">
        <f>IF($D276="","",Y276-Z276)</f>
        <v/>
      </c>
      <c r="AB276" s="7">
        <f>IF($D276="","",AA276-Q276)</f>
        <v/>
      </c>
      <c r="AD276">
        <f>IF($D276="","",IF($AP276=1,0,IF($AO276=1,Settings!$C$6,Settings!$C$7))*100)</f>
        <v/>
      </c>
      <c r="AH276" s="7" t="n"/>
      <c r="AK276" s="11" t="n"/>
      <c r="AM276">
        <f>IF($D276="","",IF(COUNTIF($D$2:$D276,$D276)=1,1,0))</f>
        <v/>
      </c>
      <c r="AN276">
        <f>IF($AM276=1,SUMPRODUCT(--($AQ$2:$AQ$1001&lt;$AQ276))+1,"")</f>
        <v/>
      </c>
      <c r="AO276">
        <f>IF($D276="","",IF(OR($U276=TRUE(),$U276="TRUE"),1,0))</f>
        <v/>
      </c>
      <c r="AP276">
        <f>IF($D276="","",IF($AC276="Yes",1,0))</f>
        <v/>
      </c>
      <c r="AQ276">
        <f>IF($AM276=1,IFERROR(VALUE(MID($D276,2,20)),1000000000)+ROW()/100000,"")</f>
        <v/>
      </c>
    </row>
    <row r="277">
      <c r="G277" s="11" t="n"/>
      <c r="Q277" s="7">
        <f>IF($D277="","",P277*Y277/100)</f>
        <v/>
      </c>
      <c r="R277" s="7" t="n"/>
      <c r="X277" s="7" t="n"/>
      <c r="Y277" s="7" t="n"/>
      <c r="Z277" s="7">
        <f>IF($D277="","",Y277*AD277/100)</f>
        <v/>
      </c>
      <c r="AA277" s="7">
        <f>IF($D277="","",Y277-Z277)</f>
        <v/>
      </c>
      <c r="AB277" s="7">
        <f>IF($D277="","",AA277-Q277)</f>
        <v/>
      </c>
      <c r="AD277">
        <f>IF($D277="","",IF($AP277=1,0,IF($AO277=1,Settings!$C$6,Settings!$C$7))*100)</f>
        <v/>
      </c>
      <c r="AH277" s="7" t="n"/>
      <c r="AK277" s="11" t="n"/>
      <c r="AM277">
        <f>IF($D277="","",IF(COUNTIF($D$2:$D277,$D277)=1,1,0))</f>
        <v/>
      </c>
      <c r="AN277">
        <f>IF($AM277=1,SUMPRODUCT(--($AQ$2:$AQ$1001&lt;$AQ277))+1,"")</f>
        <v/>
      </c>
      <c r="AO277">
        <f>IF($D277="","",IF(OR($U277=TRUE(),$U277="TRUE"),1,0))</f>
        <v/>
      </c>
      <c r="AP277">
        <f>IF($D277="","",IF($AC277="Yes",1,0))</f>
        <v/>
      </c>
      <c r="AQ277">
        <f>IF($AM277=1,IFERROR(VALUE(MID($D277,2,20)),1000000000)+ROW()/100000,"")</f>
        <v/>
      </c>
    </row>
    <row r="278">
      <c r="G278" s="11" t="n"/>
      <c r="Q278" s="7">
        <f>IF($D278="","",P278*Y278/100)</f>
        <v/>
      </c>
      <c r="R278" s="7" t="n"/>
      <c r="X278" s="7" t="n"/>
      <c r="Y278" s="7" t="n"/>
      <c r="Z278" s="7">
        <f>IF($D278="","",Y278*AD278/100)</f>
        <v/>
      </c>
      <c r="AA278" s="7">
        <f>IF($D278="","",Y278-Z278)</f>
        <v/>
      </c>
      <c r="AB278" s="7">
        <f>IF($D278="","",AA278-Q278)</f>
        <v/>
      </c>
      <c r="AD278">
        <f>IF($D278="","",IF($AP278=1,0,IF($AO278=1,Settings!$C$6,Settings!$C$7))*100)</f>
        <v/>
      </c>
      <c r="AH278" s="7" t="n"/>
      <c r="AK278" s="11" t="n"/>
      <c r="AM278">
        <f>IF($D278="","",IF(COUNTIF($D$2:$D278,$D278)=1,1,0))</f>
        <v/>
      </c>
      <c r="AN278">
        <f>IF($AM278=1,SUMPRODUCT(--($AQ$2:$AQ$1001&lt;$AQ278))+1,"")</f>
        <v/>
      </c>
      <c r="AO278">
        <f>IF($D278="","",IF(OR($U278=TRUE(),$U278="TRUE"),1,0))</f>
        <v/>
      </c>
      <c r="AP278">
        <f>IF($D278="","",IF($AC278="Yes",1,0))</f>
        <v/>
      </c>
      <c r="AQ278">
        <f>IF($AM278=1,IFERROR(VALUE(MID($D278,2,20)),1000000000)+ROW()/100000,"")</f>
        <v/>
      </c>
    </row>
    <row r="279">
      <c r="G279" s="11" t="n"/>
      <c r="Q279" s="7">
        <f>IF($D279="","",P279*Y279/100)</f>
        <v/>
      </c>
      <c r="R279" s="7" t="n"/>
      <c r="X279" s="7" t="n"/>
      <c r="Y279" s="7" t="n"/>
      <c r="Z279" s="7">
        <f>IF($D279="","",Y279*AD279/100)</f>
        <v/>
      </c>
      <c r="AA279" s="7">
        <f>IF($D279="","",Y279-Z279)</f>
        <v/>
      </c>
      <c r="AB279" s="7">
        <f>IF($D279="","",AA279-Q279)</f>
        <v/>
      </c>
      <c r="AD279">
        <f>IF($D279="","",IF($AP279=1,0,IF($AO279=1,Settings!$C$6,Settings!$C$7))*100)</f>
        <v/>
      </c>
      <c r="AH279" s="7" t="n"/>
      <c r="AK279" s="11" t="n"/>
      <c r="AM279">
        <f>IF($D279="","",IF(COUNTIF($D$2:$D279,$D279)=1,1,0))</f>
        <v/>
      </c>
      <c r="AN279">
        <f>IF($AM279=1,SUMPRODUCT(--($AQ$2:$AQ$1001&lt;$AQ279))+1,"")</f>
        <v/>
      </c>
      <c r="AO279">
        <f>IF($D279="","",IF(OR($U279=TRUE(),$U279="TRUE"),1,0))</f>
        <v/>
      </c>
      <c r="AP279">
        <f>IF($D279="","",IF($AC279="Yes",1,0))</f>
        <v/>
      </c>
      <c r="AQ279">
        <f>IF($AM279=1,IFERROR(VALUE(MID($D279,2,20)),1000000000)+ROW()/100000,"")</f>
        <v/>
      </c>
    </row>
    <row r="280">
      <c r="G280" s="11" t="n"/>
      <c r="Q280" s="7">
        <f>IF($D280="","",P280*Y280/100)</f>
        <v/>
      </c>
      <c r="R280" s="7" t="n"/>
      <c r="X280" s="7" t="n"/>
      <c r="Y280" s="7" t="n"/>
      <c r="Z280" s="7">
        <f>IF($D280="","",Y280*AD280/100)</f>
        <v/>
      </c>
      <c r="AA280" s="7">
        <f>IF($D280="","",Y280-Z280)</f>
        <v/>
      </c>
      <c r="AB280" s="7">
        <f>IF($D280="","",AA280-Q280)</f>
        <v/>
      </c>
      <c r="AD280">
        <f>IF($D280="","",IF($AP280=1,0,IF($AO280=1,Settings!$C$6,Settings!$C$7))*100)</f>
        <v/>
      </c>
      <c r="AH280" s="7" t="n"/>
      <c r="AK280" s="11" t="n"/>
      <c r="AM280">
        <f>IF($D280="","",IF(COUNTIF($D$2:$D280,$D280)=1,1,0))</f>
        <v/>
      </c>
      <c r="AN280">
        <f>IF($AM280=1,SUMPRODUCT(--($AQ$2:$AQ$1001&lt;$AQ280))+1,"")</f>
        <v/>
      </c>
      <c r="AO280">
        <f>IF($D280="","",IF(OR($U280=TRUE(),$U280="TRUE"),1,0))</f>
        <v/>
      </c>
      <c r="AP280">
        <f>IF($D280="","",IF($AC280="Yes",1,0))</f>
        <v/>
      </c>
      <c r="AQ280">
        <f>IF($AM280=1,IFERROR(VALUE(MID($D280,2,20)),1000000000)+ROW()/100000,"")</f>
        <v/>
      </c>
    </row>
    <row r="281">
      <c r="G281" s="11" t="n"/>
      <c r="Q281" s="7">
        <f>IF($D281="","",P281*Y281/100)</f>
        <v/>
      </c>
      <c r="R281" s="7" t="n"/>
      <c r="X281" s="7" t="n"/>
      <c r="Y281" s="7" t="n"/>
      <c r="Z281" s="7">
        <f>IF($D281="","",Y281*AD281/100)</f>
        <v/>
      </c>
      <c r="AA281" s="7">
        <f>IF($D281="","",Y281-Z281)</f>
        <v/>
      </c>
      <c r="AB281" s="7">
        <f>IF($D281="","",AA281-Q281)</f>
        <v/>
      </c>
      <c r="AD281">
        <f>IF($D281="","",IF($AP281=1,0,IF($AO281=1,Settings!$C$6,Settings!$C$7))*100)</f>
        <v/>
      </c>
      <c r="AH281" s="7" t="n"/>
      <c r="AK281" s="11" t="n"/>
      <c r="AM281">
        <f>IF($D281="","",IF(COUNTIF($D$2:$D281,$D281)=1,1,0))</f>
        <v/>
      </c>
      <c r="AN281">
        <f>IF($AM281=1,SUMPRODUCT(--($AQ$2:$AQ$1001&lt;$AQ281))+1,"")</f>
        <v/>
      </c>
      <c r="AO281">
        <f>IF($D281="","",IF(OR($U281=TRUE(),$U281="TRUE"),1,0))</f>
        <v/>
      </c>
      <c r="AP281">
        <f>IF($D281="","",IF($AC281="Yes",1,0))</f>
        <v/>
      </c>
      <c r="AQ281">
        <f>IF($AM281=1,IFERROR(VALUE(MID($D281,2,20)),1000000000)+ROW()/100000,"")</f>
        <v/>
      </c>
    </row>
    <row r="282">
      <c r="G282" s="11" t="n"/>
      <c r="Q282" s="7">
        <f>IF($D282="","",P282*Y282/100)</f>
        <v/>
      </c>
      <c r="R282" s="7" t="n"/>
      <c r="X282" s="7" t="n"/>
      <c r="Y282" s="7" t="n"/>
      <c r="Z282" s="7">
        <f>IF($D282="","",Y282*AD282/100)</f>
        <v/>
      </c>
      <c r="AA282" s="7">
        <f>IF($D282="","",Y282-Z282)</f>
        <v/>
      </c>
      <c r="AB282" s="7">
        <f>IF($D282="","",AA282-Q282)</f>
        <v/>
      </c>
      <c r="AD282">
        <f>IF($D282="","",IF($AP282=1,0,IF($AO282=1,Settings!$C$6,Settings!$C$7))*100)</f>
        <v/>
      </c>
      <c r="AH282" s="7" t="n"/>
      <c r="AK282" s="11" t="n"/>
      <c r="AM282">
        <f>IF($D282="","",IF(COUNTIF($D$2:$D282,$D282)=1,1,0))</f>
        <v/>
      </c>
      <c r="AN282">
        <f>IF($AM282=1,SUMPRODUCT(--($AQ$2:$AQ$1001&lt;$AQ282))+1,"")</f>
        <v/>
      </c>
      <c r="AO282">
        <f>IF($D282="","",IF(OR($U282=TRUE(),$U282="TRUE"),1,0))</f>
        <v/>
      </c>
      <c r="AP282">
        <f>IF($D282="","",IF($AC282="Yes",1,0))</f>
        <v/>
      </c>
      <c r="AQ282">
        <f>IF($AM282=1,IFERROR(VALUE(MID($D282,2,20)),1000000000)+ROW()/100000,"")</f>
        <v/>
      </c>
    </row>
    <row r="283">
      <c r="G283" s="11" t="n"/>
      <c r="Q283" s="7">
        <f>IF($D283="","",P283*Y283/100)</f>
        <v/>
      </c>
      <c r="R283" s="7" t="n"/>
      <c r="X283" s="7" t="n"/>
      <c r="Y283" s="7" t="n"/>
      <c r="Z283" s="7">
        <f>IF($D283="","",Y283*AD283/100)</f>
        <v/>
      </c>
      <c r="AA283" s="7">
        <f>IF($D283="","",Y283-Z283)</f>
        <v/>
      </c>
      <c r="AB283" s="7">
        <f>IF($D283="","",AA283-Q283)</f>
        <v/>
      </c>
      <c r="AD283">
        <f>IF($D283="","",IF($AP283=1,0,IF($AO283=1,Settings!$C$6,Settings!$C$7))*100)</f>
        <v/>
      </c>
      <c r="AH283" s="7" t="n"/>
      <c r="AK283" s="11" t="n"/>
      <c r="AM283">
        <f>IF($D283="","",IF(COUNTIF($D$2:$D283,$D283)=1,1,0))</f>
        <v/>
      </c>
      <c r="AN283">
        <f>IF($AM283=1,SUMPRODUCT(--($AQ$2:$AQ$1001&lt;$AQ283))+1,"")</f>
        <v/>
      </c>
      <c r="AO283">
        <f>IF($D283="","",IF(OR($U283=TRUE(),$U283="TRUE"),1,0))</f>
        <v/>
      </c>
      <c r="AP283">
        <f>IF($D283="","",IF($AC283="Yes",1,0))</f>
        <v/>
      </c>
      <c r="AQ283">
        <f>IF($AM283=1,IFERROR(VALUE(MID($D283,2,20)),1000000000)+ROW()/100000,"")</f>
        <v/>
      </c>
    </row>
    <row r="284">
      <c r="G284" s="11" t="n"/>
      <c r="Q284" s="7">
        <f>IF($D284="","",P284*Y284/100)</f>
        <v/>
      </c>
      <c r="R284" s="7" t="n"/>
      <c r="X284" s="7" t="n"/>
      <c r="Y284" s="7" t="n"/>
      <c r="Z284" s="7">
        <f>IF($D284="","",Y284*AD284/100)</f>
        <v/>
      </c>
      <c r="AA284" s="7">
        <f>IF($D284="","",Y284-Z284)</f>
        <v/>
      </c>
      <c r="AB284" s="7">
        <f>IF($D284="","",AA284-Q284)</f>
        <v/>
      </c>
      <c r="AD284">
        <f>IF($D284="","",IF($AP284=1,0,IF($AO284=1,Settings!$C$6,Settings!$C$7))*100)</f>
        <v/>
      </c>
      <c r="AH284" s="7" t="n"/>
      <c r="AK284" s="11" t="n"/>
      <c r="AM284">
        <f>IF($D284="","",IF(COUNTIF($D$2:$D284,$D284)=1,1,0))</f>
        <v/>
      </c>
      <c r="AN284">
        <f>IF($AM284=1,SUMPRODUCT(--($AQ$2:$AQ$1001&lt;$AQ284))+1,"")</f>
        <v/>
      </c>
      <c r="AO284">
        <f>IF($D284="","",IF(OR($U284=TRUE(),$U284="TRUE"),1,0))</f>
        <v/>
      </c>
      <c r="AP284">
        <f>IF($D284="","",IF($AC284="Yes",1,0))</f>
        <v/>
      </c>
      <c r="AQ284">
        <f>IF($AM284=1,IFERROR(VALUE(MID($D284,2,20)),1000000000)+ROW()/100000,"")</f>
        <v/>
      </c>
    </row>
    <row r="285">
      <c r="G285" s="11" t="n"/>
      <c r="Q285" s="7">
        <f>IF($D285="","",P285*Y285/100)</f>
        <v/>
      </c>
      <c r="R285" s="7" t="n"/>
      <c r="X285" s="7" t="n"/>
      <c r="Y285" s="7" t="n"/>
      <c r="Z285" s="7">
        <f>IF($D285="","",Y285*AD285/100)</f>
        <v/>
      </c>
      <c r="AA285" s="7">
        <f>IF($D285="","",Y285-Z285)</f>
        <v/>
      </c>
      <c r="AB285" s="7">
        <f>IF($D285="","",AA285-Q285)</f>
        <v/>
      </c>
      <c r="AD285">
        <f>IF($D285="","",IF($AP285=1,0,IF($AO285=1,Settings!$C$6,Settings!$C$7))*100)</f>
        <v/>
      </c>
      <c r="AH285" s="7" t="n"/>
      <c r="AK285" s="11" t="n"/>
      <c r="AM285">
        <f>IF($D285="","",IF(COUNTIF($D$2:$D285,$D285)=1,1,0))</f>
        <v/>
      </c>
      <c r="AN285">
        <f>IF($AM285=1,SUMPRODUCT(--($AQ$2:$AQ$1001&lt;$AQ285))+1,"")</f>
        <v/>
      </c>
      <c r="AO285">
        <f>IF($D285="","",IF(OR($U285=TRUE(),$U285="TRUE"),1,0))</f>
        <v/>
      </c>
      <c r="AP285">
        <f>IF($D285="","",IF($AC285="Yes",1,0))</f>
        <v/>
      </c>
      <c r="AQ285">
        <f>IF($AM285=1,IFERROR(VALUE(MID($D285,2,20)),1000000000)+ROW()/100000,"")</f>
        <v/>
      </c>
    </row>
    <row r="286">
      <c r="G286" s="11" t="n"/>
      <c r="Q286" s="7">
        <f>IF($D286="","",P286*Y286/100)</f>
        <v/>
      </c>
      <c r="R286" s="7" t="n"/>
      <c r="X286" s="7" t="n"/>
      <c r="Y286" s="7" t="n"/>
      <c r="Z286" s="7">
        <f>IF($D286="","",Y286*AD286/100)</f>
        <v/>
      </c>
      <c r="AA286" s="7">
        <f>IF($D286="","",Y286-Z286)</f>
        <v/>
      </c>
      <c r="AB286" s="7">
        <f>IF($D286="","",AA286-Q286)</f>
        <v/>
      </c>
      <c r="AD286">
        <f>IF($D286="","",IF($AP286=1,0,IF($AO286=1,Settings!$C$6,Settings!$C$7))*100)</f>
        <v/>
      </c>
      <c r="AH286" s="7" t="n"/>
      <c r="AK286" s="11" t="n"/>
      <c r="AM286">
        <f>IF($D286="","",IF(COUNTIF($D$2:$D286,$D286)=1,1,0))</f>
        <v/>
      </c>
      <c r="AN286">
        <f>IF($AM286=1,SUMPRODUCT(--($AQ$2:$AQ$1001&lt;$AQ286))+1,"")</f>
        <v/>
      </c>
      <c r="AO286">
        <f>IF($D286="","",IF(OR($U286=TRUE(),$U286="TRUE"),1,0))</f>
        <v/>
      </c>
      <c r="AP286">
        <f>IF($D286="","",IF($AC286="Yes",1,0))</f>
        <v/>
      </c>
      <c r="AQ286">
        <f>IF($AM286=1,IFERROR(VALUE(MID($D286,2,20)),1000000000)+ROW()/100000,"")</f>
        <v/>
      </c>
    </row>
    <row r="287">
      <c r="G287" s="11" t="n"/>
      <c r="Q287" s="7">
        <f>IF($D287="","",P287*Y287/100)</f>
        <v/>
      </c>
      <c r="R287" s="7" t="n"/>
      <c r="X287" s="7" t="n"/>
      <c r="Y287" s="7" t="n"/>
      <c r="Z287" s="7">
        <f>IF($D287="","",Y287*AD287/100)</f>
        <v/>
      </c>
      <c r="AA287" s="7">
        <f>IF($D287="","",Y287-Z287)</f>
        <v/>
      </c>
      <c r="AB287" s="7">
        <f>IF($D287="","",AA287-Q287)</f>
        <v/>
      </c>
      <c r="AD287">
        <f>IF($D287="","",IF($AP287=1,0,IF($AO287=1,Settings!$C$6,Settings!$C$7))*100)</f>
        <v/>
      </c>
      <c r="AH287" s="7" t="n"/>
      <c r="AK287" s="11" t="n"/>
      <c r="AM287">
        <f>IF($D287="","",IF(COUNTIF($D$2:$D287,$D287)=1,1,0))</f>
        <v/>
      </c>
      <c r="AN287">
        <f>IF($AM287=1,SUMPRODUCT(--($AQ$2:$AQ$1001&lt;$AQ287))+1,"")</f>
        <v/>
      </c>
      <c r="AO287">
        <f>IF($D287="","",IF(OR($U287=TRUE(),$U287="TRUE"),1,0))</f>
        <v/>
      </c>
      <c r="AP287">
        <f>IF($D287="","",IF($AC287="Yes",1,0))</f>
        <v/>
      </c>
      <c r="AQ287">
        <f>IF($AM287=1,IFERROR(VALUE(MID($D287,2,20)),1000000000)+ROW()/100000,"")</f>
        <v/>
      </c>
    </row>
    <row r="288">
      <c r="G288" s="11" t="n"/>
      <c r="Q288" s="7">
        <f>IF($D288="","",P288*Y288/100)</f>
        <v/>
      </c>
      <c r="R288" s="7" t="n"/>
      <c r="X288" s="7" t="n"/>
      <c r="Y288" s="7" t="n"/>
      <c r="Z288" s="7">
        <f>IF($D288="","",Y288*AD288/100)</f>
        <v/>
      </c>
      <c r="AA288" s="7">
        <f>IF($D288="","",Y288-Z288)</f>
        <v/>
      </c>
      <c r="AB288" s="7">
        <f>IF($D288="","",AA288-Q288)</f>
        <v/>
      </c>
      <c r="AD288">
        <f>IF($D288="","",IF($AP288=1,0,IF($AO288=1,Settings!$C$6,Settings!$C$7))*100)</f>
        <v/>
      </c>
      <c r="AH288" s="7" t="n"/>
      <c r="AK288" s="11" t="n"/>
      <c r="AM288">
        <f>IF($D288="","",IF(COUNTIF($D$2:$D288,$D288)=1,1,0))</f>
        <v/>
      </c>
      <c r="AN288">
        <f>IF($AM288=1,SUMPRODUCT(--($AQ$2:$AQ$1001&lt;$AQ288))+1,"")</f>
        <v/>
      </c>
      <c r="AO288">
        <f>IF($D288="","",IF(OR($U288=TRUE(),$U288="TRUE"),1,0))</f>
        <v/>
      </c>
      <c r="AP288">
        <f>IF($D288="","",IF($AC288="Yes",1,0))</f>
        <v/>
      </c>
      <c r="AQ288">
        <f>IF($AM288=1,IFERROR(VALUE(MID($D288,2,20)),1000000000)+ROW()/100000,"")</f>
        <v/>
      </c>
    </row>
    <row r="289">
      <c r="G289" s="11" t="n"/>
      <c r="Q289" s="7">
        <f>IF($D289="","",P289*Y289/100)</f>
        <v/>
      </c>
      <c r="R289" s="7" t="n"/>
      <c r="X289" s="7" t="n"/>
      <c r="Y289" s="7" t="n"/>
      <c r="Z289" s="7">
        <f>IF($D289="","",Y289*AD289/100)</f>
        <v/>
      </c>
      <c r="AA289" s="7">
        <f>IF($D289="","",Y289-Z289)</f>
        <v/>
      </c>
      <c r="AB289" s="7">
        <f>IF($D289="","",AA289-Q289)</f>
        <v/>
      </c>
      <c r="AD289">
        <f>IF($D289="","",IF($AP289=1,0,IF($AO289=1,Settings!$C$6,Settings!$C$7))*100)</f>
        <v/>
      </c>
      <c r="AH289" s="7" t="n"/>
      <c r="AK289" s="11" t="n"/>
      <c r="AM289">
        <f>IF($D289="","",IF(COUNTIF($D$2:$D289,$D289)=1,1,0))</f>
        <v/>
      </c>
      <c r="AN289">
        <f>IF($AM289=1,SUMPRODUCT(--($AQ$2:$AQ$1001&lt;$AQ289))+1,"")</f>
        <v/>
      </c>
      <c r="AO289">
        <f>IF($D289="","",IF(OR($U289=TRUE(),$U289="TRUE"),1,0))</f>
        <v/>
      </c>
      <c r="AP289">
        <f>IF($D289="","",IF($AC289="Yes",1,0))</f>
        <v/>
      </c>
      <c r="AQ289">
        <f>IF($AM289=1,IFERROR(VALUE(MID($D289,2,20)),1000000000)+ROW()/100000,"")</f>
        <v/>
      </c>
    </row>
    <row r="290">
      <c r="G290" s="11" t="n"/>
      <c r="Q290" s="7">
        <f>IF($D290="","",P290*Y290/100)</f>
        <v/>
      </c>
      <c r="R290" s="7" t="n"/>
      <c r="X290" s="7" t="n"/>
      <c r="Y290" s="7" t="n"/>
      <c r="Z290" s="7">
        <f>IF($D290="","",Y290*AD290/100)</f>
        <v/>
      </c>
      <c r="AA290" s="7">
        <f>IF($D290="","",Y290-Z290)</f>
        <v/>
      </c>
      <c r="AB290" s="7">
        <f>IF($D290="","",AA290-Q290)</f>
        <v/>
      </c>
      <c r="AD290">
        <f>IF($D290="","",IF($AP290=1,0,IF($AO290=1,Settings!$C$6,Settings!$C$7))*100)</f>
        <v/>
      </c>
      <c r="AH290" s="7" t="n"/>
      <c r="AK290" s="11" t="n"/>
      <c r="AM290">
        <f>IF($D290="","",IF(COUNTIF($D$2:$D290,$D290)=1,1,0))</f>
        <v/>
      </c>
      <c r="AN290">
        <f>IF($AM290=1,SUMPRODUCT(--($AQ$2:$AQ$1001&lt;$AQ290))+1,"")</f>
        <v/>
      </c>
      <c r="AO290">
        <f>IF($D290="","",IF(OR($U290=TRUE(),$U290="TRUE"),1,0))</f>
        <v/>
      </c>
      <c r="AP290">
        <f>IF($D290="","",IF($AC290="Yes",1,0))</f>
        <v/>
      </c>
      <c r="AQ290">
        <f>IF($AM290=1,IFERROR(VALUE(MID($D290,2,20)),1000000000)+ROW()/100000,"")</f>
        <v/>
      </c>
    </row>
    <row r="291">
      <c r="G291" s="11" t="n"/>
      <c r="Q291" s="7">
        <f>IF($D291="","",P291*Y291/100)</f>
        <v/>
      </c>
      <c r="R291" s="7" t="n"/>
      <c r="X291" s="7" t="n"/>
      <c r="Y291" s="7" t="n"/>
      <c r="Z291" s="7">
        <f>IF($D291="","",Y291*AD291/100)</f>
        <v/>
      </c>
      <c r="AA291" s="7">
        <f>IF($D291="","",Y291-Z291)</f>
        <v/>
      </c>
      <c r="AB291" s="7">
        <f>IF($D291="","",AA291-Q291)</f>
        <v/>
      </c>
      <c r="AD291">
        <f>IF($D291="","",IF($AP291=1,0,IF($AO291=1,Settings!$C$6,Settings!$C$7))*100)</f>
        <v/>
      </c>
      <c r="AH291" s="7" t="n"/>
      <c r="AK291" s="11" t="n"/>
      <c r="AM291">
        <f>IF($D291="","",IF(COUNTIF($D$2:$D291,$D291)=1,1,0))</f>
        <v/>
      </c>
      <c r="AN291">
        <f>IF($AM291=1,SUMPRODUCT(--($AQ$2:$AQ$1001&lt;$AQ291))+1,"")</f>
        <v/>
      </c>
      <c r="AO291">
        <f>IF($D291="","",IF(OR($U291=TRUE(),$U291="TRUE"),1,0))</f>
        <v/>
      </c>
      <c r="AP291">
        <f>IF($D291="","",IF($AC291="Yes",1,0))</f>
        <v/>
      </c>
      <c r="AQ291">
        <f>IF($AM291=1,IFERROR(VALUE(MID($D291,2,20)),1000000000)+ROW()/100000,"")</f>
        <v/>
      </c>
    </row>
    <row r="292">
      <c r="G292" s="11" t="n"/>
      <c r="Q292" s="7">
        <f>IF($D292="","",P292*Y292/100)</f>
        <v/>
      </c>
      <c r="R292" s="7" t="n"/>
      <c r="X292" s="7" t="n"/>
      <c r="Y292" s="7" t="n"/>
      <c r="Z292" s="7">
        <f>IF($D292="","",Y292*AD292/100)</f>
        <v/>
      </c>
      <c r="AA292" s="7">
        <f>IF($D292="","",Y292-Z292)</f>
        <v/>
      </c>
      <c r="AB292" s="7">
        <f>IF($D292="","",AA292-Q292)</f>
        <v/>
      </c>
      <c r="AD292">
        <f>IF($D292="","",IF($AP292=1,0,IF($AO292=1,Settings!$C$6,Settings!$C$7))*100)</f>
        <v/>
      </c>
      <c r="AH292" s="7" t="n"/>
      <c r="AK292" s="11" t="n"/>
      <c r="AM292">
        <f>IF($D292="","",IF(COUNTIF($D$2:$D292,$D292)=1,1,0))</f>
        <v/>
      </c>
      <c r="AN292">
        <f>IF($AM292=1,SUMPRODUCT(--($AQ$2:$AQ$1001&lt;$AQ292))+1,"")</f>
        <v/>
      </c>
      <c r="AO292">
        <f>IF($D292="","",IF(OR($U292=TRUE(),$U292="TRUE"),1,0))</f>
        <v/>
      </c>
      <c r="AP292">
        <f>IF($D292="","",IF($AC292="Yes",1,0))</f>
        <v/>
      </c>
      <c r="AQ292">
        <f>IF($AM292=1,IFERROR(VALUE(MID($D292,2,20)),1000000000)+ROW()/100000,"")</f>
        <v/>
      </c>
    </row>
    <row r="293">
      <c r="G293" s="11" t="n"/>
      <c r="Q293" s="7">
        <f>IF($D293="","",P293*Y293/100)</f>
        <v/>
      </c>
      <c r="R293" s="7" t="n"/>
      <c r="X293" s="7" t="n"/>
      <c r="Y293" s="7" t="n"/>
      <c r="Z293" s="7">
        <f>IF($D293="","",Y293*AD293/100)</f>
        <v/>
      </c>
      <c r="AA293" s="7">
        <f>IF($D293="","",Y293-Z293)</f>
        <v/>
      </c>
      <c r="AB293" s="7">
        <f>IF($D293="","",AA293-Q293)</f>
        <v/>
      </c>
      <c r="AD293">
        <f>IF($D293="","",IF($AP293=1,0,IF($AO293=1,Settings!$C$6,Settings!$C$7))*100)</f>
        <v/>
      </c>
      <c r="AH293" s="7" t="n"/>
      <c r="AK293" s="11" t="n"/>
      <c r="AM293">
        <f>IF($D293="","",IF(COUNTIF($D$2:$D293,$D293)=1,1,0))</f>
        <v/>
      </c>
      <c r="AN293">
        <f>IF($AM293=1,SUMPRODUCT(--($AQ$2:$AQ$1001&lt;$AQ293))+1,"")</f>
        <v/>
      </c>
      <c r="AO293">
        <f>IF($D293="","",IF(OR($U293=TRUE(),$U293="TRUE"),1,0))</f>
        <v/>
      </c>
      <c r="AP293">
        <f>IF($D293="","",IF($AC293="Yes",1,0))</f>
        <v/>
      </c>
      <c r="AQ293">
        <f>IF($AM293=1,IFERROR(VALUE(MID($D293,2,20)),1000000000)+ROW()/100000,"")</f>
        <v/>
      </c>
    </row>
    <row r="294">
      <c r="G294" s="11" t="n"/>
      <c r="Q294" s="7">
        <f>IF($D294="","",P294*Y294/100)</f>
        <v/>
      </c>
      <c r="R294" s="7" t="n"/>
      <c r="X294" s="7" t="n"/>
      <c r="Y294" s="7" t="n"/>
      <c r="Z294" s="7">
        <f>IF($D294="","",Y294*AD294/100)</f>
        <v/>
      </c>
      <c r="AA294" s="7">
        <f>IF($D294="","",Y294-Z294)</f>
        <v/>
      </c>
      <c r="AB294" s="7">
        <f>IF($D294="","",AA294-Q294)</f>
        <v/>
      </c>
      <c r="AD294">
        <f>IF($D294="","",IF($AP294=1,0,IF($AO294=1,Settings!$C$6,Settings!$C$7))*100)</f>
        <v/>
      </c>
      <c r="AH294" s="7" t="n"/>
      <c r="AK294" s="11" t="n"/>
      <c r="AM294">
        <f>IF($D294="","",IF(COUNTIF($D$2:$D294,$D294)=1,1,0))</f>
        <v/>
      </c>
      <c r="AN294">
        <f>IF($AM294=1,SUMPRODUCT(--($AQ$2:$AQ$1001&lt;$AQ294))+1,"")</f>
        <v/>
      </c>
      <c r="AO294">
        <f>IF($D294="","",IF(OR($U294=TRUE(),$U294="TRUE"),1,0))</f>
        <v/>
      </c>
      <c r="AP294">
        <f>IF($D294="","",IF($AC294="Yes",1,0))</f>
        <v/>
      </c>
      <c r="AQ294">
        <f>IF($AM294=1,IFERROR(VALUE(MID($D294,2,20)),1000000000)+ROW()/100000,"")</f>
        <v/>
      </c>
    </row>
    <row r="295">
      <c r="G295" s="11" t="n"/>
      <c r="Q295" s="7">
        <f>IF($D295="","",P295*Y295/100)</f>
        <v/>
      </c>
      <c r="R295" s="7" t="n"/>
      <c r="X295" s="7" t="n"/>
      <c r="Y295" s="7" t="n"/>
      <c r="Z295" s="7">
        <f>IF($D295="","",Y295*AD295/100)</f>
        <v/>
      </c>
      <c r="AA295" s="7">
        <f>IF($D295="","",Y295-Z295)</f>
        <v/>
      </c>
      <c r="AB295" s="7">
        <f>IF($D295="","",AA295-Q295)</f>
        <v/>
      </c>
      <c r="AD295">
        <f>IF($D295="","",IF($AP295=1,0,IF($AO295=1,Settings!$C$6,Settings!$C$7))*100)</f>
        <v/>
      </c>
      <c r="AH295" s="7" t="n"/>
      <c r="AK295" s="11" t="n"/>
      <c r="AM295">
        <f>IF($D295="","",IF(COUNTIF($D$2:$D295,$D295)=1,1,0))</f>
        <v/>
      </c>
      <c r="AN295">
        <f>IF($AM295=1,SUMPRODUCT(--($AQ$2:$AQ$1001&lt;$AQ295))+1,"")</f>
        <v/>
      </c>
      <c r="AO295">
        <f>IF($D295="","",IF(OR($U295=TRUE(),$U295="TRUE"),1,0))</f>
        <v/>
      </c>
      <c r="AP295">
        <f>IF($D295="","",IF($AC295="Yes",1,0))</f>
        <v/>
      </c>
      <c r="AQ295">
        <f>IF($AM295=1,IFERROR(VALUE(MID($D295,2,20)),1000000000)+ROW()/100000,"")</f>
        <v/>
      </c>
    </row>
    <row r="296">
      <c r="G296" s="11" t="n"/>
      <c r="Q296" s="7">
        <f>IF($D296="","",P296*Y296/100)</f>
        <v/>
      </c>
      <c r="R296" s="7" t="n"/>
      <c r="X296" s="7" t="n"/>
      <c r="Y296" s="7" t="n"/>
      <c r="Z296" s="7">
        <f>IF($D296="","",Y296*AD296/100)</f>
        <v/>
      </c>
      <c r="AA296" s="7">
        <f>IF($D296="","",Y296-Z296)</f>
        <v/>
      </c>
      <c r="AB296" s="7">
        <f>IF($D296="","",AA296-Q296)</f>
        <v/>
      </c>
      <c r="AD296">
        <f>IF($D296="","",IF($AP296=1,0,IF($AO296=1,Settings!$C$6,Settings!$C$7))*100)</f>
        <v/>
      </c>
      <c r="AH296" s="7" t="n"/>
      <c r="AK296" s="11" t="n"/>
      <c r="AM296">
        <f>IF($D296="","",IF(COUNTIF($D$2:$D296,$D296)=1,1,0))</f>
        <v/>
      </c>
      <c r="AN296">
        <f>IF($AM296=1,SUMPRODUCT(--($AQ$2:$AQ$1001&lt;$AQ296))+1,"")</f>
        <v/>
      </c>
      <c r="AO296">
        <f>IF($D296="","",IF(OR($U296=TRUE(),$U296="TRUE"),1,0))</f>
        <v/>
      </c>
      <c r="AP296">
        <f>IF($D296="","",IF($AC296="Yes",1,0))</f>
        <v/>
      </c>
      <c r="AQ296">
        <f>IF($AM296=1,IFERROR(VALUE(MID($D296,2,20)),1000000000)+ROW()/100000,"")</f>
        <v/>
      </c>
    </row>
    <row r="297">
      <c r="G297" s="11" t="n"/>
      <c r="Q297" s="7">
        <f>IF($D297="","",P297*Y297/100)</f>
        <v/>
      </c>
      <c r="R297" s="7" t="n"/>
      <c r="X297" s="7" t="n"/>
      <c r="Y297" s="7" t="n"/>
      <c r="Z297" s="7">
        <f>IF($D297="","",Y297*AD297/100)</f>
        <v/>
      </c>
      <c r="AA297" s="7">
        <f>IF($D297="","",Y297-Z297)</f>
        <v/>
      </c>
      <c r="AB297" s="7">
        <f>IF($D297="","",AA297-Q297)</f>
        <v/>
      </c>
      <c r="AD297">
        <f>IF($D297="","",IF($AP297=1,0,IF($AO297=1,Settings!$C$6,Settings!$C$7))*100)</f>
        <v/>
      </c>
      <c r="AH297" s="7" t="n"/>
      <c r="AK297" s="11" t="n"/>
      <c r="AM297">
        <f>IF($D297="","",IF(COUNTIF($D$2:$D297,$D297)=1,1,0))</f>
        <v/>
      </c>
      <c r="AN297">
        <f>IF($AM297=1,SUMPRODUCT(--($AQ$2:$AQ$1001&lt;$AQ297))+1,"")</f>
        <v/>
      </c>
      <c r="AO297">
        <f>IF($D297="","",IF(OR($U297=TRUE(),$U297="TRUE"),1,0))</f>
        <v/>
      </c>
      <c r="AP297">
        <f>IF($D297="","",IF($AC297="Yes",1,0))</f>
        <v/>
      </c>
      <c r="AQ297">
        <f>IF($AM297=1,IFERROR(VALUE(MID($D297,2,20)),1000000000)+ROW()/100000,"")</f>
        <v/>
      </c>
    </row>
    <row r="298">
      <c r="G298" s="11" t="n"/>
      <c r="Q298" s="7">
        <f>IF($D298="","",P298*Y298/100)</f>
        <v/>
      </c>
      <c r="R298" s="7" t="n"/>
      <c r="X298" s="7" t="n"/>
      <c r="Y298" s="7" t="n"/>
      <c r="Z298" s="7">
        <f>IF($D298="","",Y298*AD298/100)</f>
        <v/>
      </c>
      <c r="AA298" s="7">
        <f>IF($D298="","",Y298-Z298)</f>
        <v/>
      </c>
      <c r="AB298" s="7">
        <f>IF($D298="","",AA298-Q298)</f>
        <v/>
      </c>
      <c r="AD298">
        <f>IF($D298="","",IF($AP298=1,0,IF($AO298=1,Settings!$C$6,Settings!$C$7))*100)</f>
        <v/>
      </c>
      <c r="AH298" s="7" t="n"/>
      <c r="AK298" s="11" t="n"/>
      <c r="AM298">
        <f>IF($D298="","",IF(COUNTIF($D$2:$D298,$D298)=1,1,0))</f>
        <v/>
      </c>
      <c r="AN298">
        <f>IF($AM298=1,SUMPRODUCT(--($AQ$2:$AQ$1001&lt;$AQ298))+1,"")</f>
        <v/>
      </c>
      <c r="AO298">
        <f>IF($D298="","",IF(OR($U298=TRUE(),$U298="TRUE"),1,0))</f>
        <v/>
      </c>
      <c r="AP298">
        <f>IF($D298="","",IF($AC298="Yes",1,0))</f>
        <v/>
      </c>
      <c r="AQ298">
        <f>IF($AM298=1,IFERROR(VALUE(MID($D298,2,20)),1000000000)+ROW()/100000,"")</f>
        <v/>
      </c>
    </row>
    <row r="299">
      <c r="G299" s="11" t="n"/>
      <c r="Q299" s="7">
        <f>IF($D299="","",P299*Y299/100)</f>
        <v/>
      </c>
      <c r="R299" s="7" t="n"/>
      <c r="X299" s="7" t="n"/>
      <c r="Y299" s="7" t="n"/>
      <c r="Z299" s="7">
        <f>IF($D299="","",Y299*AD299/100)</f>
        <v/>
      </c>
      <c r="AA299" s="7">
        <f>IF($D299="","",Y299-Z299)</f>
        <v/>
      </c>
      <c r="AB299" s="7">
        <f>IF($D299="","",AA299-Q299)</f>
        <v/>
      </c>
      <c r="AD299">
        <f>IF($D299="","",IF($AP299=1,0,IF($AO299=1,Settings!$C$6,Settings!$C$7))*100)</f>
        <v/>
      </c>
      <c r="AH299" s="7" t="n"/>
      <c r="AK299" s="11" t="n"/>
      <c r="AM299">
        <f>IF($D299="","",IF(COUNTIF($D$2:$D299,$D299)=1,1,0))</f>
        <v/>
      </c>
      <c r="AN299">
        <f>IF($AM299=1,SUMPRODUCT(--($AQ$2:$AQ$1001&lt;$AQ299))+1,"")</f>
        <v/>
      </c>
      <c r="AO299">
        <f>IF($D299="","",IF(OR($U299=TRUE(),$U299="TRUE"),1,0))</f>
        <v/>
      </c>
      <c r="AP299">
        <f>IF($D299="","",IF($AC299="Yes",1,0))</f>
        <v/>
      </c>
      <c r="AQ299">
        <f>IF($AM299=1,IFERROR(VALUE(MID($D299,2,20)),1000000000)+ROW()/100000,"")</f>
        <v/>
      </c>
    </row>
    <row r="300">
      <c r="G300" s="11" t="n"/>
      <c r="Q300" s="7">
        <f>IF($D300="","",P300*Y300/100)</f>
        <v/>
      </c>
      <c r="R300" s="7" t="n"/>
      <c r="X300" s="7" t="n"/>
      <c r="Y300" s="7" t="n"/>
      <c r="Z300" s="7">
        <f>IF($D300="","",Y300*AD300/100)</f>
        <v/>
      </c>
      <c r="AA300" s="7">
        <f>IF($D300="","",Y300-Z300)</f>
        <v/>
      </c>
      <c r="AB300" s="7">
        <f>IF($D300="","",AA300-Q300)</f>
        <v/>
      </c>
      <c r="AD300">
        <f>IF($D300="","",IF($AP300=1,0,IF($AO300=1,Settings!$C$6,Settings!$C$7))*100)</f>
        <v/>
      </c>
      <c r="AH300" s="7" t="n"/>
      <c r="AK300" s="11" t="n"/>
      <c r="AM300">
        <f>IF($D300="","",IF(COUNTIF($D$2:$D300,$D300)=1,1,0))</f>
        <v/>
      </c>
      <c r="AN300">
        <f>IF($AM300=1,SUMPRODUCT(--($AQ$2:$AQ$1001&lt;$AQ300))+1,"")</f>
        <v/>
      </c>
      <c r="AO300">
        <f>IF($D300="","",IF(OR($U300=TRUE(),$U300="TRUE"),1,0))</f>
        <v/>
      </c>
      <c r="AP300">
        <f>IF($D300="","",IF($AC300="Yes",1,0))</f>
        <v/>
      </c>
      <c r="AQ300">
        <f>IF($AM300=1,IFERROR(VALUE(MID($D300,2,20)),1000000000)+ROW()/100000,"")</f>
        <v/>
      </c>
    </row>
    <row r="301">
      <c r="G301" s="11" t="n"/>
      <c r="Q301" s="7">
        <f>IF($D301="","",P301*Y301/100)</f>
        <v/>
      </c>
      <c r="R301" s="7" t="n"/>
      <c r="X301" s="7" t="n"/>
      <c r="Y301" s="7" t="n"/>
      <c r="Z301" s="7">
        <f>IF($D301="","",Y301*AD301/100)</f>
        <v/>
      </c>
      <c r="AA301" s="7">
        <f>IF($D301="","",Y301-Z301)</f>
        <v/>
      </c>
      <c r="AB301" s="7">
        <f>IF($D301="","",AA301-Q301)</f>
        <v/>
      </c>
      <c r="AD301">
        <f>IF($D301="","",IF($AP301=1,0,IF($AO301=1,Settings!$C$6,Settings!$C$7))*100)</f>
        <v/>
      </c>
      <c r="AH301" s="7" t="n"/>
      <c r="AK301" s="11" t="n"/>
      <c r="AM301">
        <f>IF($D301="","",IF(COUNTIF($D$2:$D301,$D301)=1,1,0))</f>
        <v/>
      </c>
      <c r="AN301">
        <f>IF($AM301=1,SUMPRODUCT(--($AQ$2:$AQ$1001&lt;$AQ301))+1,"")</f>
        <v/>
      </c>
      <c r="AO301">
        <f>IF($D301="","",IF(OR($U301=TRUE(),$U301="TRUE"),1,0))</f>
        <v/>
      </c>
      <c r="AP301">
        <f>IF($D301="","",IF($AC301="Yes",1,0))</f>
        <v/>
      </c>
      <c r="AQ301">
        <f>IF($AM301=1,IFERROR(VALUE(MID($D301,2,20)),1000000000)+ROW()/100000,"")</f>
        <v/>
      </c>
    </row>
    <row r="302">
      <c r="G302" s="11" t="n"/>
      <c r="Q302" s="7">
        <f>IF($D302="","",P302*Y302/100)</f>
        <v/>
      </c>
      <c r="R302" s="7" t="n"/>
      <c r="X302" s="7" t="n"/>
      <c r="Y302" s="7" t="n"/>
      <c r="Z302" s="7">
        <f>IF($D302="","",Y302*AD302/100)</f>
        <v/>
      </c>
      <c r="AA302" s="7">
        <f>IF($D302="","",Y302-Z302)</f>
        <v/>
      </c>
      <c r="AB302" s="7">
        <f>IF($D302="","",AA302-Q302)</f>
        <v/>
      </c>
      <c r="AD302">
        <f>IF($D302="","",IF($AP302=1,0,IF($AO302=1,Settings!$C$6,Settings!$C$7))*100)</f>
        <v/>
      </c>
      <c r="AH302" s="7" t="n"/>
      <c r="AK302" s="11" t="n"/>
      <c r="AM302">
        <f>IF($D302="","",IF(COUNTIF($D$2:$D302,$D302)=1,1,0))</f>
        <v/>
      </c>
      <c r="AN302">
        <f>IF($AM302=1,SUMPRODUCT(--($AQ$2:$AQ$1001&lt;$AQ302))+1,"")</f>
        <v/>
      </c>
      <c r="AO302">
        <f>IF($D302="","",IF(OR($U302=TRUE(),$U302="TRUE"),1,0))</f>
        <v/>
      </c>
      <c r="AP302">
        <f>IF($D302="","",IF($AC302="Yes",1,0))</f>
        <v/>
      </c>
      <c r="AQ302">
        <f>IF($AM302=1,IFERROR(VALUE(MID($D302,2,20)),1000000000)+ROW()/100000,"")</f>
        <v/>
      </c>
    </row>
    <row r="303">
      <c r="G303" s="11" t="n"/>
      <c r="Q303" s="7">
        <f>IF($D303="","",P303*Y303/100)</f>
        <v/>
      </c>
      <c r="R303" s="7" t="n"/>
      <c r="X303" s="7" t="n"/>
      <c r="Y303" s="7" t="n"/>
      <c r="Z303" s="7">
        <f>IF($D303="","",Y303*AD303/100)</f>
        <v/>
      </c>
      <c r="AA303" s="7">
        <f>IF($D303="","",Y303-Z303)</f>
        <v/>
      </c>
      <c r="AB303" s="7">
        <f>IF($D303="","",AA303-Q303)</f>
        <v/>
      </c>
      <c r="AD303">
        <f>IF($D303="","",IF($AP303=1,0,IF($AO303=1,Settings!$C$6,Settings!$C$7))*100)</f>
        <v/>
      </c>
      <c r="AH303" s="7" t="n"/>
      <c r="AK303" s="11" t="n"/>
      <c r="AM303">
        <f>IF($D303="","",IF(COUNTIF($D$2:$D303,$D303)=1,1,0))</f>
        <v/>
      </c>
      <c r="AN303">
        <f>IF($AM303=1,SUMPRODUCT(--($AQ$2:$AQ$1001&lt;$AQ303))+1,"")</f>
        <v/>
      </c>
      <c r="AO303">
        <f>IF($D303="","",IF(OR($U303=TRUE(),$U303="TRUE"),1,0))</f>
        <v/>
      </c>
      <c r="AP303">
        <f>IF($D303="","",IF($AC303="Yes",1,0))</f>
        <v/>
      </c>
      <c r="AQ303">
        <f>IF($AM303=1,IFERROR(VALUE(MID($D303,2,20)),1000000000)+ROW()/100000,"")</f>
        <v/>
      </c>
    </row>
    <row r="304">
      <c r="G304" s="11" t="n"/>
      <c r="Q304" s="7">
        <f>IF($D304="","",P304*Y304/100)</f>
        <v/>
      </c>
      <c r="R304" s="7" t="n"/>
      <c r="X304" s="7" t="n"/>
      <c r="Y304" s="7" t="n"/>
      <c r="Z304" s="7">
        <f>IF($D304="","",Y304*AD304/100)</f>
        <v/>
      </c>
      <c r="AA304" s="7">
        <f>IF($D304="","",Y304-Z304)</f>
        <v/>
      </c>
      <c r="AB304" s="7">
        <f>IF($D304="","",AA304-Q304)</f>
        <v/>
      </c>
      <c r="AD304">
        <f>IF($D304="","",IF($AP304=1,0,IF($AO304=1,Settings!$C$6,Settings!$C$7))*100)</f>
        <v/>
      </c>
      <c r="AH304" s="7" t="n"/>
      <c r="AK304" s="11" t="n"/>
      <c r="AM304">
        <f>IF($D304="","",IF(COUNTIF($D$2:$D304,$D304)=1,1,0))</f>
        <v/>
      </c>
      <c r="AN304">
        <f>IF($AM304=1,SUMPRODUCT(--($AQ$2:$AQ$1001&lt;$AQ304))+1,"")</f>
        <v/>
      </c>
      <c r="AO304">
        <f>IF($D304="","",IF(OR($U304=TRUE(),$U304="TRUE"),1,0))</f>
        <v/>
      </c>
      <c r="AP304">
        <f>IF($D304="","",IF($AC304="Yes",1,0))</f>
        <v/>
      </c>
      <c r="AQ304">
        <f>IF($AM304=1,IFERROR(VALUE(MID($D304,2,20)),1000000000)+ROW()/100000,"")</f>
        <v/>
      </c>
    </row>
    <row r="305">
      <c r="G305" s="11" t="n"/>
      <c r="Q305" s="7">
        <f>IF($D305="","",P305*Y305/100)</f>
        <v/>
      </c>
      <c r="R305" s="7" t="n"/>
      <c r="X305" s="7" t="n"/>
      <c r="Y305" s="7" t="n"/>
      <c r="Z305" s="7">
        <f>IF($D305="","",Y305*AD305/100)</f>
        <v/>
      </c>
      <c r="AA305" s="7">
        <f>IF($D305="","",Y305-Z305)</f>
        <v/>
      </c>
      <c r="AB305" s="7">
        <f>IF($D305="","",AA305-Q305)</f>
        <v/>
      </c>
      <c r="AD305">
        <f>IF($D305="","",IF($AP305=1,0,IF($AO305=1,Settings!$C$6,Settings!$C$7))*100)</f>
        <v/>
      </c>
      <c r="AH305" s="7" t="n"/>
      <c r="AK305" s="11" t="n"/>
      <c r="AM305">
        <f>IF($D305="","",IF(COUNTIF($D$2:$D305,$D305)=1,1,0))</f>
        <v/>
      </c>
      <c r="AN305">
        <f>IF($AM305=1,SUMPRODUCT(--($AQ$2:$AQ$1001&lt;$AQ305))+1,"")</f>
        <v/>
      </c>
      <c r="AO305">
        <f>IF($D305="","",IF(OR($U305=TRUE(),$U305="TRUE"),1,0))</f>
        <v/>
      </c>
      <c r="AP305">
        <f>IF($D305="","",IF($AC305="Yes",1,0))</f>
        <v/>
      </c>
      <c r="AQ305">
        <f>IF($AM305=1,IFERROR(VALUE(MID($D305,2,20)),1000000000)+ROW()/100000,"")</f>
        <v/>
      </c>
    </row>
    <row r="306">
      <c r="G306" s="11" t="n"/>
      <c r="Q306" s="7">
        <f>IF($D306="","",P306*Y306/100)</f>
        <v/>
      </c>
      <c r="R306" s="7" t="n"/>
      <c r="X306" s="7" t="n"/>
      <c r="Y306" s="7" t="n"/>
      <c r="Z306" s="7">
        <f>IF($D306="","",Y306*AD306/100)</f>
        <v/>
      </c>
      <c r="AA306" s="7">
        <f>IF($D306="","",Y306-Z306)</f>
        <v/>
      </c>
      <c r="AB306" s="7">
        <f>IF($D306="","",AA306-Q306)</f>
        <v/>
      </c>
      <c r="AD306">
        <f>IF($D306="","",IF($AP306=1,0,IF($AO306=1,Settings!$C$6,Settings!$C$7))*100)</f>
        <v/>
      </c>
      <c r="AH306" s="7" t="n"/>
      <c r="AK306" s="11" t="n"/>
      <c r="AM306">
        <f>IF($D306="","",IF(COUNTIF($D$2:$D306,$D306)=1,1,0))</f>
        <v/>
      </c>
      <c r="AN306">
        <f>IF($AM306=1,SUMPRODUCT(--($AQ$2:$AQ$1001&lt;$AQ306))+1,"")</f>
        <v/>
      </c>
      <c r="AO306">
        <f>IF($D306="","",IF(OR($U306=TRUE(),$U306="TRUE"),1,0))</f>
        <v/>
      </c>
      <c r="AP306">
        <f>IF($D306="","",IF($AC306="Yes",1,0))</f>
        <v/>
      </c>
      <c r="AQ306">
        <f>IF($AM306=1,IFERROR(VALUE(MID($D306,2,20)),1000000000)+ROW()/100000,"")</f>
        <v/>
      </c>
    </row>
    <row r="307">
      <c r="G307" s="11" t="n"/>
      <c r="Q307" s="7">
        <f>IF($D307="","",P307*Y307/100)</f>
        <v/>
      </c>
      <c r="R307" s="7" t="n"/>
      <c r="X307" s="7" t="n"/>
      <c r="Y307" s="7" t="n"/>
      <c r="Z307" s="7">
        <f>IF($D307="","",Y307*AD307/100)</f>
        <v/>
      </c>
      <c r="AA307" s="7">
        <f>IF($D307="","",Y307-Z307)</f>
        <v/>
      </c>
      <c r="AB307" s="7">
        <f>IF($D307="","",AA307-Q307)</f>
        <v/>
      </c>
      <c r="AD307">
        <f>IF($D307="","",IF($AP307=1,0,IF($AO307=1,Settings!$C$6,Settings!$C$7))*100)</f>
        <v/>
      </c>
      <c r="AH307" s="7" t="n"/>
      <c r="AK307" s="11" t="n"/>
      <c r="AM307">
        <f>IF($D307="","",IF(COUNTIF($D$2:$D307,$D307)=1,1,0))</f>
        <v/>
      </c>
      <c r="AN307">
        <f>IF($AM307=1,SUMPRODUCT(--($AQ$2:$AQ$1001&lt;$AQ307))+1,"")</f>
        <v/>
      </c>
      <c r="AO307">
        <f>IF($D307="","",IF(OR($U307=TRUE(),$U307="TRUE"),1,0))</f>
        <v/>
      </c>
      <c r="AP307">
        <f>IF($D307="","",IF($AC307="Yes",1,0))</f>
        <v/>
      </c>
      <c r="AQ307">
        <f>IF($AM307=1,IFERROR(VALUE(MID($D307,2,20)),1000000000)+ROW()/100000,"")</f>
        <v/>
      </c>
    </row>
    <row r="308">
      <c r="G308" s="11" t="n"/>
      <c r="Q308" s="7">
        <f>IF($D308="","",P308*Y308/100)</f>
        <v/>
      </c>
      <c r="R308" s="7" t="n"/>
      <c r="X308" s="7" t="n"/>
      <c r="Y308" s="7" t="n"/>
      <c r="Z308" s="7">
        <f>IF($D308="","",Y308*AD308/100)</f>
        <v/>
      </c>
      <c r="AA308" s="7">
        <f>IF($D308="","",Y308-Z308)</f>
        <v/>
      </c>
      <c r="AB308" s="7">
        <f>IF($D308="","",AA308-Q308)</f>
        <v/>
      </c>
      <c r="AD308">
        <f>IF($D308="","",IF($AP308=1,0,IF($AO308=1,Settings!$C$6,Settings!$C$7))*100)</f>
        <v/>
      </c>
      <c r="AH308" s="7" t="n"/>
      <c r="AK308" s="11" t="n"/>
      <c r="AM308">
        <f>IF($D308="","",IF(COUNTIF($D$2:$D308,$D308)=1,1,0))</f>
        <v/>
      </c>
      <c r="AN308">
        <f>IF($AM308=1,SUMPRODUCT(--($AQ$2:$AQ$1001&lt;$AQ308))+1,"")</f>
        <v/>
      </c>
      <c r="AO308">
        <f>IF($D308="","",IF(OR($U308=TRUE(),$U308="TRUE"),1,0))</f>
        <v/>
      </c>
      <c r="AP308">
        <f>IF($D308="","",IF($AC308="Yes",1,0))</f>
        <v/>
      </c>
      <c r="AQ308">
        <f>IF($AM308=1,IFERROR(VALUE(MID($D308,2,20)),1000000000)+ROW()/100000,"")</f>
        <v/>
      </c>
    </row>
    <row r="309">
      <c r="G309" s="11" t="n"/>
      <c r="Q309" s="7">
        <f>IF($D309="","",P309*Y309/100)</f>
        <v/>
      </c>
      <c r="R309" s="7" t="n"/>
      <c r="X309" s="7" t="n"/>
      <c r="Y309" s="7" t="n"/>
      <c r="Z309" s="7">
        <f>IF($D309="","",Y309*AD309/100)</f>
        <v/>
      </c>
      <c r="AA309" s="7">
        <f>IF($D309="","",Y309-Z309)</f>
        <v/>
      </c>
      <c r="AB309" s="7">
        <f>IF($D309="","",AA309-Q309)</f>
        <v/>
      </c>
      <c r="AD309">
        <f>IF($D309="","",IF($AP309=1,0,IF($AO309=1,Settings!$C$6,Settings!$C$7))*100)</f>
        <v/>
      </c>
      <c r="AH309" s="7" t="n"/>
      <c r="AK309" s="11" t="n"/>
      <c r="AM309">
        <f>IF($D309="","",IF(COUNTIF($D$2:$D309,$D309)=1,1,0))</f>
        <v/>
      </c>
      <c r="AN309">
        <f>IF($AM309=1,SUMPRODUCT(--($AQ$2:$AQ$1001&lt;$AQ309))+1,"")</f>
        <v/>
      </c>
      <c r="AO309">
        <f>IF($D309="","",IF(OR($U309=TRUE(),$U309="TRUE"),1,0))</f>
        <v/>
      </c>
      <c r="AP309">
        <f>IF($D309="","",IF($AC309="Yes",1,0))</f>
        <v/>
      </c>
      <c r="AQ309">
        <f>IF($AM309=1,IFERROR(VALUE(MID($D309,2,20)),1000000000)+ROW()/100000,"")</f>
        <v/>
      </c>
    </row>
    <row r="310">
      <c r="G310" s="11" t="n"/>
      <c r="Q310" s="7">
        <f>IF($D310="","",P310*Y310/100)</f>
        <v/>
      </c>
      <c r="R310" s="7" t="n"/>
      <c r="X310" s="7" t="n"/>
      <c r="Y310" s="7" t="n"/>
      <c r="Z310" s="7">
        <f>IF($D310="","",Y310*AD310/100)</f>
        <v/>
      </c>
      <c r="AA310" s="7">
        <f>IF($D310="","",Y310-Z310)</f>
        <v/>
      </c>
      <c r="AB310" s="7">
        <f>IF($D310="","",AA310-Q310)</f>
        <v/>
      </c>
      <c r="AD310">
        <f>IF($D310="","",IF($AP310=1,0,IF($AO310=1,Settings!$C$6,Settings!$C$7))*100)</f>
        <v/>
      </c>
      <c r="AH310" s="7" t="n"/>
      <c r="AK310" s="11" t="n"/>
      <c r="AM310">
        <f>IF($D310="","",IF(COUNTIF($D$2:$D310,$D310)=1,1,0))</f>
        <v/>
      </c>
      <c r="AN310">
        <f>IF($AM310=1,SUMPRODUCT(--($AQ$2:$AQ$1001&lt;$AQ310))+1,"")</f>
        <v/>
      </c>
      <c r="AO310">
        <f>IF($D310="","",IF(OR($U310=TRUE(),$U310="TRUE"),1,0))</f>
        <v/>
      </c>
      <c r="AP310">
        <f>IF($D310="","",IF($AC310="Yes",1,0))</f>
        <v/>
      </c>
      <c r="AQ310">
        <f>IF($AM310=1,IFERROR(VALUE(MID($D310,2,20)),1000000000)+ROW()/100000,"")</f>
        <v/>
      </c>
    </row>
    <row r="311">
      <c r="G311" s="11" t="n"/>
      <c r="Q311" s="7">
        <f>IF($D311="","",P311*Y311/100)</f>
        <v/>
      </c>
      <c r="R311" s="7" t="n"/>
      <c r="X311" s="7" t="n"/>
      <c r="Y311" s="7" t="n"/>
      <c r="Z311" s="7">
        <f>IF($D311="","",Y311*AD311/100)</f>
        <v/>
      </c>
      <c r="AA311" s="7">
        <f>IF($D311="","",Y311-Z311)</f>
        <v/>
      </c>
      <c r="AB311" s="7">
        <f>IF($D311="","",AA311-Q311)</f>
        <v/>
      </c>
      <c r="AD311">
        <f>IF($D311="","",IF($AP311=1,0,IF($AO311=1,Settings!$C$6,Settings!$C$7))*100)</f>
        <v/>
      </c>
      <c r="AH311" s="7" t="n"/>
      <c r="AK311" s="11" t="n"/>
      <c r="AM311">
        <f>IF($D311="","",IF(COUNTIF($D$2:$D311,$D311)=1,1,0))</f>
        <v/>
      </c>
      <c r="AN311">
        <f>IF($AM311=1,SUMPRODUCT(--($AQ$2:$AQ$1001&lt;$AQ311))+1,"")</f>
        <v/>
      </c>
      <c r="AO311">
        <f>IF($D311="","",IF(OR($U311=TRUE(),$U311="TRUE"),1,0))</f>
        <v/>
      </c>
      <c r="AP311">
        <f>IF($D311="","",IF($AC311="Yes",1,0))</f>
        <v/>
      </c>
      <c r="AQ311">
        <f>IF($AM311=1,IFERROR(VALUE(MID($D311,2,20)),1000000000)+ROW()/100000,"")</f>
        <v/>
      </c>
    </row>
    <row r="312">
      <c r="G312" s="11" t="n"/>
      <c r="Q312" s="7">
        <f>IF($D312="","",P312*Y312/100)</f>
        <v/>
      </c>
      <c r="R312" s="7" t="n"/>
      <c r="X312" s="7" t="n"/>
      <c r="Y312" s="7" t="n"/>
      <c r="Z312" s="7">
        <f>IF($D312="","",Y312*AD312/100)</f>
        <v/>
      </c>
      <c r="AA312" s="7">
        <f>IF($D312="","",Y312-Z312)</f>
        <v/>
      </c>
      <c r="AB312" s="7">
        <f>IF($D312="","",AA312-Q312)</f>
        <v/>
      </c>
      <c r="AD312">
        <f>IF($D312="","",IF($AP312=1,0,IF($AO312=1,Settings!$C$6,Settings!$C$7))*100)</f>
        <v/>
      </c>
      <c r="AH312" s="7" t="n"/>
      <c r="AK312" s="11" t="n"/>
      <c r="AM312">
        <f>IF($D312="","",IF(COUNTIF($D$2:$D312,$D312)=1,1,0))</f>
        <v/>
      </c>
      <c r="AN312">
        <f>IF($AM312=1,SUMPRODUCT(--($AQ$2:$AQ$1001&lt;$AQ312))+1,"")</f>
        <v/>
      </c>
      <c r="AO312">
        <f>IF($D312="","",IF(OR($U312=TRUE(),$U312="TRUE"),1,0))</f>
        <v/>
      </c>
      <c r="AP312">
        <f>IF($D312="","",IF($AC312="Yes",1,0))</f>
        <v/>
      </c>
      <c r="AQ312">
        <f>IF($AM312=1,IFERROR(VALUE(MID($D312,2,20)),1000000000)+ROW()/100000,"")</f>
        <v/>
      </c>
    </row>
    <row r="313">
      <c r="G313" s="11" t="n"/>
      <c r="Q313" s="7">
        <f>IF($D313="","",P313*Y313/100)</f>
        <v/>
      </c>
      <c r="R313" s="7" t="n"/>
      <c r="X313" s="7" t="n"/>
      <c r="Y313" s="7" t="n"/>
      <c r="Z313" s="7">
        <f>IF($D313="","",Y313*AD313/100)</f>
        <v/>
      </c>
      <c r="AA313" s="7">
        <f>IF($D313="","",Y313-Z313)</f>
        <v/>
      </c>
      <c r="AB313" s="7">
        <f>IF($D313="","",AA313-Q313)</f>
        <v/>
      </c>
      <c r="AD313">
        <f>IF($D313="","",IF($AP313=1,0,IF($AO313=1,Settings!$C$6,Settings!$C$7))*100)</f>
        <v/>
      </c>
      <c r="AH313" s="7" t="n"/>
      <c r="AK313" s="11" t="n"/>
      <c r="AM313">
        <f>IF($D313="","",IF(COUNTIF($D$2:$D313,$D313)=1,1,0))</f>
        <v/>
      </c>
      <c r="AN313">
        <f>IF($AM313=1,SUMPRODUCT(--($AQ$2:$AQ$1001&lt;$AQ313))+1,"")</f>
        <v/>
      </c>
      <c r="AO313">
        <f>IF($D313="","",IF(OR($U313=TRUE(),$U313="TRUE"),1,0))</f>
        <v/>
      </c>
      <c r="AP313">
        <f>IF($D313="","",IF($AC313="Yes",1,0))</f>
        <v/>
      </c>
      <c r="AQ313">
        <f>IF($AM313=1,IFERROR(VALUE(MID($D313,2,20)),1000000000)+ROW()/100000,"")</f>
        <v/>
      </c>
    </row>
    <row r="314">
      <c r="G314" s="11" t="n"/>
      <c r="Q314" s="7">
        <f>IF($D314="","",P314*Y314/100)</f>
        <v/>
      </c>
      <c r="R314" s="7" t="n"/>
      <c r="X314" s="7" t="n"/>
      <c r="Y314" s="7" t="n"/>
      <c r="Z314" s="7">
        <f>IF($D314="","",Y314*AD314/100)</f>
        <v/>
      </c>
      <c r="AA314" s="7">
        <f>IF($D314="","",Y314-Z314)</f>
        <v/>
      </c>
      <c r="AB314" s="7">
        <f>IF($D314="","",AA314-Q314)</f>
        <v/>
      </c>
      <c r="AD314">
        <f>IF($D314="","",IF($AP314=1,0,IF($AO314=1,Settings!$C$6,Settings!$C$7))*100)</f>
        <v/>
      </c>
      <c r="AH314" s="7" t="n"/>
      <c r="AK314" s="11" t="n"/>
      <c r="AM314">
        <f>IF($D314="","",IF(COUNTIF($D$2:$D314,$D314)=1,1,0))</f>
        <v/>
      </c>
      <c r="AN314">
        <f>IF($AM314=1,SUMPRODUCT(--($AQ$2:$AQ$1001&lt;$AQ314))+1,"")</f>
        <v/>
      </c>
      <c r="AO314">
        <f>IF($D314="","",IF(OR($U314=TRUE(),$U314="TRUE"),1,0))</f>
        <v/>
      </c>
      <c r="AP314">
        <f>IF($D314="","",IF($AC314="Yes",1,0))</f>
        <v/>
      </c>
      <c r="AQ314">
        <f>IF($AM314=1,IFERROR(VALUE(MID($D314,2,20)),1000000000)+ROW()/100000,"")</f>
        <v/>
      </c>
    </row>
    <row r="315">
      <c r="G315" s="11" t="n"/>
      <c r="Q315" s="7">
        <f>IF($D315="","",P315*Y315/100)</f>
        <v/>
      </c>
      <c r="R315" s="7" t="n"/>
      <c r="X315" s="7" t="n"/>
      <c r="Y315" s="7" t="n"/>
      <c r="Z315" s="7">
        <f>IF($D315="","",Y315*AD315/100)</f>
        <v/>
      </c>
      <c r="AA315" s="7">
        <f>IF($D315="","",Y315-Z315)</f>
        <v/>
      </c>
      <c r="AB315" s="7">
        <f>IF($D315="","",AA315-Q315)</f>
        <v/>
      </c>
      <c r="AD315">
        <f>IF($D315="","",IF($AP315=1,0,IF($AO315=1,Settings!$C$6,Settings!$C$7))*100)</f>
        <v/>
      </c>
      <c r="AH315" s="7" t="n"/>
      <c r="AK315" s="11" t="n"/>
      <c r="AM315">
        <f>IF($D315="","",IF(COUNTIF($D$2:$D315,$D315)=1,1,0))</f>
        <v/>
      </c>
      <c r="AN315">
        <f>IF($AM315=1,SUMPRODUCT(--($AQ$2:$AQ$1001&lt;$AQ315))+1,"")</f>
        <v/>
      </c>
      <c r="AO315">
        <f>IF($D315="","",IF(OR($U315=TRUE(),$U315="TRUE"),1,0))</f>
        <v/>
      </c>
      <c r="AP315">
        <f>IF($D315="","",IF($AC315="Yes",1,0))</f>
        <v/>
      </c>
      <c r="AQ315">
        <f>IF($AM315=1,IFERROR(VALUE(MID($D315,2,20)),1000000000)+ROW()/100000,"")</f>
        <v/>
      </c>
    </row>
    <row r="316">
      <c r="G316" s="11" t="n"/>
      <c r="Q316" s="7">
        <f>IF($D316="","",P316*Y316/100)</f>
        <v/>
      </c>
      <c r="R316" s="7" t="n"/>
      <c r="X316" s="7" t="n"/>
      <c r="Y316" s="7" t="n"/>
      <c r="Z316" s="7">
        <f>IF($D316="","",Y316*AD316/100)</f>
        <v/>
      </c>
      <c r="AA316" s="7">
        <f>IF($D316="","",Y316-Z316)</f>
        <v/>
      </c>
      <c r="AB316" s="7">
        <f>IF($D316="","",AA316-Q316)</f>
        <v/>
      </c>
      <c r="AD316">
        <f>IF($D316="","",IF($AP316=1,0,IF($AO316=1,Settings!$C$6,Settings!$C$7))*100)</f>
        <v/>
      </c>
      <c r="AH316" s="7" t="n"/>
      <c r="AK316" s="11" t="n"/>
      <c r="AM316">
        <f>IF($D316="","",IF(COUNTIF($D$2:$D316,$D316)=1,1,0))</f>
        <v/>
      </c>
      <c r="AN316">
        <f>IF($AM316=1,SUMPRODUCT(--($AQ$2:$AQ$1001&lt;$AQ316))+1,"")</f>
        <v/>
      </c>
      <c r="AO316">
        <f>IF($D316="","",IF(OR($U316=TRUE(),$U316="TRUE"),1,0))</f>
        <v/>
      </c>
      <c r="AP316">
        <f>IF($D316="","",IF($AC316="Yes",1,0))</f>
        <v/>
      </c>
      <c r="AQ316">
        <f>IF($AM316=1,IFERROR(VALUE(MID($D316,2,20)),1000000000)+ROW()/100000,"")</f>
        <v/>
      </c>
    </row>
    <row r="317">
      <c r="G317" s="11" t="n"/>
      <c r="Q317" s="7">
        <f>IF($D317="","",P317*Y317/100)</f>
        <v/>
      </c>
      <c r="R317" s="7" t="n"/>
      <c r="X317" s="7" t="n"/>
      <c r="Y317" s="7" t="n"/>
      <c r="Z317" s="7">
        <f>IF($D317="","",Y317*AD317/100)</f>
        <v/>
      </c>
      <c r="AA317" s="7">
        <f>IF($D317="","",Y317-Z317)</f>
        <v/>
      </c>
      <c r="AB317" s="7">
        <f>IF($D317="","",AA317-Q317)</f>
        <v/>
      </c>
      <c r="AD317">
        <f>IF($D317="","",IF($AP317=1,0,IF($AO317=1,Settings!$C$6,Settings!$C$7))*100)</f>
        <v/>
      </c>
      <c r="AH317" s="7" t="n"/>
      <c r="AK317" s="11" t="n"/>
      <c r="AM317">
        <f>IF($D317="","",IF(COUNTIF($D$2:$D317,$D317)=1,1,0))</f>
        <v/>
      </c>
      <c r="AN317">
        <f>IF($AM317=1,SUMPRODUCT(--($AQ$2:$AQ$1001&lt;$AQ317))+1,"")</f>
        <v/>
      </c>
      <c r="AO317">
        <f>IF($D317="","",IF(OR($U317=TRUE(),$U317="TRUE"),1,0))</f>
        <v/>
      </c>
      <c r="AP317">
        <f>IF($D317="","",IF($AC317="Yes",1,0))</f>
        <v/>
      </c>
      <c r="AQ317">
        <f>IF($AM317=1,IFERROR(VALUE(MID($D317,2,20)),1000000000)+ROW()/100000,"")</f>
        <v/>
      </c>
    </row>
    <row r="318">
      <c r="G318" s="11" t="n"/>
      <c r="Q318" s="7">
        <f>IF($D318="","",P318*Y318/100)</f>
        <v/>
      </c>
      <c r="R318" s="7" t="n"/>
      <c r="X318" s="7" t="n"/>
      <c r="Y318" s="7" t="n"/>
      <c r="Z318" s="7">
        <f>IF($D318="","",Y318*AD318/100)</f>
        <v/>
      </c>
      <c r="AA318" s="7">
        <f>IF($D318="","",Y318-Z318)</f>
        <v/>
      </c>
      <c r="AB318" s="7">
        <f>IF($D318="","",AA318-Q318)</f>
        <v/>
      </c>
      <c r="AD318">
        <f>IF($D318="","",IF($AP318=1,0,IF($AO318=1,Settings!$C$6,Settings!$C$7))*100)</f>
        <v/>
      </c>
      <c r="AH318" s="7" t="n"/>
      <c r="AK318" s="11" t="n"/>
      <c r="AM318">
        <f>IF($D318="","",IF(COUNTIF($D$2:$D318,$D318)=1,1,0))</f>
        <v/>
      </c>
      <c r="AN318">
        <f>IF($AM318=1,SUMPRODUCT(--($AQ$2:$AQ$1001&lt;$AQ318))+1,"")</f>
        <v/>
      </c>
      <c r="AO318">
        <f>IF($D318="","",IF(OR($U318=TRUE(),$U318="TRUE"),1,0))</f>
        <v/>
      </c>
      <c r="AP318">
        <f>IF($D318="","",IF($AC318="Yes",1,0))</f>
        <v/>
      </c>
      <c r="AQ318">
        <f>IF($AM318=1,IFERROR(VALUE(MID($D318,2,20)),1000000000)+ROW()/100000,"")</f>
        <v/>
      </c>
    </row>
    <row r="319">
      <c r="G319" s="11" t="n"/>
      <c r="Q319" s="7">
        <f>IF($D319="","",P319*Y319/100)</f>
        <v/>
      </c>
      <c r="R319" s="7" t="n"/>
      <c r="X319" s="7" t="n"/>
      <c r="Y319" s="7" t="n"/>
      <c r="Z319" s="7">
        <f>IF($D319="","",Y319*AD319/100)</f>
        <v/>
      </c>
      <c r="AA319" s="7">
        <f>IF($D319="","",Y319-Z319)</f>
        <v/>
      </c>
      <c r="AB319" s="7">
        <f>IF($D319="","",AA319-Q319)</f>
        <v/>
      </c>
      <c r="AD319">
        <f>IF($D319="","",IF($AP319=1,0,IF($AO319=1,Settings!$C$6,Settings!$C$7))*100)</f>
        <v/>
      </c>
      <c r="AH319" s="7" t="n"/>
      <c r="AK319" s="11" t="n"/>
      <c r="AM319">
        <f>IF($D319="","",IF(COUNTIF($D$2:$D319,$D319)=1,1,0))</f>
        <v/>
      </c>
      <c r="AN319">
        <f>IF($AM319=1,SUMPRODUCT(--($AQ$2:$AQ$1001&lt;$AQ319))+1,"")</f>
        <v/>
      </c>
      <c r="AO319">
        <f>IF($D319="","",IF(OR($U319=TRUE(),$U319="TRUE"),1,0))</f>
        <v/>
      </c>
      <c r="AP319">
        <f>IF($D319="","",IF($AC319="Yes",1,0))</f>
        <v/>
      </c>
      <c r="AQ319">
        <f>IF($AM319=1,IFERROR(VALUE(MID($D319,2,20)),1000000000)+ROW()/100000,"")</f>
        <v/>
      </c>
    </row>
    <row r="320">
      <c r="G320" s="11" t="n"/>
      <c r="Q320" s="7">
        <f>IF($D320="","",P320*Y320/100)</f>
        <v/>
      </c>
      <c r="R320" s="7" t="n"/>
      <c r="X320" s="7" t="n"/>
      <c r="Y320" s="7" t="n"/>
      <c r="Z320" s="7">
        <f>IF($D320="","",Y320*AD320/100)</f>
        <v/>
      </c>
      <c r="AA320" s="7">
        <f>IF($D320="","",Y320-Z320)</f>
        <v/>
      </c>
      <c r="AB320" s="7">
        <f>IF($D320="","",AA320-Q320)</f>
        <v/>
      </c>
      <c r="AD320">
        <f>IF($D320="","",IF($AP320=1,0,IF($AO320=1,Settings!$C$6,Settings!$C$7))*100)</f>
        <v/>
      </c>
      <c r="AH320" s="7" t="n"/>
      <c r="AK320" s="11" t="n"/>
      <c r="AM320">
        <f>IF($D320="","",IF(COUNTIF($D$2:$D320,$D320)=1,1,0))</f>
        <v/>
      </c>
      <c r="AN320">
        <f>IF($AM320=1,SUMPRODUCT(--($AQ$2:$AQ$1001&lt;$AQ320))+1,"")</f>
        <v/>
      </c>
      <c r="AO320">
        <f>IF($D320="","",IF(OR($U320=TRUE(),$U320="TRUE"),1,0))</f>
        <v/>
      </c>
      <c r="AP320">
        <f>IF($D320="","",IF($AC320="Yes",1,0))</f>
        <v/>
      </c>
      <c r="AQ320">
        <f>IF($AM320=1,IFERROR(VALUE(MID($D320,2,20)),1000000000)+ROW()/100000,"")</f>
        <v/>
      </c>
    </row>
    <row r="321">
      <c r="G321" s="11" t="n"/>
      <c r="Q321" s="7">
        <f>IF($D321="","",P321*Y321/100)</f>
        <v/>
      </c>
      <c r="R321" s="7" t="n"/>
      <c r="X321" s="7" t="n"/>
      <c r="Y321" s="7" t="n"/>
      <c r="Z321" s="7">
        <f>IF($D321="","",Y321*AD321/100)</f>
        <v/>
      </c>
      <c r="AA321" s="7">
        <f>IF($D321="","",Y321-Z321)</f>
        <v/>
      </c>
      <c r="AB321" s="7">
        <f>IF($D321="","",AA321-Q321)</f>
        <v/>
      </c>
      <c r="AD321">
        <f>IF($D321="","",IF($AP321=1,0,IF($AO321=1,Settings!$C$6,Settings!$C$7))*100)</f>
        <v/>
      </c>
      <c r="AH321" s="7" t="n"/>
      <c r="AK321" s="11" t="n"/>
      <c r="AM321">
        <f>IF($D321="","",IF(COUNTIF($D$2:$D321,$D321)=1,1,0))</f>
        <v/>
      </c>
      <c r="AN321">
        <f>IF($AM321=1,SUMPRODUCT(--($AQ$2:$AQ$1001&lt;$AQ321))+1,"")</f>
        <v/>
      </c>
      <c r="AO321">
        <f>IF($D321="","",IF(OR($U321=TRUE(),$U321="TRUE"),1,0))</f>
        <v/>
      </c>
      <c r="AP321">
        <f>IF($D321="","",IF($AC321="Yes",1,0))</f>
        <v/>
      </c>
      <c r="AQ321">
        <f>IF($AM321=1,IFERROR(VALUE(MID($D321,2,20)),1000000000)+ROW()/100000,"")</f>
        <v/>
      </c>
    </row>
    <row r="322">
      <c r="G322" s="11" t="n"/>
      <c r="Q322" s="7">
        <f>IF($D322="","",P322*Y322/100)</f>
        <v/>
      </c>
      <c r="R322" s="7" t="n"/>
      <c r="X322" s="7" t="n"/>
      <c r="Y322" s="7" t="n"/>
      <c r="Z322" s="7">
        <f>IF($D322="","",Y322*AD322/100)</f>
        <v/>
      </c>
      <c r="AA322" s="7">
        <f>IF($D322="","",Y322-Z322)</f>
        <v/>
      </c>
      <c r="AB322" s="7">
        <f>IF($D322="","",AA322-Q322)</f>
        <v/>
      </c>
      <c r="AD322">
        <f>IF($D322="","",IF($AP322=1,0,IF($AO322=1,Settings!$C$6,Settings!$C$7))*100)</f>
        <v/>
      </c>
      <c r="AH322" s="7" t="n"/>
      <c r="AK322" s="11" t="n"/>
      <c r="AM322">
        <f>IF($D322="","",IF(COUNTIF($D$2:$D322,$D322)=1,1,0))</f>
        <v/>
      </c>
      <c r="AN322">
        <f>IF($AM322=1,SUMPRODUCT(--($AQ$2:$AQ$1001&lt;$AQ322))+1,"")</f>
        <v/>
      </c>
      <c r="AO322">
        <f>IF($D322="","",IF(OR($U322=TRUE(),$U322="TRUE"),1,0))</f>
        <v/>
      </c>
      <c r="AP322">
        <f>IF($D322="","",IF($AC322="Yes",1,0))</f>
        <v/>
      </c>
      <c r="AQ322">
        <f>IF($AM322=1,IFERROR(VALUE(MID($D322,2,20)),1000000000)+ROW()/100000,"")</f>
        <v/>
      </c>
    </row>
    <row r="323">
      <c r="G323" s="11" t="n"/>
      <c r="Q323" s="7">
        <f>IF($D323="","",P323*Y323/100)</f>
        <v/>
      </c>
      <c r="R323" s="7" t="n"/>
      <c r="X323" s="7" t="n"/>
      <c r="Y323" s="7" t="n"/>
      <c r="Z323" s="7">
        <f>IF($D323="","",Y323*AD323/100)</f>
        <v/>
      </c>
      <c r="AA323" s="7">
        <f>IF($D323="","",Y323-Z323)</f>
        <v/>
      </c>
      <c r="AB323" s="7">
        <f>IF($D323="","",AA323-Q323)</f>
        <v/>
      </c>
      <c r="AD323">
        <f>IF($D323="","",IF($AP323=1,0,IF($AO323=1,Settings!$C$6,Settings!$C$7))*100)</f>
        <v/>
      </c>
      <c r="AH323" s="7" t="n"/>
      <c r="AK323" s="11" t="n"/>
      <c r="AM323">
        <f>IF($D323="","",IF(COUNTIF($D$2:$D323,$D323)=1,1,0))</f>
        <v/>
      </c>
      <c r="AN323">
        <f>IF($AM323=1,SUMPRODUCT(--($AQ$2:$AQ$1001&lt;$AQ323))+1,"")</f>
        <v/>
      </c>
      <c r="AO323">
        <f>IF($D323="","",IF(OR($U323=TRUE(),$U323="TRUE"),1,0))</f>
        <v/>
      </c>
      <c r="AP323">
        <f>IF($D323="","",IF($AC323="Yes",1,0))</f>
        <v/>
      </c>
      <c r="AQ323">
        <f>IF($AM323=1,IFERROR(VALUE(MID($D323,2,20)),1000000000)+ROW()/100000,"")</f>
        <v/>
      </c>
    </row>
    <row r="324">
      <c r="G324" s="11" t="n"/>
      <c r="Q324" s="7">
        <f>IF($D324="","",P324*Y324/100)</f>
        <v/>
      </c>
      <c r="R324" s="7" t="n"/>
      <c r="X324" s="7" t="n"/>
      <c r="Y324" s="7" t="n"/>
      <c r="Z324" s="7">
        <f>IF($D324="","",Y324*AD324/100)</f>
        <v/>
      </c>
      <c r="AA324" s="7">
        <f>IF($D324="","",Y324-Z324)</f>
        <v/>
      </c>
      <c r="AB324" s="7">
        <f>IF($D324="","",AA324-Q324)</f>
        <v/>
      </c>
      <c r="AD324">
        <f>IF($D324="","",IF($AP324=1,0,IF($AO324=1,Settings!$C$6,Settings!$C$7))*100)</f>
        <v/>
      </c>
      <c r="AH324" s="7" t="n"/>
      <c r="AK324" s="11" t="n"/>
      <c r="AM324">
        <f>IF($D324="","",IF(COUNTIF($D$2:$D324,$D324)=1,1,0))</f>
        <v/>
      </c>
      <c r="AN324">
        <f>IF($AM324=1,SUMPRODUCT(--($AQ$2:$AQ$1001&lt;$AQ324))+1,"")</f>
        <v/>
      </c>
      <c r="AO324">
        <f>IF($D324="","",IF(OR($U324=TRUE(),$U324="TRUE"),1,0))</f>
        <v/>
      </c>
      <c r="AP324">
        <f>IF($D324="","",IF($AC324="Yes",1,0))</f>
        <v/>
      </c>
      <c r="AQ324">
        <f>IF($AM324=1,IFERROR(VALUE(MID($D324,2,20)),1000000000)+ROW()/100000,"")</f>
        <v/>
      </c>
    </row>
    <row r="325">
      <c r="G325" s="11" t="n"/>
      <c r="Q325" s="7">
        <f>IF($D325="","",P325*Y325/100)</f>
        <v/>
      </c>
      <c r="R325" s="7" t="n"/>
      <c r="X325" s="7" t="n"/>
      <c r="Y325" s="7" t="n"/>
      <c r="Z325" s="7">
        <f>IF($D325="","",Y325*AD325/100)</f>
        <v/>
      </c>
      <c r="AA325" s="7">
        <f>IF($D325="","",Y325-Z325)</f>
        <v/>
      </c>
      <c r="AB325" s="7">
        <f>IF($D325="","",AA325-Q325)</f>
        <v/>
      </c>
      <c r="AD325">
        <f>IF($D325="","",IF($AP325=1,0,IF($AO325=1,Settings!$C$6,Settings!$C$7))*100)</f>
        <v/>
      </c>
      <c r="AH325" s="7" t="n"/>
      <c r="AK325" s="11" t="n"/>
      <c r="AM325">
        <f>IF($D325="","",IF(COUNTIF($D$2:$D325,$D325)=1,1,0))</f>
        <v/>
      </c>
      <c r="AN325">
        <f>IF($AM325=1,SUMPRODUCT(--($AQ$2:$AQ$1001&lt;$AQ325))+1,"")</f>
        <v/>
      </c>
      <c r="AO325">
        <f>IF($D325="","",IF(OR($U325=TRUE(),$U325="TRUE"),1,0))</f>
        <v/>
      </c>
      <c r="AP325">
        <f>IF($D325="","",IF($AC325="Yes",1,0))</f>
        <v/>
      </c>
      <c r="AQ325">
        <f>IF($AM325=1,IFERROR(VALUE(MID($D325,2,20)),1000000000)+ROW()/100000,"")</f>
        <v/>
      </c>
    </row>
    <row r="326">
      <c r="G326" s="11" t="n"/>
      <c r="Q326" s="7">
        <f>IF($D326="","",P326*Y326/100)</f>
        <v/>
      </c>
      <c r="R326" s="7" t="n"/>
      <c r="X326" s="7" t="n"/>
      <c r="Y326" s="7" t="n"/>
      <c r="Z326" s="7">
        <f>IF($D326="","",Y326*AD326/100)</f>
        <v/>
      </c>
      <c r="AA326" s="7">
        <f>IF($D326="","",Y326-Z326)</f>
        <v/>
      </c>
      <c r="AB326" s="7">
        <f>IF($D326="","",AA326-Q326)</f>
        <v/>
      </c>
      <c r="AD326">
        <f>IF($D326="","",IF($AP326=1,0,IF($AO326=1,Settings!$C$6,Settings!$C$7))*100)</f>
        <v/>
      </c>
      <c r="AH326" s="7" t="n"/>
      <c r="AK326" s="11" t="n"/>
      <c r="AM326">
        <f>IF($D326="","",IF(COUNTIF($D$2:$D326,$D326)=1,1,0))</f>
        <v/>
      </c>
      <c r="AN326">
        <f>IF($AM326=1,SUMPRODUCT(--($AQ$2:$AQ$1001&lt;$AQ326))+1,"")</f>
        <v/>
      </c>
      <c r="AO326">
        <f>IF($D326="","",IF(OR($U326=TRUE(),$U326="TRUE"),1,0))</f>
        <v/>
      </c>
      <c r="AP326">
        <f>IF($D326="","",IF($AC326="Yes",1,0))</f>
        <v/>
      </c>
      <c r="AQ326">
        <f>IF($AM326=1,IFERROR(VALUE(MID($D326,2,20)),1000000000)+ROW()/100000,"")</f>
        <v/>
      </c>
    </row>
    <row r="327">
      <c r="G327" s="11" t="n"/>
      <c r="Q327" s="7">
        <f>IF($D327="","",P327*Y327/100)</f>
        <v/>
      </c>
      <c r="R327" s="7" t="n"/>
      <c r="X327" s="7" t="n"/>
      <c r="Y327" s="7" t="n"/>
      <c r="Z327" s="7">
        <f>IF($D327="","",Y327*AD327/100)</f>
        <v/>
      </c>
      <c r="AA327" s="7">
        <f>IF($D327="","",Y327-Z327)</f>
        <v/>
      </c>
      <c r="AB327" s="7">
        <f>IF($D327="","",AA327-Q327)</f>
        <v/>
      </c>
      <c r="AD327">
        <f>IF($D327="","",IF($AP327=1,0,IF($AO327=1,Settings!$C$6,Settings!$C$7))*100)</f>
        <v/>
      </c>
      <c r="AH327" s="7" t="n"/>
      <c r="AK327" s="11" t="n"/>
      <c r="AM327">
        <f>IF($D327="","",IF(COUNTIF($D$2:$D327,$D327)=1,1,0))</f>
        <v/>
      </c>
      <c r="AN327">
        <f>IF($AM327=1,SUMPRODUCT(--($AQ$2:$AQ$1001&lt;$AQ327))+1,"")</f>
        <v/>
      </c>
      <c r="AO327">
        <f>IF($D327="","",IF(OR($U327=TRUE(),$U327="TRUE"),1,0))</f>
        <v/>
      </c>
      <c r="AP327">
        <f>IF($D327="","",IF($AC327="Yes",1,0))</f>
        <v/>
      </c>
      <c r="AQ327">
        <f>IF($AM327=1,IFERROR(VALUE(MID($D327,2,20)),1000000000)+ROW()/100000,"")</f>
        <v/>
      </c>
    </row>
    <row r="328">
      <c r="G328" s="11" t="n"/>
      <c r="Q328" s="7">
        <f>IF($D328="","",P328*Y328/100)</f>
        <v/>
      </c>
      <c r="R328" s="7" t="n"/>
      <c r="X328" s="7" t="n"/>
      <c r="Y328" s="7" t="n"/>
      <c r="Z328" s="7">
        <f>IF($D328="","",Y328*AD328/100)</f>
        <v/>
      </c>
      <c r="AA328" s="7">
        <f>IF($D328="","",Y328-Z328)</f>
        <v/>
      </c>
      <c r="AB328" s="7">
        <f>IF($D328="","",AA328-Q328)</f>
        <v/>
      </c>
      <c r="AD328">
        <f>IF($D328="","",IF($AP328=1,0,IF($AO328=1,Settings!$C$6,Settings!$C$7))*100)</f>
        <v/>
      </c>
      <c r="AH328" s="7" t="n"/>
      <c r="AK328" s="11" t="n"/>
      <c r="AM328">
        <f>IF($D328="","",IF(COUNTIF($D$2:$D328,$D328)=1,1,0))</f>
        <v/>
      </c>
      <c r="AN328">
        <f>IF($AM328=1,SUMPRODUCT(--($AQ$2:$AQ$1001&lt;$AQ328))+1,"")</f>
        <v/>
      </c>
      <c r="AO328">
        <f>IF($D328="","",IF(OR($U328=TRUE(),$U328="TRUE"),1,0))</f>
        <v/>
      </c>
      <c r="AP328">
        <f>IF($D328="","",IF($AC328="Yes",1,0))</f>
        <v/>
      </c>
      <c r="AQ328">
        <f>IF($AM328=1,IFERROR(VALUE(MID($D328,2,20)),1000000000)+ROW()/100000,"")</f>
        <v/>
      </c>
    </row>
    <row r="329">
      <c r="G329" s="11" t="n"/>
      <c r="Q329" s="7">
        <f>IF($D329="","",P329*Y329/100)</f>
        <v/>
      </c>
      <c r="R329" s="7" t="n"/>
      <c r="X329" s="7" t="n"/>
      <c r="Y329" s="7" t="n"/>
      <c r="Z329" s="7">
        <f>IF($D329="","",Y329*AD329/100)</f>
        <v/>
      </c>
      <c r="AA329" s="7">
        <f>IF($D329="","",Y329-Z329)</f>
        <v/>
      </c>
      <c r="AB329" s="7">
        <f>IF($D329="","",AA329-Q329)</f>
        <v/>
      </c>
      <c r="AD329">
        <f>IF($D329="","",IF($AP329=1,0,IF($AO329=1,Settings!$C$6,Settings!$C$7))*100)</f>
        <v/>
      </c>
      <c r="AH329" s="7" t="n"/>
      <c r="AK329" s="11" t="n"/>
      <c r="AM329">
        <f>IF($D329="","",IF(COUNTIF($D$2:$D329,$D329)=1,1,0))</f>
        <v/>
      </c>
      <c r="AN329">
        <f>IF($AM329=1,SUMPRODUCT(--($AQ$2:$AQ$1001&lt;$AQ329))+1,"")</f>
        <v/>
      </c>
      <c r="AO329">
        <f>IF($D329="","",IF(OR($U329=TRUE(),$U329="TRUE"),1,0))</f>
        <v/>
      </c>
      <c r="AP329">
        <f>IF($D329="","",IF($AC329="Yes",1,0))</f>
        <v/>
      </c>
      <c r="AQ329">
        <f>IF($AM329=1,IFERROR(VALUE(MID($D329,2,20)),1000000000)+ROW()/100000,"")</f>
        <v/>
      </c>
    </row>
    <row r="330">
      <c r="G330" s="11" t="n"/>
      <c r="Q330" s="7">
        <f>IF($D330="","",P330*Y330/100)</f>
        <v/>
      </c>
      <c r="R330" s="7" t="n"/>
      <c r="X330" s="7" t="n"/>
      <c r="Y330" s="7" t="n"/>
      <c r="Z330" s="7">
        <f>IF($D330="","",Y330*AD330/100)</f>
        <v/>
      </c>
      <c r="AA330" s="7">
        <f>IF($D330="","",Y330-Z330)</f>
        <v/>
      </c>
      <c r="AB330" s="7">
        <f>IF($D330="","",AA330-Q330)</f>
        <v/>
      </c>
      <c r="AD330">
        <f>IF($D330="","",IF($AP330=1,0,IF($AO330=1,Settings!$C$6,Settings!$C$7))*100)</f>
        <v/>
      </c>
      <c r="AH330" s="7" t="n"/>
      <c r="AK330" s="11" t="n"/>
      <c r="AM330">
        <f>IF($D330="","",IF(COUNTIF($D$2:$D330,$D330)=1,1,0))</f>
        <v/>
      </c>
      <c r="AN330">
        <f>IF($AM330=1,SUMPRODUCT(--($AQ$2:$AQ$1001&lt;$AQ330))+1,"")</f>
        <v/>
      </c>
      <c r="AO330">
        <f>IF($D330="","",IF(OR($U330=TRUE(),$U330="TRUE"),1,0))</f>
        <v/>
      </c>
      <c r="AP330">
        <f>IF($D330="","",IF($AC330="Yes",1,0))</f>
        <v/>
      </c>
      <c r="AQ330">
        <f>IF($AM330=1,IFERROR(VALUE(MID($D330,2,20)),1000000000)+ROW()/100000,"")</f>
        <v/>
      </c>
    </row>
    <row r="331">
      <c r="G331" s="11" t="n"/>
      <c r="Q331" s="7">
        <f>IF($D331="","",P331*Y331/100)</f>
        <v/>
      </c>
      <c r="R331" s="7" t="n"/>
      <c r="X331" s="7" t="n"/>
      <c r="Y331" s="7" t="n"/>
      <c r="Z331" s="7">
        <f>IF($D331="","",Y331*AD331/100)</f>
        <v/>
      </c>
      <c r="AA331" s="7">
        <f>IF($D331="","",Y331-Z331)</f>
        <v/>
      </c>
      <c r="AB331" s="7">
        <f>IF($D331="","",AA331-Q331)</f>
        <v/>
      </c>
      <c r="AD331">
        <f>IF($D331="","",IF($AP331=1,0,IF($AO331=1,Settings!$C$6,Settings!$C$7))*100)</f>
        <v/>
      </c>
      <c r="AH331" s="7" t="n"/>
      <c r="AK331" s="11" t="n"/>
      <c r="AM331">
        <f>IF($D331="","",IF(COUNTIF($D$2:$D331,$D331)=1,1,0))</f>
        <v/>
      </c>
      <c r="AN331">
        <f>IF($AM331=1,SUMPRODUCT(--($AQ$2:$AQ$1001&lt;$AQ331))+1,"")</f>
        <v/>
      </c>
      <c r="AO331">
        <f>IF($D331="","",IF(OR($U331=TRUE(),$U331="TRUE"),1,0))</f>
        <v/>
      </c>
      <c r="AP331">
        <f>IF($D331="","",IF($AC331="Yes",1,0))</f>
        <v/>
      </c>
      <c r="AQ331">
        <f>IF($AM331=1,IFERROR(VALUE(MID($D331,2,20)),1000000000)+ROW()/100000,"")</f>
        <v/>
      </c>
    </row>
    <row r="332">
      <c r="G332" s="11" t="n"/>
      <c r="Q332" s="7">
        <f>IF($D332="","",P332*Y332/100)</f>
        <v/>
      </c>
      <c r="R332" s="7" t="n"/>
      <c r="X332" s="7" t="n"/>
      <c r="Y332" s="7" t="n"/>
      <c r="Z332" s="7">
        <f>IF($D332="","",Y332*AD332/100)</f>
        <v/>
      </c>
      <c r="AA332" s="7">
        <f>IF($D332="","",Y332-Z332)</f>
        <v/>
      </c>
      <c r="AB332" s="7">
        <f>IF($D332="","",AA332-Q332)</f>
        <v/>
      </c>
      <c r="AD332">
        <f>IF($D332="","",IF($AP332=1,0,IF($AO332=1,Settings!$C$6,Settings!$C$7))*100)</f>
        <v/>
      </c>
      <c r="AH332" s="7" t="n"/>
      <c r="AK332" s="11" t="n"/>
      <c r="AM332">
        <f>IF($D332="","",IF(COUNTIF($D$2:$D332,$D332)=1,1,0))</f>
        <v/>
      </c>
      <c r="AN332">
        <f>IF($AM332=1,SUMPRODUCT(--($AQ$2:$AQ$1001&lt;$AQ332))+1,"")</f>
        <v/>
      </c>
      <c r="AO332">
        <f>IF($D332="","",IF(OR($U332=TRUE(),$U332="TRUE"),1,0))</f>
        <v/>
      </c>
      <c r="AP332">
        <f>IF($D332="","",IF($AC332="Yes",1,0))</f>
        <v/>
      </c>
      <c r="AQ332">
        <f>IF($AM332=1,IFERROR(VALUE(MID($D332,2,20)),1000000000)+ROW()/100000,"")</f>
        <v/>
      </c>
    </row>
    <row r="333">
      <c r="G333" s="11" t="n"/>
      <c r="Q333" s="7">
        <f>IF($D333="","",P333*Y333/100)</f>
        <v/>
      </c>
      <c r="R333" s="7" t="n"/>
      <c r="X333" s="7" t="n"/>
      <c r="Y333" s="7" t="n"/>
      <c r="Z333" s="7">
        <f>IF($D333="","",Y333*AD333/100)</f>
        <v/>
      </c>
      <c r="AA333" s="7">
        <f>IF($D333="","",Y333-Z333)</f>
        <v/>
      </c>
      <c r="AB333" s="7">
        <f>IF($D333="","",AA333-Q333)</f>
        <v/>
      </c>
      <c r="AD333">
        <f>IF($D333="","",IF($AP333=1,0,IF($AO333=1,Settings!$C$6,Settings!$C$7))*100)</f>
        <v/>
      </c>
      <c r="AH333" s="7" t="n"/>
      <c r="AK333" s="11" t="n"/>
      <c r="AM333">
        <f>IF($D333="","",IF(COUNTIF($D$2:$D333,$D333)=1,1,0))</f>
        <v/>
      </c>
      <c r="AN333">
        <f>IF($AM333=1,SUMPRODUCT(--($AQ$2:$AQ$1001&lt;$AQ333))+1,"")</f>
        <v/>
      </c>
      <c r="AO333">
        <f>IF($D333="","",IF(OR($U333=TRUE(),$U333="TRUE"),1,0))</f>
        <v/>
      </c>
      <c r="AP333">
        <f>IF($D333="","",IF($AC333="Yes",1,0))</f>
        <v/>
      </c>
      <c r="AQ333">
        <f>IF($AM333=1,IFERROR(VALUE(MID($D333,2,20)),1000000000)+ROW()/100000,"")</f>
        <v/>
      </c>
    </row>
    <row r="334">
      <c r="G334" s="11" t="n"/>
      <c r="Q334" s="7">
        <f>IF($D334="","",P334*Y334/100)</f>
        <v/>
      </c>
      <c r="R334" s="7" t="n"/>
      <c r="X334" s="7" t="n"/>
      <c r="Y334" s="7" t="n"/>
      <c r="Z334" s="7">
        <f>IF($D334="","",Y334*AD334/100)</f>
        <v/>
      </c>
      <c r="AA334" s="7">
        <f>IF($D334="","",Y334-Z334)</f>
        <v/>
      </c>
      <c r="AB334" s="7">
        <f>IF($D334="","",AA334-Q334)</f>
        <v/>
      </c>
      <c r="AD334">
        <f>IF($D334="","",IF($AP334=1,0,IF($AO334=1,Settings!$C$6,Settings!$C$7))*100)</f>
        <v/>
      </c>
      <c r="AH334" s="7" t="n"/>
      <c r="AK334" s="11" t="n"/>
      <c r="AM334">
        <f>IF($D334="","",IF(COUNTIF($D$2:$D334,$D334)=1,1,0))</f>
        <v/>
      </c>
      <c r="AN334">
        <f>IF($AM334=1,SUMPRODUCT(--($AQ$2:$AQ$1001&lt;$AQ334))+1,"")</f>
        <v/>
      </c>
      <c r="AO334">
        <f>IF($D334="","",IF(OR($U334=TRUE(),$U334="TRUE"),1,0))</f>
        <v/>
      </c>
      <c r="AP334">
        <f>IF($D334="","",IF($AC334="Yes",1,0))</f>
        <v/>
      </c>
      <c r="AQ334">
        <f>IF($AM334=1,IFERROR(VALUE(MID($D334,2,20)),1000000000)+ROW()/100000,"")</f>
        <v/>
      </c>
    </row>
    <row r="335">
      <c r="G335" s="11" t="n"/>
      <c r="Q335" s="7">
        <f>IF($D335="","",P335*Y335/100)</f>
        <v/>
      </c>
      <c r="R335" s="7" t="n"/>
      <c r="X335" s="7" t="n"/>
      <c r="Y335" s="7" t="n"/>
      <c r="Z335" s="7">
        <f>IF($D335="","",Y335*AD335/100)</f>
        <v/>
      </c>
      <c r="AA335" s="7">
        <f>IF($D335="","",Y335-Z335)</f>
        <v/>
      </c>
      <c r="AB335" s="7">
        <f>IF($D335="","",AA335-Q335)</f>
        <v/>
      </c>
      <c r="AD335">
        <f>IF($D335="","",IF($AP335=1,0,IF($AO335=1,Settings!$C$6,Settings!$C$7))*100)</f>
        <v/>
      </c>
      <c r="AH335" s="7" t="n"/>
      <c r="AK335" s="11" t="n"/>
      <c r="AM335">
        <f>IF($D335="","",IF(COUNTIF($D$2:$D335,$D335)=1,1,0))</f>
        <v/>
      </c>
      <c r="AN335">
        <f>IF($AM335=1,SUMPRODUCT(--($AQ$2:$AQ$1001&lt;$AQ335))+1,"")</f>
        <v/>
      </c>
      <c r="AO335">
        <f>IF($D335="","",IF(OR($U335=TRUE(),$U335="TRUE"),1,0))</f>
        <v/>
      </c>
      <c r="AP335">
        <f>IF($D335="","",IF($AC335="Yes",1,0))</f>
        <v/>
      </c>
      <c r="AQ335">
        <f>IF($AM335=1,IFERROR(VALUE(MID($D335,2,20)),1000000000)+ROW()/100000,"")</f>
        <v/>
      </c>
    </row>
    <row r="336">
      <c r="G336" s="11" t="n"/>
      <c r="Q336" s="7">
        <f>IF($D336="","",P336*Y336/100)</f>
        <v/>
      </c>
      <c r="R336" s="7" t="n"/>
      <c r="X336" s="7" t="n"/>
      <c r="Y336" s="7" t="n"/>
      <c r="Z336" s="7">
        <f>IF($D336="","",Y336*AD336/100)</f>
        <v/>
      </c>
      <c r="AA336" s="7">
        <f>IF($D336="","",Y336-Z336)</f>
        <v/>
      </c>
      <c r="AB336" s="7">
        <f>IF($D336="","",AA336-Q336)</f>
        <v/>
      </c>
      <c r="AD336">
        <f>IF($D336="","",IF($AP336=1,0,IF($AO336=1,Settings!$C$6,Settings!$C$7))*100)</f>
        <v/>
      </c>
      <c r="AH336" s="7" t="n"/>
      <c r="AK336" s="11" t="n"/>
      <c r="AM336">
        <f>IF($D336="","",IF(COUNTIF($D$2:$D336,$D336)=1,1,0))</f>
        <v/>
      </c>
      <c r="AN336">
        <f>IF($AM336=1,SUMPRODUCT(--($AQ$2:$AQ$1001&lt;$AQ336))+1,"")</f>
        <v/>
      </c>
      <c r="AO336">
        <f>IF($D336="","",IF(OR($U336=TRUE(),$U336="TRUE"),1,0))</f>
        <v/>
      </c>
      <c r="AP336">
        <f>IF($D336="","",IF($AC336="Yes",1,0))</f>
        <v/>
      </c>
      <c r="AQ336">
        <f>IF($AM336=1,IFERROR(VALUE(MID($D336,2,20)),1000000000)+ROW()/100000,"")</f>
        <v/>
      </c>
    </row>
    <row r="337">
      <c r="G337" s="11" t="n"/>
      <c r="Q337" s="7">
        <f>IF($D337="","",P337*Y337/100)</f>
        <v/>
      </c>
      <c r="R337" s="7" t="n"/>
      <c r="X337" s="7" t="n"/>
      <c r="Y337" s="7" t="n"/>
      <c r="Z337" s="7">
        <f>IF($D337="","",Y337*AD337/100)</f>
        <v/>
      </c>
      <c r="AA337" s="7">
        <f>IF($D337="","",Y337-Z337)</f>
        <v/>
      </c>
      <c r="AB337" s="7">
        <f>IF($D337="","",AA337-Q337)</f>
        <v/>
      </c>
      <c r="AD337">
        <f>IF($D337="","",IF($AP337=1,0,IF($AO337=1,Settings!$C$6,Settings!$C$7))*100)</f>
        <v/>
      </c>
      <c r="AH337" s="7" t="n"/>
      <c r="AK337" s="11" t="n"/>
      <c r="AM337">
        <f>IF($D337="","",IF(COUNTIF($D$2:$D337,$D337)=1,1,0))</f>
        <v/>
      </c>
      <c r="AN337">
        <f>IF($AM337=1,SUMPRODUCT(--($AQ$2:$AQ$1001&lt;$AQ337))+1,"")</f>
        <v/>
      </c>
      <c r="AO337">
        <f>IF($D337="","",IF(OR($U337=TRUE(),$U337="TRUE"),1,0))</f>
        <v/>
      </c>
      <c r="AP337">
        <f>IF($D337="","",IF($AC337="Yes",1,0))</f>
        <v/>
      </c>
      <c r="AQ337">
        <f>IF($AM337=1,IFERROR(VALUE(MID($D337,2,20)),1000000000)+ROW()/100000,"")</f>
        <v/>
      </c>
    </row>
    <row r="338">
      <c r="G338" s="11" t="n"/>
      <c r="Q338" s="7">
        <f>IF($D338="","",P338*Y338/100)</f>
        <v/>
      </c>
      <c r="R338" s="7" t="n"/>
      <c r="X338" s="7" t="n"/>
      <c r="Y338" s="7" t="n"/>
      <c r="Z338" s="7">
        <f>IF($D338="","",Y338*AD338/100)</f>
        <v/>
      </c>
      <c r="AA338" s="7">
        <f>IF($D338="","",Y338-Z338)</f>
        <v/>
      </c>
      <c r="AB338" s="7">
        <f>IF($D338="","",AA338-Q338)</f>
        <v/>
      </c>
      <c r="AD338">
        <f>IF($D338="","",IF($AP338=1,0,IF($AO338=1,Settings!$C$6,Settings!$C$7))*100)</f>
        <v/>
      </c>
      <c r="AH338" s="7" t="n"/>
      <c r="AK338" s="11" t="n"/>
      <c r="AM338">
        <f>IF($D338="","",IF(COUNTIF($D$2:$D338,$D338)=1,1,0))</f>
        <v/>
      </c>
      <c r="AN338">
        <f>IF($AM338=1,SUMPRODUCT(--($AQ$2:$AQ$1001&lt;$AQ338))+1,"")</f>
        <v/>
      </c>
      <c r="AO338">
        <f>IF($D338="","",IF(OR($U338=TRUE(),$U338="TRUE"),1,0))</f>
        <v/>
      </c>
      <c r="AP338">
        <f>IF($D338="","",IF($AC338="Yes",1,0))</f>
        <v/>
      </c>
      <c r="AQ338">
        <f>IF($AM338=1,IFERROR(VALUE(MID($D338,2,20)),1000000000)+ROW()/100000,"")</f>
        <v/>
      </c>
    </row>
    <row r="339">
      <c r="G339" s="11" t="n"/>
      <c r="Q339" s="7">
        <f>IF($D339="","",P339*Y339/100)</f>
        <v/>
      </c>
      <c r="R339" s="7" t="n"/>
      <c r="X339" s="7" t="n"/>
      <c r="Y339" s="7" t="n"/>
      <c r="Z339" s="7">
        <f>IF($D339="","",Y339*AD339/100)</f>
        <v/>
      </c>
      <c r="AA339" s="7">
        <f>IF($D339="","",Y339-Z339)</f>
        <v/>
      </c>
      <c r="AB339" s="7">
        <f>IF($D339="","",AA339-Q339)</f>
        <v/>
      </c>
      <c r="AD339">
        <f>IF($D339="","",IF($AP339=1,0,IF($AO339=1,Settings!$C$6,Settings!$C$7))*100)</f>
        <v/>
      </c>
      <c r="AH339" s="7" t="n"/>
      <c r="AK339" s="11" t="n"/>
      <c r="AM339">
        <f>IF($D339="","",IF(COUNTIF($D$2:$D339,$D339)=1,1,0))</f>
        <v/>
      </c>
      <c r="AN339">
        <f>IF($AM339=1,SUMPRODUCT(--($AQ$2:$AQ$1001&lt;$AQ339))+1,"")</f>
        <v/>
      </c>
      <c r="AO339">
        <f>IF($D339="","",IF(OR($U339=TRUE(),$U339="TRUE"),1,0))</f>
        <v/>
      </c>
      <c r="AP339">
        <f>IF($D339="","",IF($AC339="Yes",1,0))</f>
        <v/>
      </c>
      <c r="AQ339">
        <f>IF($AM339=1,IFERROR(VALUE(MID($D339,2,20)),1000000000)+ROW()/100000,"")</f>
        <v/>
      </c>
    </row>
    <row r="340">
      <c r="G340" s="11" t="n"/>
      <c r="Q340" s="7">
        <f>IF($D340="","",P340*Y340/100)</f>
        <v/>
      </c>
      <c r="R340" s="7" t="n"/>
      <c r="X340" s="7" t="n"/>
      <c r="Y340" s="7" t="n"/>
      <c r="Z340" s="7">
        <f>IF($D340="","",Y340*AD340/100)</f>
        <v/>
      </c>
      <c r="AA340" s="7">
        <f>IF($D340="","",Y340-Z340)</f>
        <v/>
      </c>
      <c r="AB340" s="7">
        <f>IF($D340="","",AA340-Q340)</f>
        <v/>
      </c>
      <c r="AD340">
        <f>IF($D340="","",IF($AP340=1,0,IF($AO340=1,Settings!$C$6,Settings!$C$7))*100)</f>
        <v/>
      </c>
      <c r="AH340" s="7" t="n"/>
      <c r="AK340" s="11" t="n"/>
      <c r="AM340">
        <f>IF($D340="","",IF(COUNTIF($D$2:$D340,$D340)=1,1,0))</f>
        <v/>
      </c>
      <c r="AN340">
        <f>IF($AM340=1,SUMPRODUCT(--($AQ$2:$AQ$1001&lt;$AQ340))+1,"")</f>
        <v/>
      </c>
      <c r="AO340">
        <f>IF($D340="","",IF(OR($U340=TRUE(),$U340="TRUE"),1,0))</f>
        <v/>
      </c>
      <c r="AP340">
        <f>IF($D340="","",IF($AC340="Yes",1,0))</f>
        <v/>
      </c>
      <c r="AQ340">
        <f>IF($AM340=1,IFERROR(VALUE(MID($D340,2,20)),1000000000)+ROW()/100000,"")</f>
        <v/>
      </c>
    </row>
    <row r="341">
      <c r="G341" s="11" t="n"/>
      <c r="Q341" s="7">
        <f>IF($D341="","",P341*Y341/100)</f>
        <v/>
      </c>
      <c r="R341" s="7" t="n"/>
      <c r="X341" s="7" t="n"/>
      <c r="Y341" s="7" t="n"/>
      <c r="Z341" s="7">
        <f>IF($D341="","",Y341*AD341/100)</f>
        <v/>
      </c>
      <c r="AA341" s="7">
        <f>IF($D341="","",Y341-Z341)</f>
        <v/>
      </c>
      <c r="AB341" s="7">
        <f>IF($D341="","",AA341-Q341)</f>
        <v/>
      </c>
      <c r="AD341">
        <f>IF($D341="","",IF($AP341=1,0,IF($AO341=1,Settings!$C$6,Settings!$C$7))*100)</f>
        <v/>
      </c>
      <c r="AH341" s="7" t="n"/>
      <c r="AK341" s="11" t="n"/>
      <c r="AM341">
        <f>IF($D341="","",IF(COUNTIF($D$2:$D341,$D341)=1,1,0))</f>
        <v/>
      </c>
      <c r="AN341">
        <f>IF($AM341=1,SUMPRODUCT(--($AQ$2:$AQ$1001&lt;$AQ341))+1,"")</f>
        <v/>
      </c>
      <c r="AO341">
        <f>IF($D341="","",IF(OR($U341=TRUE(),$U341="TRUE"),1,0))</f>
        <v/>
      </c>
      <c r="AP341">
        <f>IF($D341="","",IF($AC341="Yes",1,0))</f>
        <v/>
      </c>
      <c r="AQ341">
        <f>IF($AM341=1,IFERROR(VALUE(MID($D341,2,20)),1000000000)+ROW()/100000,"")</f>
        <v/>
      </c>
    </row>
    <row r="342">
      <c r="G342" s="11" t="n"/>
      <c r="Q342" s="7">
        <f>IF($D342="","",P342*Y342/100)</f>
        <v/>
      </c>
      <c r="R342" s="7" t="n"/>
      <c r="X342" s="7" t="n"/>
      <c r="Y342" s="7" t="n"/>
      <c r="Z342" s="7">
        <f>IF($D342="","",Y342*AD342/100)</f>
        <v/>
      </c>
      <c r="AA342" s="7">
        <f>IF($D342="","",Y342-Z342)</f>
        <v/>
      </c>
      <c r="AB342" s="7">
        <f>IF($D342="","",AA342-Q342)</f>
        <v/>
      </c>
      <c r="AD342">
        <f>IF($D342="","",IF($AP342=1,0,IF($AO342=1,Settings!$C$6,Settings!$C$7))*100)</f>
        <v/>
      </c>
      <c r="AH342" s="7" t="n"/>
      <c r="AK342" s="11" t="n"/>
      <c r="AM342">
        <f>IF($D342="","",IF(COUNTIF($D$2:$D342,$D342)=1,1,0))</f>
        <v/>
      </c>
      <c r="AN342">
        <f>IF($AM342=1,SUMPRODUCT(--($AQ$2:$AQ$1001&lt;$AQ342))+1,"")</f>
        <v/>
      </c>
      <c r="AO342">
        <f>IF($D342="","",IF(OR($U342=TRUE(),$U342="TRUE"),1,0))</f>
        <v/>
      </c>
      <c r="AP342">
        <f>IF($D342="","",IF($AC342="Yes",1,0))</f>
        <v/>
      </c>
      <c r="AQ342">
        <f>IF($AM342=1,IFERROR(VALUE(MID($D342,2,20)),1000000000)+ROW()/100000,"")</f>
        <v/>
      </c>
    </row>
    <row r="343">
      <c r="G343" s="11" t="n"/>
      <c r="Q343" s="7">
        <f>IF($D343="","",P343*Y343/100)</f>
        <v/>
      </c>
      <c r="R343" s="7" t="n"/>
      <c r="X343" s="7" t="n"/>
      <c r="Y343" s="7" t="n"/>
      <c r="Z343" s="7">
        <f>IF($D343="","",Y343*AD343/100)</f>
        <v/>
      </c>
      <c r="AA343" s="7">
        <f>IF($D343="","",Y343-Z343)</f>
        <v/>
      </c>
      <c r="AB343" s="7">
        <f>IF($D343="","",AA343-Q343)</f>
        <v/>
      </c>
      <c r="AD343">
        <f>IF($D343="","",IF($AP343=1,0,IF($AO343=1,Settings!$C$6,Settings!$C$7))*100)</f>
        <v/>
      </c>
      <c r="AH343" s="7" t="n"/>
      <c r="AK343" s="11" t="n"/>
      <c r="AM343">
        <f>IF($D343="","",IF(COUNTIF($D$2:$D343,$D343)=1,1,0))</f>
        <v/>
      </c>
      <c r="AN343">
        <f>IF($AM343=1,SUMPRODUCT(--($AQ$2:$AQ$1001&lt;$AQ343))+1,"")</f>
        <v/>
      </c>
      <c r="AO343">
        <f>IF($D343="","",IF(OR($U343=TRUE(),$U343="TRUE"),1,0))</f>
        <v/>
      </c>
      <c r="AP343">
        <f>IF($D343="","",IF($AC343="Yes",1,0))</f>
        <v/>
      </c>
      <c r="AQ343">
        <f>IF($AM343=1,IFERROR(VALUE(MID($D343,2,20)),1000000000)+ROW()/100000,"")</f>
        <v/>
      </c>
    </row>
    <row r="344">
      <c r="G344" s="11" t="n"/>
      <c r="Q344" s="7">
        <f>IF($D344="","",P344*Y344/100)</f>
        <v/>
      </c>
      <c r="R344" s="7" t="n"/>
      <c r="X344" s="7" t="n"/>
      <c r="Y344" s="7" t="n"/>
      <c r="Z344" s="7">
        <f>IF($D344="","",Y344*AD344/100)</f>
        <v/>
      </c>
      <c r="AA344" s="7">
        <f>IF($D344="","",Y344-Z344)</f>
        <v/>
      </c>
      <c r="AB344" s="7">
        <f>IF($D344="","",AA344-Q344)</f>
        <v/>
      </c>
      <c r="AD344">
        <f>IF($D344="","",IF($AP344=1,0,IF($AO344=1,Settings!$C$6,Settings!$C$7))*100)</f>
        <v/>
      </c>
      <c r="AH344" s="7" t="n"/>
      <c r="AK344" s="11" t="n"/>
      <c r="AM344">
        <f>IF($D344="","",IF(COUNTIF($D$2:$D344,$D344)=1,1,0))</f>
        <v/>
      </c>
      <c r="AN344">
        <f>IF($AM344=1,SUMPRODUCT(--($AQ$2:$AQ$1001&lt;$AQ344))+1,"")</f>
        <v/>
      </c>
      <c r="AO344">
        <f>IF($D344="","",IF(OR($U344=TRUE(),$U344="TRUE"),1,0))</f>
        <v/>
      </c>
      <c r="AP344">
        <f>IF($D344="","",IF($AC344="Yes",1,0))</f>
        <v/>
      </c>
      <c r="AQ344">
        <f>IF($AM344=1,IFERROR(VALUE(MID($D344,2,20)),1000000000)+ROW()/100000,"")</f>
        <v/>
      </c>
    </row>
    <row r="345">
      <c r="G345" s="11" t="n"/>
      <c r="Q345" s="7">
        <f>IF($D345="","",P345*Y345/100)</f>
        <v/>
      </c>
      <c r="R345" s="7" t="n"/>
      <c r="X345" s="7" t="n"/>
      <c r="Y345" s="7" t="n"/>
      <c r="Z345" s="7">
        <f>IF($D345="","",Y345*AD345/100)</f>
        <v/>
      </c>
      <c r="AA345" s="7">
        <f>IF($D345="","",Y345-Z345)</f>
        <v/>
      </c>
      <c r="AB345" s="7">
        <f>IF($D345="","",AA345-Q345)</f>
        <v/>
      </c>
      <c r="AD345">
        <f>IF($D345="","",IF($AP345=1,0,IF($AO345=1,Settings!$C$6,Settings!$C$7))*100)</f>
        <v/>
      </c>
      <c r="AH345" s="7" t="n"/>
      <c r="AK345" s="11" t="n"/>
      <c r="AM345">
        <f>IF($D345="","",IF(COUNTIF($D$2:$D345,$D345)=1,1,0))</f>
        <v/>
      </c>
      <c r="AN345">
        <f>IF($AM345=1,SUMPRODUCT(--($AQ$2:$AQ$1001&lt;$AQ345))+1,"")</f>
        <v/>
      </c>
      <c r="AO345">
        <f>IF($D345="","",IF(OR($U345=TRUE(),$U345="TRUE"),1,0))</f>
        <v/>
      </c>
      <c r="AP345">
        <f>IF($D345="","",IF($AC345="Yes",1,0))</f>
        <v/>
      </c>
      <c r="AQ345">
        <f>IF($AM345=1,IFERROR(VALUE(MID($D345,2,20)),1000000000)+ROW()/100000,"")</f>
        <v/>
      </c>
    </row>
    <row r="346">
      <c r="G346" s="11" t="n"/>
      <c r="Q346" s="7">
        <f>IF($D346="","",P346*Y346/100)</f>
        <v/>
      </c>
      <c r="R346" s="7" t="n"/>
      <c r="X346" s="7" t="n"/>
      <c r="Y346" s="7" t="n"/>
      <c r="Z346" s="7">
        <f>IF($D346="","",Y346*AD346/100)</f>
        <v/>
      </c>
      <c r="AA346" s="7">
        <f>IF($D346="","",Y346-Z346)</f>
        <v/>
      </c>
      <c r="AB346" s="7">
        <f>IF($D346="","",AA346-Q346)</f>
        <v/>
      </c>
      <c r="AD346">
        <f>IF($D346="","",IF($AP346=1,0,IF($AO346=1,Settings!$C$6,Settings!$C$7))*100)</f>
        <v/>
      </c>
      <c r="AH346" s="7" t="n"/>
      <c r="AK346" s="11" t="n"/>
      <c r="AM346">
        <f>IF($D346="","",IF(COUNTIF($D$2:$D346,$D346)=1,1,0))</f>
        <v/>
      </c>
      <c r="AN346">
        <f>IF($AM346=1,SUMPRODUCT(--($AQ$2:$AQ$1001&lt;$AQ346))+1,"")</f>
        <v/>
      </c>
      <c r="AO346">
        <f>IF($D346="","",IF(OR($U346=TRUE(),$U346="TRUE"),1,0))</f>
        <v/>
      </c>
      <c r="AP346">
        <f>IF($D346="","",IF($AC346="Yes",1,0))</f>
        <v/>
      </c>
      <c r="AQ346">
        <f>IF($AM346=1,IFERROR(VALUE(MID($D346,2,20)),1000000000)+ROW()/100000,"")</f>
        <v/>
      </c>
    </row>
    <row r="347">
      <c r="G347" s="11" t="n"/>
      <c r="Q347" s="7">
        <f>IF($D347="","",P347*Y347/100)</f>
        <v/>
      </c>
      <c r="R347" s="7" t="n"/>
      <c r="X347" s="7" t="n"/>
      <c r="Y347" s="7" t="n"/>
      <c r="Z347" s="7">
        <f>IF($D347="","",Y347*AD347/100)</f>
        <v/>
      </c>
      <c r="AA347" s="7">
        <f>IF($D347="","",Y347-Z347)</f>
        <v/>
      </c>
      <c r="AB347" s="7">
        <f>IF($D347="","",AA347-Q347)</f>
        <v/>
      </c>
      <c r="AD347">
        <f>IF($D347="","",IF($AP347=1,0,IF($AO347=1,Settings!$C$6,Settings!$C$7))*100)</f>
        <v/>
      </c>
      <c r="AH347" s="7" t="n"/>
      <c r="AK347" s="11" t="n"/>
      <c r="AM347">
        <f>IF($D347="","",IF(COUNTIF($D$2:$D347,$D347)=1,1,0))</f>
        <v/>
      </c>
      <c r="AN347">
        <f>IF($AM347=1,SUMPRODUCT(--($AQ$2:$AQ$1001&lt;$AQ347))+1,"")</f>
        <v/>
      </c>
      <c r="AO347">
        <f>IF($D347="","",IF(OR($U347=TRUE(),$U347="TRUE"),1,0))</f>
        <v/>
      </c>
      <c r="AP347">
        <f>IF($D347="","",IF($AC347="Yes",1,0))</f>
        <v/>
      </c>
      <c r="AQ347">
        <f>IF($AM347=1,IFERROR(VALUE(MID($D347,2,20)),1000000000)+ROW()/100000,"")</f>
        <v/>
      </c>
    </row>
    <row r="348">
      <c r="G348" s="11" t="n"/>
      <c r="Q348" s="7">
        <f>IF($D348="","",P348*Y348/100)</f>
        <v/>
      </c>
      <c r="R348" s="7" t="n"/>
      <c r="X348" s="7" t="n"/>
      <c r="Y348" s="7" t="n"/>
      <c r="Z348" s="7">
        <f>IF($D348="","",Y348*AD348/100)</f>
        <v/>
      </c>
      <c r="AA348" s="7">
        <f>IF($D348="","",Y348-Z348)</f>
        <v/>
      </c>
      <c r="AB348" s="7">
        <f>IF($D348="","",AA348-Q348)</f>
        <v/>
      </c>
      <c r="AD348">
        <f>IF($D348="","",IF($AP348=1,0,IF($AO348=1,Settings!$C$6,Settings!$C$7))*100)</f>
        <v/>
      </c>
      <c r="AH348" s="7" t="n"/>
      <c r="AK348" s="11" t="n"/>
      <c r="AM348">
        <f>IF($D348="","",IF(COUNTIF($D$2:$D348,$D348)=1,1,0))</f>
        <v/>
      </c>
      <c r="AN348">
        <f>IF($AM348=1,SUMPRODUCT(--($AQ$2:$AQ$1001&lt;$AQ348))+1,"")</f>
        <v/>
      </c>
      <c r="AO348">
        <f>IF($D348="","",IF(OR($U348=TRUE(),$U348="TRUE"),1,0))</f>
        <v/>
      </c>
      <c r="AP348">
        <f>IF($D348="","",IF($AC348="Yes",1,0))</f>
        <v/>
      </c>
      <c r="AQ348">
        <f>IF($AM348=1,IFERROR(VALUE(MID($D348,2,20)),1000000000)+ROW()/100000,"")</f>
        <v/>
      </c>
    </row>
    <row r="349">
      <c r="G349" s="11" t="n"/>
      <c r="Q349" s="7">
        <f>IF($D349="","",P349*Y349/100)</f>
        <v/>
      </c>
      <c r="R349" s="7" t="n"/>
      <c r="X349" s="7" t="n"/>
      <c r="Y349" s="7" t="n"/>
      <c r="Z349" s="7">
        <f>IF($D349="","",Y349*AD349/100)</f>
        <v/>
      </c>
      <c r="AA349" s="7">
        <f>IF($D349="","",Y349-Z349)</f>
        <v/>
      </c>
      <c r="AB349" s="7">
        <f>IF($D349="","",AA349-Q349)</f>
        <v/>
      </c>
      <c r="AD349">
        <f>IF($D349="","",IF($AP349=1,0,IF($AO349=1,Settings!$C$6,Settings!$C$7))*100)</f>
        <v/>
      </c>
      <c r="AH349" s="7" t="n"/>
      <c r="AK349" s="11" t="n"/>
      <c r="AM349">
        <f>IF($D349="","",IF(COUNTIF($D$2:$D349,$D349)=1,1,0))</f>
        <v/>
      </c>
      <c r="AN349">
        <f>IF($AM349=1,SUMPRODUCT(--($AQ$2:$AQ$1001&lt;$AQ349))+1,"")</f>
        <v/>
      </c>
      <c r="AO349">
        <f>IF($D349="","",IF(OR($U349=TRUE(),$U349="TRUE"),1,0))</f>
        <v/>
      </c>
      <c r="AP349">
        <f>IF($D349="","",IF($AC349="Yes",1,0))</f>
        <v/>
      </c>
      <c r="AQ349">
        <f>IF($AM349=1,IFERROR(VALUE(MID($D349,2,20)),1000000000)+ROW()/100000,"")</f>
        <v/>
      </c>
    </row>
    <row r="350">
      <c r="G350" s="11" t="n"/>
      <c r="Q350" s="7">
        <f>IF($D350="","",P350*Y350/100)</f>
        <v/>
      </c>
      <c r="R350" s="7" t="n"/>
      <c r="X350" s="7" t="n"/>
      <c r="Y350" s="7" t="n"/>
      <c r="Z350" s="7">
        <f>IF($D350="","",Y350*AD350/100)</f>
        <v/>
      </c>
      <c r="AA350" s="7">
        <f>IF($D350="","",Y350-Z350)</f>
        <v/>
      </c>
      <c r="AB350" s="7">
        <f>IF($D350="","",AA350-Q350)</f>
        <v/>
      </c>
      <c r="AD350">
        <f>IF($D350="","",IF($AP350=1,0,IF($AO350=1,Settings!$C$6,Settings!$C$7))*100)</f>
        <v/>
      </c>
      <c r="AH350" s="7" t="n"/>
      <c r="AK350" s="11" t="n"/>
      <c r="AM350">
        <f>IF($D350="","",IF(COUNTIF($D$2:$D350,$D350)=1,1,0))</f>
        <v/>
      </c>
      <c r="AN350">
        <f>IF($AM350=1,SUMPRODUCT(--($AQ$2:$AQ$1001&lt;$AQ350))+1,"")</f>
        <v/>
      </c>
      <c r="AO350">
        <f>IF($D350="","",IF(OR($U350=TRUE(),$U350="TRUE"),1,0))</f>
        <v/>
      </c>
      <c r="AP350">
        <f>IF($D350="","",IF($AC350="Yes",1,0))</f>
        <v/>
      </c>
      <c r="AQ350">
        <f>IF($AM350=1,IFERROR(VALUE(MID($D350,2,20)),1000000000)+ROW()/100000,"")</f>
        <v/>
      </c>
    </row>
    <row r="351">
      <c r="G351" s="11" t="n"/>
      <c r="Q351" s="7">
        <f>IF($D351="","",P351*Y351/100)</f>
        <v/>
      </c>
      <c r="R351" s="7" t="n"/>
      <c r="X351" s="7" t="n"/>
      <c r="Y351" s="7" t="n"/>
      <c r="Z351" s="7">
        <f>IF($D351="","",Y351*AD351/100)</f>
        <v/>
      </c>
      <c r="AA351" s="7">
        <f>IF($D351="","",Y351-Z351)</f>
        <v/>
      </c>
      <c r="AB351" s="7">
        <f>IF($D351="","",AA351-Q351)</f>
        <v/>
      </c>
      <c r="AD351">
        <f>IF($D351="","",IF($AP351=1,0,IF($AO351=1,Settings!$C$6,Settings!$C$7))*100)</f>
        <v/>
      </c>
      <c r="AH351" s="7" t="n"/>
      <c r="AK351" s="11" t="n"/>
      <c r="AM351">
        <f>IF($D351="","",IF(COUNTIF($D$2:$D351,$D351)=1,1,0))</f>
        <v/>
      </c>
      <c r="AN351">
        <f>IF($AM351=1,SUMPRODUCT(--($AQ$2:$AQ$1001&lt;$AQ351))+1,"")</f>
        <v/>
      </c>
      <c r="AO351">
        <f>IF($D351="","",IF(OR($U351=TRUE(),$U351="TRUE"),1,0))</f>
        <v/>
      </c>
      <c r="AP351">
        <f>IF($D351="","",IF($AC351="Yes",1,0))</f>
        <v/>
      </c>
      <c r="AQ351">
        <f>IF($AM351=1,IFERROR(VALUE(MID($D351,2,20)),1000000000)+ROW()/100000,"")</f>
        <v/>
      </c>
    </row>
    <row r="352">
      <c r="G352" s="11" t="n"/>
      <c r="Q352" s="7">
        <f>IF($D352="","",P352*Y352/100)</f>
        <v/>
      </c>
      <c r="R352" s="7" t="n"/>
      <c r="X352" s="7" t="n"/>
      <c r="Y352" s="7" t="n"/>
      <c r="Z352" s="7">
        <f>IF($D352="","",Y352*AD352/100)</f>
        <v/>
      </c>
      <c r="AA352" s="7">
        <f>IF($D352="","",Y352-Z352)</f>
        <v/>
      </c>
      <c r="AB352" s="7">
        <f>IF($D352="","",AA352-Q352)</f>
        <v/>
      </c>
      <c r="AD352">
        <f>IF($D352="","",IF($AP352=1,0,IF($AO352=1,Settings!$C$6,Settings!$C$7))*100)</f>
        <v/>
      </c>
      <c r="AH352" s="7" t="n"/>
      <c r="AK352" s="11" t="n"/>
      <c r="AM352">
        <f>IF($D352="","",IF(COUNTIF($D$2:$D352,$D352)=1,1,0))</f>
        <v/>
      </c>
      <c r="AN352">
        <f>IF($AM352=1,SUMPRODUCT(--($AQ$2:$AQ$1001&lt;$AQ352))+1,"")</f>
        <v/>
      </c>
      <c r="AO352">
        <f>IF($D352="","",IF(OR($U352=TRUE(),$U352="TRUE"),1,0))</f>
        <v/>
      </c>
      <c r="AP352">
        <f>IF($D352="","",IF($AC352="Yes",1,0))</f>
        <v/>
      </c>
      <c r="AQ352">
        <f>IF($AM352=1,IFERROR(VALUE(MID($D352,2,20)),1000000000)+ROW()/100000,"")</f>
        <v/>
      </c>
    </row>
    <row r="353">
      <c r="G353" s="11" t="n"/>
      <c r="Q353" s="7">
        <f>IF($D353="","",P353*Y353/100)</f>
        <v/>
      </c>
      <c r="R353" s="7" t="n"/>
      <c r="X353" s="7" t="n"/>
      <c r="Y353" s="7" t="n"/>
      <c r="Z353" s="7">
        <f>IF($D353="","",Y353*AD353/100)</f>
        <v/>
      </c>
      <c r="AA353" s="7">
        <f>IF($D353="","",Y353-Z353)</f>
        <v/>
      </c>
      <c r="AB353" s="7">
        <f>IF($D353="","",AA353-Q353)</f>
        <v/>
      </c>
      <c r="AD353">
        <f>IF($D353="","",IF($AP353=1,0,IF($AO353=1,Settings!$C$6,Settings!$C$7))*100)</f>
        <v/>
      </c>
      <c r="AH353" s="7" t="n"/>
      <c r="AK353" s="11" t="n"/>
      <c r="AM353">
        <f>IF($D353="","",IF(COUNTIF($D$2:$D353,$D353)=1,1,0))</f>
        <v/>
      </c>
      <c r="AN353">
        <f>IF($AM353=1,SUMPRODUCT(--($AQ$2:$AQ$1001&lt;$AQ353))+1,"")</f>
        <v/>
      </c>
      <c r="AO353">
        <f>IF($D353="","",IF(OR($U353=TRUE(),$U353="TRUE"),1,0))</f>
        <v/>
      </c>
      <c r="AP353">
        <f>IF($D353="","",IF($AC353="Yes",1,0))</f>
        <v/>
      </c>
      <c r="AQ353">
        <f>IF($AM353=1,IFERROR(VALUE(MID($D353,2,20)),1000000000)+ROW()/100000,"")</f>
        <v/>
      </c>
    </row>
    <row r="354">
      <c r="G354" s="11" t="n"/>
      <c r="Q354" s="7">
        <f>IF($D354="","",P354*Y354/100)</f>
        <v/>
      </c>
      <c r="R354" s="7" t="n"/>
      <c r="X354" s="7" t="n"/>
      <c r="Y354" s="7" t="n"/>
      <c r="Z354" s="7">
        <f>IF($D354="","",Y354*AD354/100)</f>
        <v/>
      </c>
      <c r="AA354" s="7">
        <f>IF($D354="","",Y354-Z354)</f>
        <v/>
      </c>
      <c r="AB354" s="7">
        <f>IF($D354="","",AA354-Q354)</f>
        <v/>
      </c>
      <c r="AD354">
        <f>IF($D354="","",IF($AP354=1,0,IF($AO354=1,Settings!$C$6,Settings!$C$7))*100)</f>
        <v/>
      </c>
      <c r="AH354" s="7" t="n"/>
      <c r="AK354" s="11" t="n"/>
      <c r="AM354">
        <f>IF($D354="","",IF(COUNTIF($D$2:$D354,$D354)=1,1,0))</f>
        <v/>
      </c>
      <c r="AN354">
        <f>IF($AM354=1,SUMPRODUCT(--($AQ$2:$AQ$1001&lt;$AQ354))+1,"")</f>
        <v/>
      </c>
      <c r="AO354">
        <f>IF($D354="","",IF(OR($U354=TRUE(),$U354="TRUE"),1,0))</f>
        <v/>
      </c>
      <c r="AP354">
        <f>IF($D354="","",IF($AC354="Yes",1,0))</f>
        <v/>
      </c>
      <c r="AQ354">
        <f>IF($AM354=1,IFERROR(VALUE(MID($D354,2,20)),1000000000)+ROW()/100000,"")</f>
        <v/>
      </c>
    </row>
    <row r="355">
      <c r="G355" s="11" t="n"/>
      <c r="Q355" s="7">
        <f>IF($D355="","",P355*Y355/100)</f>
        <v/>
      </c>
      <c r="R355" s="7" t="n"/>
      <c r="X355" s="7" t="n"/>
      <c r="Y355" s="7" t="n"/>
      <c r="Z355" s="7">
        <f>IF($D355="","",Y355*AD355/100)</f>
        <v/>
      </c>
      <c r="AA355" s="7">
        <f>IF($D355="","",Y355-Z355)</f>
        <v/>
      </c>
      <c r="AB355" s="7">
        <f>IF($D355="","",AA355-Q355)</f>
        <v/>
      </c>
      <c r="AD355">
        <f>IF($D355="","",IF($AP355=1,0,IF($AO355=1,Settings!$C$6,Settings!$C$7))*100)</f>
        <v/>
      </c>
      <c r="AH355" s="7" t="n"/>
      <c r="AK355" s="11" t="n"/>
      <c r="AM355">
        <f>IF($D355="","",IF(COUNTIF($D$2:$D355,$D355)=1,1,0))</f>
        <v/>
      </c>
      <c r="AN355">
        <f>IF($AM355=1,SUMPRODUCT(--($AQ$2:$AQ$1001&lt;$AQ355))+1,"")</f>
        <v/>
      </c>
      <c r="AO355">
        <f>IF($D355="","",IF(OR($U355=TRUE(),$U355="TRUE"),1,0))</f>
        <v/>
      </c>
      <c r="AP355">
        <f>IF($D355="","",IF($AC355="Yes",1,0))</f>
        <v/>
      </c>
      <c r="AQ355">
        <f>IF($AM355=1,IFERROR(VALUE(MID($D355,2,20)),1000000000)+ROW()/100000,"")</f>
        <v/>
      </c>
    </row>
    <row r="356">
      <c r="G356" s="11" t="n"/>
      <c r="Q356" s="7">
        <f>IF($D356="","",P356*Y356/100)</f>
        <v/>
      </c>
      <c r="R356" s="7" t="n"/>
      <c r="X356" s="7" t="n"/>
      <c r="Y356" s="7" t="n"/>
      <c r="Z356" s="7">
        <f>IF($D356="","",Y356*AD356/100)</f>
        <v/>
      </c>
      <c r="AA356" s="7">
        <f>IF($D356="","",Y356-Z356)</f>
        <v/>
      </c>
      <c r="AB356" s="7">
        <f>IF($D356="","",AA356-Q356)</f>
        <v/>
      </c>
      <c r="AD356">
        <f>IF($D356="","",IF($AP356=1,0,IF($AO356=1,Settings!$C$6,Settings!$C$7))*100)</f>
        <v/>
      </c>
      <c r="AH356" s="7" t="n"/>
      <c r="AK356" s="11" t="n"/>
      <c r="AM356">
        <f>IF($D356="","",IF(COUNTIF($D$2:$D356,$D356)=1,1,0))</f>
        <v/>
      </c>
      <c r="AN356">
        <f>IF($AM356=1,SUMPRODUCT(--($AQ$2:$AQ$1001&lt;$AQ356))+1,"")</f>
        <v/>
      </c>
      <c r="AO356">
        <f>IF($D356="","",IF(OR($U356=TRUE(),$U356="TRUE"),1,0))</f>
        <v/>
      </c>
      <c r="AP356">
        <f>IF($D356="","",IF($AC356="Yes",1,0))</f>
        <v/>
      </c>
      <c r="AQ356">
        <f>IF($AM356=1,IFERROR(VALUE(MID($D356,2,20)),1000000000)+ROW()/100000,"")</f>
        <v/>
      </c>
    </row>
    <row r="357">
      <c r="G357" s="11" t="n"/>
      <c r="Q357" s="7">
        <f>IF($D357="","",P357*Y357/100)</f>
        <v/>
      </c>
      <c r="R357" s="7" t="n"/>
      <c r="X357" s="7" t="n"/>
      <c r="Y357" s="7" t="n"/>
      <c r="Z357" s="7">
        <f>IF($D357="","",Y357*AD357/100)</f>
        <v/>
      </c>
      <c r="AA357" s="7">
        <f>IF($D357="","",Y357-Z357)</f>
        <v/>
      </c>
      <c r="AB357" s="7">
        <f>IF($D357="","",AA357-Q357)</f>
        <v/>
      </c>
      <c r="AD357">
        <f>IF($D357="","",IF($AP357=1,0,IF($AO357=1,Settings!$C$6,Settings!$C$7))*100)</f>
        <v/>
      </c>
      <c r="AH357" s="7" t="n"/>
      <c r="AK357" s="11" t="n"/>
      <c r="AM357">
        <f>IF($D357="","",IF(COUNTIF($D$2:$D357,$D357)=1,1,0))</f>
        <v/>
      </c>
      <c r="AN357">
        <f>IF($AM357=1,SUMPRODUCT(--($AQ$2:$AQ$1001&lt;$AQ357))+1,"")</f>
        <v/>
      </c>
      <c r="AO357">
        <f>IF($D357="","",IF(OR($U357=TRUE(),$U357="TRUE"),1,0))</f>
        <v/>
      </c>
      <c r="AP357">
        <f>IF($D357="","",IF($AC357="Yes",1,0))</f>
        <v/>
      </c>
      <c r="AQ357">
        <f>IF($AM357=1,IFERROR(VALUE(MID($D357,2,20)),1000000000)+ROW()/100000,"")</f>
        <v/>
      </c>
    </row>
    <row r="358">
      <c r="G358" s="11" t="n"/>
      <c r="Q358" s="7">
        <f>IF($D358="","",P358*Y358/100)</f>
        <v/>
      </c>
      <c r="R358" s="7" t="n"/>
      <c r="X358" s="7" t="n"/>
      <c r="Y358" s="7" t="n"/>
      <c r="Z358" s="7">
        <f>IF($D358="","",Y358*AD358/100)</f>
        <v/>
      </c>
      <c r="AA358" s="7">
        <f>IF($D358="","",Y358-Z358)</f>
        <v/>
      </c>
      <c r="AB358" s="7">
        <f>IF($D358="","",AA358-Q358)</f>
        <v/>
      </c>
      <c r="AD358">
        <f>IF($D358="","",IF($AP358=1,0,IF($AO358=1,Settings!$C$6,Settings!$C$7))*100)</f>
        <v/>
      </c>
      <c r="AH358" s="7" t="n"/>
      <c r="AK358" s="11" t="n"/>
      <c r="AM358">
        <f>IF($D358="","",IF(COUNTIF($D$2:$D358,$D358)=1,1,0))</f>
        <v/>
      </c>
      <c r="AN358">
        <f>IF($AM358=1,SUMPRODUCT(--($AQ$2:$AQ$1001&lt;$AQ358))+1,"")</f>
        <v/>
      </c>
      <c r="AO358">
        <f>IF($D358="","",IF(OR($U358=TRUE(),$U358="TRUE"),1,0))</f>
        <v/>
      </c>
      <c r="AP358">
        <f>IF($D358="","",IF($AC358="Yes",1,0))</f>
        <v/>
      </c>
      <c r="AQ358">
        <f>IF($AM358=1,IFERROR(VALUE(MID($D358,2,20)),1000000000)+ROW()/100000,"")</f>
        <v/>
      </c>
    </row>
    <row r="359">
      <c r="G359" s="11" t="n"/>
      <c r="Q359" s="7">
        <f>IF($D359="","",P359*Y359/100)</f>
        <v/>
      </c>
      <c r="R359" s="7" t="n"/>
      <c r="X359" s="7" t="n"/>
      <c r="Y359" s="7" t="n"/>
      <c r="Z359" s="7">
        <f>IF($D359="","",Y359*AD359/100)</f>
        <v/>
      </c>
      <c r="AA359" s="7">
        <f>IF($D359="","",Y359-Z359)</f>
        <v/>
      </c>
      <c r="AB359" s="7">
        <f>IF($D359="","",AA359-Q359)</f>
        <v/>
      </c>
      <c r="AD359">
        <f>IF($D359="","",IF($AP359=1,0,IF($AO359=1,Settings!$C$6,Settings!$C$7))*100)</f>
        <v/>
      </c>
      <c r="AH359" s="7" t="n"/>
      <c r="AK359" s="11" t="n"/>
      <c r="AM359">
        <f>IF($D359="","",IF(COUNTIF($D$2:$D359,$D359)=1,1,0))</f>
        <v/>
      </c>
      <c r="AN359">
        <f>IF($AM359=1,SUMPRODUCT(--($AQ$2:$AQ$1001&lt;$AQ359))+1,"")</f>
        <v/>
      </c>
      <c r="AO359">
        <f>IF($D359="","",IF(OR($U359=TRUE(),$U359="TRUE"),1,0))</f>
        <v/>
      </c>
      <c r="AP359">
        <f>IF($D359="","",IF($AC359="Yes",1,0))</f>
        <v/>
      </c>
      <c r="AQ359">
        <f>IF($AM359=1,IFERROR(VALUE(MID($D359,2,20)),1000000000)+ROW()/100000,"")</f>
        <v/>
      </c>
    </row>
    <row r="360">
      <c r="G360" s="11" t="n"/>
      <c r="Q360" s="7">
        <f>IF($D360="","",P360*Y360/100)</f>
        <v/>
      </c>
      <c r="R360" s="7" t="n"/>
      <c r="X360" s="7" t="n"/>
      <c r="Y360" s="7" t="n"/>
      <c r="Z360" s="7">
        <f>IF($D360="","",Y360*AD360/100)</f>
        <v/>
      </c>
      <c r="AA360" s="7">
        <f>IF($D360="","",Y360-Z360)</f>
        <v/>
      </c>
      <c r="AB360" s="7">
        <f>IF($D360="","",AA360-Q360)</f>
        <v/>
      </c>
      <c r="AD360">
        <f>IF($D360="","",IF($AP360=1,0,IF($AO360=1,Settings!$C$6,Settings!$C$7))*100)</f>
        <v/>
      </c>
      <c r="AH360" s="7" t="n"/>
      <c r="AK360" s="11" t="n"/>
      <c r="AM360">
        <f>IF($D360="","",IF(COUNTIF($D$2:$D360,$D360)=1,1,0))</f>
        <v/>
      </c>
      <c r="AN360">
        <f>IF($AM360=1,SUMPRODUCT(--($AQ$2:$AQ$1001&lt;$AQ360))+1,"")</f>
        <v/>
      </c>
      <c r="AO360">
        <f>IF($D360="","",IF(OR($U360=TRUE(),$U360="TRUE"),1,0))</f>
        <v/>
      </c>
      <c r="AP360">
        <f>IF($D360="","",IF($AC360="Yes",1,0))</f>
        <v/>
      </c>
      <c r="AQ360">
        <f>IF($AM360=1,IFERROR(VALUE(MID($D360,2,20)),1000000000)+ROW()/100000,"")</f>
        <v/>
      </c>
    </row>
    <row r="361">
      <c r="G361" s="11" t="n"/>
      <c r="Q361" s="7">
        <f>IF($D361="","",P361*Y361/100)</f>
        <v/>
      </c>
      <c r="R361" s="7" t="n"/>
      <c r="X361" s="7" t="n"/>
      <c r="Y361" s="7" t="n"/>
      <c r="Z361" s="7">
        <f>IF($D361="","",Y361*AD361/100)</f>
        <v/>
      </c>
      <c r="AA361" s="7">
        <f>IF($D361="","",Y361-Z361)</f>
        <v/>
      </c>
      <c r="AB361" s="7">
        <f>IF($D361="","",AA361-Q361)</f>
        <v/>
      </c>
      <c r="AD361">
        <f>IF($D361="","",IF($AP361=1,0,IF($AO361=1,Settings!$C$6,Settings!$C$7))*100)</f>
        <v/>
      </c>
      <c r="AH361" s="7" t="n"/>
      <c r="AK361" s="11" t="n"/>
      <c r="AM361">
        <f>IF($D361="","",IF(COUNTIF($D$2:$D361,$D361)=1,1,0))</f>
        <v/>
      </c>
      <c r="AN361">
        <f>IF($AM361=1,SUMPRODUCT(--($AQ$2:$AQ$1001&lt;$AQ361))+1,"")</f>
        <v/>
      </c>
      <c r="AO361">
        <f>IF($D361="","",IF(OR($U361=TRUE(),$U361="TRUE"),1,0))</f>
        <v/>
      </c>
      <c r="AP361">
        <f>IF($D361="","",IF($AC361="Yes",1,0))</f>
        <v/>
      </c>
      <c r="AQ361">
        <f>IF($AM361=1,IFERROR(VALUE(MID($D361,2,20)),1000000000)+ROW()/100000,"")</f>
        <v/>
      </c>
    </row>
    <row r="362">
      <c r="G362" s="11" t="n"/>
      <c r="Q362" s="7">
        <f>IF($D362="","",P362*Y362/100)</f>
        <v/>
      </c>
      <c r="R362" s="7" t="n"/>
      <c r="X362" s="7" t="n"/>
      <c r="Y362" s="7" t="n"/>
      <c r="Z362" s="7">
        <f>IF($D362="","",Y362*AD362/100)</f>
        <v/>
      </c>
      <c r="AA362" s="7">
        <f>IF($D362="","",Y362-Z362)</f>
        <v/>
      </c>
      <c r="AB362" s="7">
        <f>IF($D362="","",AA362-Q362)</f>
        <v/>
      </c>
      <c r="AD362">
        <f>IF($D362="","",IF($AP362=1,0,IF($AO362=1,Settings!$C$6,Settings!$C$7))*100)</f>
        <v/>
      </c>
      <c r="AH362" s="7" t="n"/>
      <c r="AK362" s="11" t="n"/>
      <c r="AM362">
        <f>IF($D362="","",IF(COUNTIF($D$2:$D362,$D362)=1,1,0))</f>
        <v/>
      </c>
      <c r="AN362">
        <f>IF($AM362=1,SUMPRODUCT(--($AQ$2:$AQ$1001&lt;$AQ362))+1,"")</f>
        <v/>
      </c>
      <c r="AO362">
        <f>IF($D362="","",IF(OR($U362=TRUE(),$U362="TRUE"),1,0))</f>
        <v/>
      </c>
      <c r="AP362">
        <f>IF($D362="","",IF($AC362="Yes",1,0))</f>
        <v/>
      </c>
      <c r="AQ362">
        <f>IF($AM362=1,IFERROR(VALUE(MID($D362,2,20)),1000000000)+ROW()/100000,"")</f>
        <v/>
      </c>
    </row>
    <row r="363">
      <c r="G363" s="11" t="n"/>
      <c r="Q363" s="7">
        <f>IF($D363="","",P363*Y363/100)</f>
        <v/>
      </c>
      <c r="R363" s="7" t="n"/>
      <c r="X363" s="7" t="n"/>
      <c r="Y363" s="7" t="n"/>
      <c r="Z363" s="7">
        <f>IF($D363="","",Y363*AD363/100)</f>
        <v/>
      </c>
      <c r="AA363" s="7">
        <f>IF($D363="","",Y363-Z363)</f>
        <v/>
      </c>
      <c r="AB363" s="7">
        <f>IF($D363="","",AA363-Q363)</f>
        <v/>
      </c>
      <c r="AD363">
        <f>IF($D363="","",IF($AP363=1,0,IF($AO363=1,Settings!$C$6,Settings!$C$7))*100)</f>
        <v/>
      </c>
      <c r="AH363" s="7" t="n"/>
      <c r="AK363" s="11" t="n"/>
      <c r="AM363">
        <f>IF($D363="","",IF(COUNTIF($D$2:$D363,$D363)=1,1,0))</f>
        <v/>
      </c>
      <c r="AN363">
        <f>IF($AM363=1,SUMPRODUCT(--($AQ$2:$AQ$1001&lt;$AQ363))+1,"")</f>
        <v/>
      </c>
      <c r="AO363">
        <f>IF($D363="","",IF(OR($U363=TRUE(),$U363="TRUE"),1,0))</f>
        <v/>
      </c>
      <c r="AP363">
        <f>IF($D363="","",IF($AC363="Yes",1,0))</f>
        <v/>
      </c>
      <c r="AQ363">
        <f>IF($AM363=1,IFERROR(VALUE(MID($D363,2,20)),1000000000)+ROW()/100000,"")</f>
        <v/>
      </c>
    </row>
    <row r="364">
      <c r="G364" s="11" t="n"/>
      <c r="Q364" s="7">
        <f>IF($D364="","",P364*Y364/100)</f>
        <v/>
      </c>
      <c r="R364" s="7" t="n"/>
      <c r="X364" s="7" t="n"/>
      <c r="Y364" s="7" t="n"/>
      <c r="Z364" s="7">
        <f>IF($D364="","",Y364*AD364/100)</f>
        <v/>
      </c>
      <c r="AA364" s="7">
        <f>IF($D364="","",Y364-Z364)</f>
        <v/>
      </c>
      <c r="AB364" s="7">
        <f>IF($D364="","",AA364-Q364)</f>
        <v/>
      </c>
      <c r="AD364">
        <f>IF($D364="","",IF($AP364=1,0,IF($AO364=1,Settings!$C$6,Settings!$C$7))*100)</f>
        <v/>
      </c>
      <c r="AH364" s="7" t="n"/>
      <c r="AK364" s="11" t="n"/>
      <c r="AM364">
        <f>IF($D364="","",IF(COUNTIF($D$2:$D364,$D364)=1,1,0))</f>
        <v/>
      </c>
      <c r="AN364">
        <f>IF($AM364=1,SUMPRODUCT(--($AQ$2:$AQ$1001&lt;$AQ364))+1,"")</f>
        <v/>
      </c>
      <c r="AO364">
        <f>IF($D364="","",IF(OR($U364=TRUE(),$U364="TRUE"),1,0))</f>
        <v/>
      </c>
      <c r="AP364">
        <f>IF($D364="","",IF($AC364="Yes",1,0))</f>
        <v/>
      </c>
      <c r="AQ364">
        <f>IF($AM364=1,IFERROR(VALUE(MID($D364,2,20)),1000000000)+ROW()/100000,"")</f>
        <v/>
      </c>
    </row>
    <row r="365">
      <c r="G365" s="11" t="n"/>
      <c r="Q365" s="7">
        <f>IF($D365="","",P365*Y365/100)</f>
        <v/>
      </c>
      <c r="R365" s="7" t="n"/>
      <c r="X365" s="7" t="n"/>
      <c r="Y365" s="7" t="n"/>
      <c r="Z365" s="7">
        <f>IF($D365="","",Y365*AD365/100)</f>
        <v/>
      </c>
      <c r="AA365" s="7">
        <f>IF($D365="","",Y365-Z365)</f>
        <v/>
      </c>
      <c r="AB365" s="7">
        <f>IF($D365="","",AA365-Q365)</f>
        <v/>
      </c>
      <c r="AD365">
        <f>IF($D365="","",IF($AP365=1,0,IF($AO365=1,Settings!$C$6,Settings!$C$7))*100)</f>
        <v/>
      </c>
      <c r="AH365" s="7" t="n"/>
      <c r="AK365" s="11" t="n"/>
      <c r="AM365">
        <f>IF($D365="","",IF(COUNTIF($D$2:$D365,$D365)=1,1,0))</f>
        <v/>
      </c>
      <c r="AN365">
        <f>IF($AM365=1,SUMPRODUCT(--($AQ$2:$AQ$1001&lt;$AQ365))+1,"")</f>
        <v/>
      </c>
      <c r="AO365">
        <f>IF($D365="","",IF(OR($U365=TRUE(),$U365="TRUE"),1,0))</f>
        <v/>
      </c>
      <c r="AP365">
        <f>IF($D365="","",IF($AC365="Yes",1,0))</f>
        <v/>
      </c>
      <c r="AQ365">
        <f>IF($AM365=1,IFERROR(VALUE(MID($D365,2,20)),1000000000)+ROW()/100000,"")</f>
        <v/>
      </c>
    </row>
    <row r="366">
      <c r="G366" s="11" t="n"/>
      <c r="Q366" s="7">
        <f>IF($D366="","",P366*Y366/100)</f>
        <v/>
      </c>
      <c r="R366" s="7" t="n"/>
      <c r="X366" s="7" t="n"/>
      <c r="Y366" s="7" t="n"/>
      <c r="Z366" s="7">
        <f>IF($D366="","",Y366*AD366/100)</f>
        <v/>
      </c>
      <c r="AA366" s="7">
        <f>IF($D366="","",Y366-Z366)</f>
        <v/>
      </c>
      <c r="AB366" s="7">
        <f>IF($D366="","",AA366-Q366)</f>
        <v/>
      </c>
      <c r="AD366">
        <f>IF($D366="","",IF($AP366=1,0,IF($AO366=1,Settings!$C$6,Settings!$C$7))*100)</f>
        <v/>
      </c>
      <c r="AH366" s="7" t="n"/>
      <c r="AK366" s="11" t="n"/>
      <c r="AM366">
        <f>IF($D366="","",IF(COUNTIF($D$2:$D366,$D366)=1,1,0))</f>
        <v/>
      </c>
      <c r="AN366">
        <f>IF($AM366=1,SUMPRODUCT(--($AQ$2:$AQ$1001&lt;$AQ366))+1,"")</f>
        <v/>
      </c>
      <c r="AO366">
        <f>IF($D366="","",IF(OR($U366=TRUE(),$U366="TRUE"),1,0))</f>
        <v/>
      </c>
      <c r="AP366">
        <f>IF($D366="","",IF($AC366="Yes",1,0))</f>
        <v/>
      </c>
      <c r="AQ366">
        <f>IF($AM366=1,IFERROR(VALUE(MID($D366,2,20)),1000000000)+ROW()/100000,"")</f>
        <v/>
      </c>
    </row>
    <row r="367">
      <c r="G367" s="11" t="n"/>
      <c r="Q367" s="7">
        <f>IF($D367="","",P367*Y367/100)</f>
        <v/>
      </c>
      <c r="R367" s="7" t="n"/>
      <c r="X367" s="7" t="n"/>
      <c r="Y367" s="7" t="n"/>
      <c r="Z367" s="7">
        <f>IF($D367="","",Y367*AD367/100)</f>
        <v/>
      </c>
      <c r="AA367" s="7">
        <f>IF($D367="","",Y367-Z367)</f>
        <v/>
      </c>
      <c r="AB367" s="7">
        <f>IF($D367="","",AA367-Q367)</f>
        <v/>
      </c>
      <c r="AD367">
        <f>IF($D367="","",IF($AP367=1,0,IF($AO367=1,Settings!$C$6,Settings!$C$7))*100)</f>
        <v/>
      </c>
      <c r="AH367" s="7" t="n"/>
      <c r="AK367" s="11" t="n"/>
      <c r="AM367">
        <f>IF($D367="","",IF(COUNTIF($D$2:$D367,$D367)=1,1,0))</f>
        <v/>
      </c>
      <c r="AN367">
        <f>IF($AM367=1,SUMPRODUCT(--($AQ$2:$AQ$1001&lt;$AQ367))+1,"")</f>
        <v/>
      </c>
      <c r="AO367">
        <f>IF($D367="","",IF(OR($U367=TRUE(),$U367="TRUE"),1,0))</f>
        <v/>
      </c>
      <c r="AP367">
        <f>IF($D367="","",IF($AC367="Yes",1,0))</f>
        <v/>
      </c>
      <c r="AQ367">
        <f>IF($AM367=1,IFERROR(VALUE(MID($D367,2,20)),1000000000)+ROW()/100000,"")</f>
        <v/>
      </c>
    </row>
    <row r="368">
      <c r="G368" s="11" t="n"/>
      <c r="Q368" s="7">
        <f>IF($D368="","",P368*Y368/100)</f>
        <v/>
      </c>
      <c r="R368" s="7" t="n"/>
      <c r="X368" s="7" t="n"/>
      <c r="Y368" s="7" t="n"/>
      <c r="Z368" s="7">
        <f>IF($D368="","",Y368*AD368/100)</f>
        <v/>
      </c>
      <c r="AA368" s="7">
        <f>IF($D368="","",Y368-Z368)</f>
        <v/>
      </c>
      <c r="AB368" s="7">
        <f>IF($D368="","",AA368-Q368)</f>
        <v/>
      </c>
      <c r="AD368">
        <f>IF($D368="","",IF($AP368=1,0,IF($AO368=1,Settings!$C$6,Settings!$C$7))*100)</f>
        <v/>
      </c>
      <c r="AH368" s="7" t="n"/>
      <c r="AK368" s="11" t="n"/>
      <c r="AM368">
        <f>IF($D368="","",IF(COUNTIF($D$2:$D368,$D368)=1,1,0))</f>
        <v/>
      </c>
      <c r="AN368">
        <f>IF($AM368=1,SUMPRODUCT(--($AQ$2:$AQ$1001&lt;$AQ368))+1,"")</f>
        <v/>
      </c>
      <c r="AO368">
        <f>IF($D368="","",IF(OR($U368=TRUE(),$U368="TRUE"),1,0))</f>
        <v/>
      </c>
      <c r="AP368">
        <f>IF($D368="","",IF($AC368="Yes",1,0))</f>
        <v/>
      </c>
      <c r="AQ368">
        <f>IF($AM368=1,IFERROR(VALUE(MID($D368,2,20)),1000000000)+ROW()/100000,"")</f>
        <v/>
      </c>
    </row>
    <row r="369">
      <c r="G369" s="11" t="n"/>
      <c r="Q369" s="7">
        <f>IF($D369="","",P369*Y369/100)</f>
        <v/>
      </c>
      <c r="R369" s="7" t="n"/>
      <c r="X369" s="7" t="n"/>
      <c r="Y369" s="7" t="n"/>
      <c r="Z369" s="7">
        <f>IF($D369="","",Y369*AD369/100)</f>
        <v/>
      </c>
      <c r="AA369" s="7">
        <f>IF($D369="","",Y369-Z369)</f>
        <v/>
      </c>
      <c r="AB369" s="7">
        <f>IF($D369="","",AA369-Q369)</f>
        <v/>
      </c>
      <c r="AD369">
        <f>IF($D369="","",IF($AP369=1,0,IF($AO369=1,Settings!$C$6,Settings!$C$7))*100)</f>
        <v/>
      </c>
      <c r="AH369" s="7" t="n"/>
      <c r="AK369" s="11" t="n"/>
      <c r="AM369">
        <f>IF($D369="","",IF(COUNTIF($D$2:$D369,$D369)=1,1,0))</f>
        <v/>
      </c>
      <c r="AN369">
        <f>IF($AM369=1,SUMPRODUCT(--($AQ$2:$AQ$1001&lt;$AQ369))+1,"")</f>
        <v/>
      </c>
      <c r="AO369">
        <f>IF($D369="","",IF(OR($U369=TRUE(),$U369="TRUE"),1,0))</f>
        <v/>
      </c>
      <c r="AP369">
        <f>IF($D369="","",IF($AC369="Yes",1,0))</f>
        <v/>
      </c>
      <c r="AQ369">
        <f>IF($AM369=1,IFERROR(VALUE(MID($D369,2,20)),1000000000)+ROW()/100000,"")</f>
        <v/>
      </c>
    </row>
    <row r="370">
      <c r="G370" s="11" t="n"/>
      <c r="Q370" s="7">
        <f>IF($D370="","",P370*Y370/100)</f>
        <v/>
      </c>
      <c r="R370" s="7" t="n"/>
      <c r="X370" s="7" t="n"/>
      <c r="Y370" s="7" t="n"/>
      <c r="Z370" s="7">
        <f>IF($D370="","",Y370*AD370/100)</f>
        <v/>
      </c>
      <c r="AA370" s="7">
        <f>IF($D370="","",Y370-Z370)</f>
        <v/>
      </c>
      <c r="AB370" s="7">
        <f>IF($D370="","",AA370-Q370)</f>
        <v/>
      </c>
      <c r="AD370">
        <f>IF($D370="","",IF($AP370=1,0,IF($AO370=1,Settings!$C$6,Settings!$C$7))*100)</f>
        <v/>
      </c>
      <c r="AH370" s="7" t="n"/>
      <c r="AK370" s="11" t="n"/>
      <c r="AM370">
        <f>IF($D370="","",IF(COUNTIF($D$2:$D370,$D370)=1,1,0))</f>
        <v/>
      </c>
      <c r="AN370">
        <f>IF($AM370=1,SUMPRODUCT(--($AQ$2:$AQ$1001&lt;$AQ370))+1,"")</f>
        <v/>
      </c>
      <c r="AO370">
        <f>IF($D370="","",IF(OR($U370=TRUE(),$U370="TRUE"),1,0))</f>
        <v/>
      </c>
      <c r="AP370">
        <f>IF($D370="","",IF($AC370="Yes",1,0))</f>
        <v/>
      </c>
      <c r="AQ370">
        <f>IF($AM370=1,IFERROR(VALUE(MID($D370,2,20)),1000000000)+ROW()/100000,"")</f>
        <v/>
      </c>
    </row>
    <row r="371">
      <c r="G371" s="11" t="n"/>
      <c r="Q371" s="7">
        <f>IF($D371="","",P371*Y371/100)</f>
        <v/>
      </c>
      <c r="R371" s="7" t="n"/>
      <c r="X371" s="7" t="n"/>
      <c r="Y371" s="7" t="n"/>
      <c r="Z371" s="7">
        <f>IF($D371="","",Y371*AD371/100)</f>
        <v/>
      </c>
      <c r="AA371" s="7">
        <f>IF($D371="","",Y371-Z371)</f>
        <v/>
      </c>
      <c r="AB371" s="7">
        <f>IF($D371="","",AA371-Q371)</f>
        <v/>
      </c>
      <c r="AD371">
        <f>IF($D371="","",IF($AP371=1,0,IF($AO371=1,Settings!$C$6,Settings!$C$7))*100)</f>
        <v/>
      </c>
      <c r="AH371" s="7" t="n"/>
      <c r="AK371" s="11" t="n"/>
      <c r="AM371">
        <f>IF($D371="","",IF(COUNTIF($D$2:$D371,$D371)=1,1,0))</f>
        <v/>
      </c>
      <c r="AN371">
        <f>IF($AM371=1,SUMPRODUCT(--($AQ$2:$AQ$1001&lt;$AQ371))+1,"")</f>
        <v/>
      </c>
      <c r="AO371">
        <f>IF($D371="","",IF(OR($U371=TRUE(),$U371="TRUE"),1,0))</f>
        <v/>
      </c>
      <c r="AP371">
        <f>IF($D371="","",IF($AC371="Yes",1,0))</f>
        <v/>
      </c>
      <c r="AQ371">
        <f>IF($AM371=1,IFERROR(VALUE(MID($D371,2,20)),1000000000)+ROW()/100000,"")</f>
        <v/>
      </c>
    </row>
    <row r="372">
      <c r="G372" s="11" t="n"/>
      <c r="Q372" s="7">
        <f>IF($D372="","",P372*Y372/100)</f>
        <v/>
      </c>
      <c r="R372" s="7" t="n"/>
      <c r="X372" s="7" t="n"/>
      <c r="Y372" s="7" t="n"/>
      <c r="Z372" s="7">
        <f>IF($D372="","",Y372*AD372/100)</f>
        <v/>
      </c>
      <c r="AA372" s="7">
        <f>IF($D372="","",Y372-Z372)</f>
        <v/>
      </c>
      <c r="AB372" s="7">
        <f>IF($D372="","",AA372-Q372)</f>
        <v/>
      </c>
      <c r="AD372">
        <f>IF($D372="","",IF($AP372=1,0,IF($AO372=1,Settings!$C$6,Settings!$C$7))*100)</f>
        <v/>
      </c>
      <c r="AH372" s="7" t="n"/>
      <c r="AK372" s="11" t="n"/>
      <c r="AM372">
        <f>IF($D372="","",IF(COUNTIF($D$2:$D372,$D372)=1,1,0))</f>
        <v/>
      </c>
      <c r="AN372">
        <f>IF($AM372=1,SUMPRODUCT(--($AQ$2:$AQ$1001&lt;$AQ372))+1,"")</f>
        <v/>
      </c>
      <c r="AO372">
        <f>IF($D372="","",IF(OR($U372=TRUE(),$U372="TRUE"),1,0))</f>
        <v/>
      </c>
      <c r="AP372">
        <f>IF($D372="","",IF($AC372="Yes",1,0))</f>
        <v/>
      </c>
      <c r="AQ372">
        <f>IF($AM372=1,IFERROR(VALUE(MID($D372,2,20)),1000000000)+ROW()/100000,"")</f>
        <v/>
      </c>
    </row>
    <row r="373">
      <c r="G373" s="11" t="n"/>
      <c r="Q373" s="7">
        <f>IF($D373="","",P373*Y373/100)</f>
        <v/>
      </c>
      <c r="R373" s="7" t="n"/>
      <c r="X373" s="7" t="n"/>
      <c r="Y373" s="7" t="n"/>
      <c r="Z373" s="7">
        <f>IF($D373="","",Y373*AD373/100)</f>
        <v/>
      </c>
      <c r="AA373" s="7">
        <f>IF($D373="","",Y373-Z373)</f>
        <v/>
      </c>
      <c r="AB373" s="7">
        <f>IF($D373="","",AA373-Q373)</f>
        <v/>
      </c>
      <c r="AD373">
        <f>IF($D373="","",IF($AP373=1,0,IF($AO373=1,Settings!$C$6,Settings!$C$7))*100)</f>
        <v/>
      </c>
      <c r="AH373" s="7" t="n"/>
      <c r="AK373" s="11" t="n"/>
      <c r="AM373">
        <f>IF($D373="","",IF(COUNTIF($D$2:$D373,$D373)=1,1,0))</f>
        <v/>
      </c>
      <c r="AN373">
        <f>IF($AM373=1,SUMPRODUCT(--($AQ$2:$AQ$1001&lt;$AQ373))+1,"")</f>
        <v/>
      </c>
      <c r="AO373">
        <f>IF($D373="","",IF(OR($U373=TRUE(),$U373="TRUE"),1,0))</f>
        <v/>
      </c>
      <c r="AP373">
        <f>IF($D373="","",IF($AC373="Yes",1,0))</f>
        <v/>
      </c>
      <c r="AQ373">
        <f>IF($AM373=1,IFERROR(VALUE(MID($D373,2,20)),1000000000)+ROW()/100000,"")</f>
        <v/>
      </c>
    </row>
    <row r="374">
      <c r="G374" s="11" t="n"/>
      <c r="Q374" s="7">
        <f>IF($D374="","",P374*Y374/100)</f>
        <v/>
      </c>
      <c r="R374" s="7" t="n"/>
      <c r="X374" s="7" t="n"/>
      <c r="Y374" s="7" t="n"/>
      <c r="Z374" s="7">
        <f>IF($D374="","",Y374*AD374/100)</f>
        <v/>
      </c>
      <c r="AA374" s="7">
        <f>IF($D374="","",Y374-Z374)</f>
        <v/>
      </c>
      <c r="AB374" s="7">
        <f>IF($D374="","",AA374-Q374)</f>
        <v/>
      </c>
      <c r="AD374">
        <f>IF($D374="","",IF($AP374=1,0,IF($AO374=1,Settings!$C$6,Settings!$C$7))*100)</f>
        <v/>
      </c>
      <c r="AH374" s="7" t="n"/>
      <c r="AK374" s="11" t="n"/>
      <c r="AM374">
        <f>IF($D374="","",IF(COUNTIF($D$2:$D374,$D374)=1,1,0))</f>
        <v/>
      </c>
      <c r="AN374">
        <f>IF($AM374=1,SUMPRODUCT(--($AQ$2:$AQ$1001&lt;$AQ374))+1,"")</f>
        <v/>
      </c>
      <c r="AO374">
        <f>IF($D374="","",IF(OR($U374=TRUE(),$U374="TRUE"),1,0))</f>
        <v/>
      </c>
      <c r="AP374">
        <f>IF($D374="","",IF($AC374="Yes",1,0))</f>
        <v/>
      </c>
      <c r="AQ374">
        <f>IF($AM374=1,IFERROR(VALUE(MID($D374,2,20)),1000000000)+ROW()/100000,"")</f>
        <v/>
      </c>
    </row>
    <row r="375">
      <c r="G375" s="11" t="n"/>
      <c r="Q375" s="7">
        <f>IF($D375="","",P375*Y375/100)</f>
        <v/>
      </c>
      <c r="R375" s="7" t="n"/>
      <c r="X375" s="7" t="n"/>
      <c r="Y375" s="7" t="n"/>
      <c r="Z375" s="7">
        <f>IF($D375="","",Y375*AD375/100)</f>
        <v/>
      </c>
      <c r="AA375" s="7">
        <f>IF($D375="","",Y375-Z375)</f>
        <v/>
      </c>
      <c r="AB375" s="7">
        <f>IF($D375="","",AA375-Q375)</f>
        <v/>
      </c>
      <c r="AD375">
        <f>IF($D375="","",IF($AP375=1,0,IF($AO375=1,Settings!$C$6,Settings!$C$7))*100)</f>
        <v/>
      </c>
      <c r="AH375" s="7" t="n"/>
      <c r="AK375" s="11" t="n"/>
      <c r="AM375">
        <f>IF($D375="","",IF(COUNTIF($D$2:$D375,$D375)=1,1,0))</f>
        <v/>
      </c>
      <c r="AN375">
        <f>IF($AM375=1,SUMPRODUCT(--($AQ$2:$AQ$1001&lt;$AQ375))+1,"")</f>
        <v/>
      </c>
      <c r="AO375">
        <f>IF($D375="","",IF(OR($U375=TRUE(),$U375="TRUE"),1,0))</f>
        <v/>
      </c>
      <c r="AP375">
        <f>IF($D375="","",IF($AC375="Yes",1,0))</f>
        <v/>
      </c>
      <c r="AQ375">
        <f>IF($AM375=1,IFERROR(VALUE(MID($D375,2,20)),1000000000)+ROW()/100000,"")</f>
        <v/>
      </c>
    </row>
    <row r="376">
      <c r="G376" s="11" t="n"/>
      <c r="Q376" s="7">
        <f>IF($D376="","",P376*Y376/100)</f>
        <v/>
      </c>
      <c r="R376" s="7" t="n"/>
      <c r="X376" s="7" t="n"/>
      <c r="Y376" s="7" t="n"/>
      <c r="Z376" s="7">
        <f>IF($D376="","",Y376*AD376/100)</f>
        <v/>
      </c>
      <c r="AA376" s="7">
        <f>IF($D376="","",Y376-Z376)</f>
        <v/>
      </c>
      <c r="AB376" s="7">
        <f>IF($D376="","",AA376-Q376)</f>
        <v/>
      </c>
      <c r="AD376">
        <f>IF($D376="","",IF($AP376=1,0,IF($AO376=1,Settings!$C$6,Settings!$C$7))*100)</f>
        <v/>
      </c>
      <c r="AH376" s="7" t="n"/>
      <c r="AK376" s="11" t="n"/>
      <c r="AM376">
        <f>IF($D376="","",IF(COUNTIF($D$2:$D376,$D376)=1,1,0))</f>
        <v/>
      </c>
      <c r="AN376">
        <f>IF($AM376=1,SUMPRODUCT(--($AQ$2:$AQ$1001&lt;$AQ376))+1,"")</f>
        <v/>
      </c>
      <c r="AO376">
        <f>IF($D376="","",IF(OR($U376=TRUE(),$U376="TRUE"),1,0))</f>
        <v/>
      </c>
      <c r="AP376">
        <f>IF($D376="","",IF($AC376="Yes",1,0))</f>
        <v/>
      </c>
      <c r="AQ376">
        <f>IF($AM376=1,IFERROR(VALUE(MID($D376,2,20)),1000000000)+ROW()/100000,"")</f>
        <v/>
      </c>
    </row>
    <row r="377">
      <c r="G377" s="11" t="n"/>
      <c r="Q377" s="7">
        <f>IF($D377="","",P377*Y377/100)</f>
        <v/>
      </c>
      <c r="R377" s="7" t="n"/>
      <c r="X377" s="7" t="n"/>
      <c r="Y377" s="7" t="n"/>
      <c r="Z377" s="7">
        <f>IF($D377="","",Y377*AD377/100)</f>
        <v/>
      </c>
      <c r="AA377" s="7">
        <f>IF($D377="","",Y377-Z377)</f>
        <v/>
      </c>
      <c r="AB377" s="7">
        <f>IF($D377="","",AA377-Q377)</f>
        <v/>
      </c>
      <c r="AD377">
        <f>IF($D377="","",IF($AP377=1,0,IF($AO377=1,Settings!$C$6,Settings!$C$7))*100)</f>
        <v/>
      </c>
      <c r="AH377" s="7" t="n"/>
      <c r="AK377" s="11" t="n"/>
      <c r="AM377">
        <f>IF($D377="","",IF(COUNTIF($D$2:$D377,$D377)=1,1,0))</f>
        <v/>
      </c>
      <c r="AN377">
        <f>IF($AM377=1,SUMPRODUCT(--($AQ$2:$AQ$1001&lt;$AQ377))+1,"")</f>
        <v/>
      </c>
      <c r="AO377">
        <f>IF($D377="","",IF(OR($U377=TRUE(),$U377="TRUE"),1,0))</f>
        <v/>
      </c>
      <c r="AP377">
        <f>IF($D377="","",IF($AC377="Yes",1,0))</f>
        <v/>
      </c>
      <c r="AQ377">
        <f>IF($AM377=1,IFERROR(VALUE(MID($D377,2,20)),1000000000)+ROW()/100000,"")</f>
        <v/>
      </c>
    </row>
    <row r="378">
      <c r="G378" s="11" t="n"/>
      <c r="Q378" s="7">
        <f>IF($D378="","",P378*Y378/100)</f>
        <v/>
      </c>
      <c r="R378" s="7" t="n"/>
      <c r="X378" s="7" t="n"/>
      <c r="Y378" s="7" t="n"/>
      <c r="Z378" s="7">
        <f>IF($D378="","",Y378*AD378/100)</f>
        <v/>
      </c>
      <c r="AA378" s="7">
        <f>IF($D378="","",Y378-Z378)</f>
        <v/>
      </c>
      <c r="AB378" s="7">
        <f>IF($D378="","",AA378-Q378)</f>
        <v/>
      </c>
      <c r="AD378">
        <f>IF($D378="","",IF($AP378=1,0,IF($AO378=1,Settings!$C$6,Settings!$C$7))*100)</f>
        <v/>
      </c>
      <c r="AH378" s="7" t="n"/>
      <c r="AK378" s="11" t="n"/>
      <c r="AM378">
        <f>IF($D378="","",IF(COUNTIF($D$2:$D378,$D378)=1,1,0))</f>
        <v/>
      </c>
      <c r="AN378">
        <f>IF($AM378=1,SUMPRODUCT(--($AQ$2:$AQ$1001&lt;$AQ378))+1,"")</f>
        <v/>
      </c>
      <c r="AO378">
        <f>IF($D378="","",IF(OR($U378=TRUE(),$U378="TRUE"),1,0))</f>
        <v/>
      </c>
      <c r="AP378">
        <f>IF($D378="","",IF($AC378="Yes",1,0))</f>
        <v/>
      </c>
      <c r="AQ378">
        <f>IF($AM378=1,IFERROR(VALUE(MID($D378,2,20)),1000000000)+ROW()/100000,"")</f>
        <v/>
      </c>
    </row>
    <row r="379">
      <c r="G379" s="11" t="n"/>
      <c r="Q379" s="7">
        <f>IF($D379="","",P379*Y379/100)</f>
        <v/>
      </c>
      <c r="R379" s="7" t="n"/>
      <c r="X379" s="7" t="n"/>
      <c r="Y379" s="7" t="n"/>
      <c r="Z379" s="7">
        <f>IF($D379="","",Y379*AD379/100)</f>
        <v/>
      </c>
      <c r="AA379" s="7">
        <f>IF($D379="","",Y379-Z379)</f>
        <v/>
      </c>
      <c r="AB379" s="7">
        <f>IF($D379="","",AA379-Q379)</f>
        <v/>
      </c>
      <c r="AD379">
        <f>IF($D379="","",IF($AP379=1,0,IF($AO379=1,Settings!$C$6,Settings!$C$7))*100)</f>
        <v/>
      </c>
      <c r="AH379" s="7" t="n"/>
      <c r="AK379" s="11" t="n"/>
      <c r="AM379">
        <f>IF($D379="","",IF(COUNTIF($D$2:$D379,$D379)=1,1,0))</f>
        <v/>
      </c>
      <c r="AN379">
        <f>IF($AM379=1,SUMPRODUCT(--($AQ$2:$AQ$1001&lt;$AQ379))+1,"")</f>
        <v/>
      </c>
      <c r="AO379">
        <f>IF($D379="","",IF(OR($U379=TRUE(),$U379="TRUE"),1,0))</f>
        <v/>
      </c>
      <c r="AP379">
        <f>IF($D379="","",IF($AC379="Yes",1,0))</f>
        <v/>
      </c>
      <c r="AQ379">
        <f>IF($AM379=1,IFERROR(VALUE(MID($D379,2,20)),1000000000)+ROW()/100000,"")</f>
        <v/>
      </c>
    </row>
    <row r="380">
      <c r="G380" s="11" t="n"/>
      <c r="Q380" s="7">
        <f>IF($D380="","",P380*Y380/100)</f>
        <v/>
      </c>
      <c r="R380" s="7" t="n"/>
      <c r="X380" s="7" t="n"/>
      <c r="Y380" s="7" t="n"/>
      <c r="Z380" s="7">
        <f>IF($D380="","",Y380*AD380/100)</f>
        <v/>
      </c>
      <c r="AA380" s="7">
        <f>IF($D380="","",Y380-Z380)</f>
        <v/>
      </c>
      <c r="AB380" s="7">
        <f>IF($D380="","",AA380-Q380)</f>
        <v/>
      </c>
      <c r="AD380">
        <f>IF($D380="","",IF($AP380=1,0,IF($AO380=1,Settings!$C$6,Settings!$C$7))*100)</f>
        <v/>
      </c>
      <c r="AH380" s="7" t="n"/>
      <c r="AK380" s="11" t="n"/>
      <c r="AM380">
        <f>IF($D380="","",IF(COUNTIF($D$2:$D380,$D380)=1,1,0))</f>
        <v/>
      </c>
      <c r="AN380">
        <f>IF($AM380=1,SUMPRODUCT(--($AQ$2:$AQ$1001&lt;$AQ380))+1,"")</f>
        <v/>
      </c>
      <c r="AO380">
        <f>IF($D380="","",IF(OR($U380=TRUE(),$U380="TRUE"),1,0))</f>
        <v/>
      </c>
      <c r="AP380">
        <f>IF($D380="","",IF($AC380="Yes",1,0))</f>
        <v/>
      </c>
      <c r="AQ380">
        <f>IF($AM380=1,IFERROR(VALUE(MID($D380,2,20)),1000000000)+ROW()/100000,"")</f>
        <v/>
      </c>
    </row>
    <row r="381">
      <c r="G381" s="11" t="n"/>
      <c r="Q381" s="7">
        <f>IF($D381="","",P381*Y381/100)</f>
        <v/>
      </c>
      <c r="R381" s="7" t="n"/>
      <c r="X381" s="7" t="n"/>
      <c r="Y381" s="7" t="n"/>
      <c r="Z381" s="7">
        <f>IF($D381="","",Y381*AD381/100)</f>
        <v/>
      </c>
      <c r="AA381" s="7">
        <f>IF($D381="","",Y381-Z381)</f>
        <v/>
      </c>
      <c r="AB381" s="7">
        <f>IF($D381="","",AA381-Q381)</f>
        <v/>
      </c>
      <c r="AD381">
        <f>IF($D381="","",IF($AP381=1,0,IF($AO381=1,Settings!$C$6,Settings!$C$7))*100)</f>
        <v/>
      </c>
      <c r="AH381" s="7" t="n"/>
      <c r="AK381" s="11" t="n"/>
      <c r="AM381">
        <f>IF($D381="","",IF(COUNTIF($D$2:$D381,$D381)=1,1,0))</f>
        <v/>
      </c>
      <c r="AN381">
        <f>IF($AM381=1,SUMPRODUCT(--($AQ$2:$AQ$1001&lt;$AQ381))+1,"")</f>
        <v/>
      </c>
      <c r="AO381">
        <f>IF($D381="","",IF(OR($U381=TRUE(),$U381="TRUE"),1,0))</f>
        <v/>
      </c>
      <c r="AP381">
        <f>IF($D381="","",IF($AC381="Yes",1,0))</f>
        <v/>
      </c>
      <c r="AQ381">
        <f>IF($AM381=1,IFERROR(VALUE(MID($D381,2,20)),1000000000)+ROW()/100000,"")</f>
        <v/>
      </c>
    </row>
    <row r="382">
      <c r="G382" s="11" t="n"/>
      <c r="Q382" s="7">
        <f>IF($D382="","",P382*Y382/100)</f>
        <v/>
      </c>
      <c r="R382" s="7" t="n"/>
      <c r="X382" s="7" t="n"/>
      <c r="Y382" s="7" t="n"/>
      <c r="Z382" s="7">
        <f>IF($D382="","",Y382*AD382/100)</f>
        <v/>
      </c>
      <c r="AA382" s="7">
        <f>IF($D382="","",Y382-Z382)</f>
        <v/>
      </c>
      <c r="AB382" s="7">
        <f>IF($D382="","",AA382-Q382)</f>
        <v/>
      </c>
      <c r="AD382">
        <f>IF($D382="","",IF($AP382=1,0,IF($AO382=1,Settings!$C$6,Settings!$C$7))*100)</f>
        <v/>
      </c>
      <c r="AH382" s="7" t="n"/>
      <c r="AK382" s="11" t="n"/>
      <c r="AM382">
        <f>IF($D382="","",IF(COUNTIF($D$2:$D382,$D382)=1,1,0))</f>
        <v/>
      </c>
      <c r="AN382">
        <f>IF($AM382=1,SUMPRODUCT(--($AQ$2:$AQ$1001&lt;$AQ382))+1,"")</f>
        <v/>
      </c>
      <c r="AO382">
        <f>IF($D382="","",IF(OR($U382=TRUE(),$U382="TRUE"),1,0))</f>
        <v/>
      </c>
      <c r="AP382">
        <f>IF($D382="","",IF($AC382="Yes",1,0))</f>
        <v/>
      </c>
      <c r="AQ382">
        <f>IF($AM382=1,IFERROR(VALUE(MID($D382,2,20)),1000000000)+ROW()/100000,"")</f>
        <v/>
      </c>
    </row>
    <row r="383">
      <c r="G383" s="11" t="n"/>
      <c r="Q383" s="7">
        <f>IF($D383="","",P383*Y383/100)</f>
        <v/>
      </c>
      <c r="R383" s="7" t="n"/>
      <c r="X383" s="7" t="n"/>
      <c r="Y383" s="7" t="n"/>
      <c r="Z383" s="7">
        <f>IF($D383="","",Y383*AD383/100)</f>
        <v/>
      </c>
      <c r="AA383" s="7">
        <f>IF($D383="","",Y383-Z383)</f>
        <v/>
      </c>
      <c r="AB383" s="7">
        <f>IF($D383="","",AA383-Q383)</f>
        <v/>
      </c>
      <c r="AD383">
        <f>IF($D383="","",IF($AP383=1,0,IF($AO383=1,Settings!$C$6,Settings!$C$7))*100)</f>
        <v/>
      </c>
      <c r="AH383" s="7" t="n"/>
      <c r="AK383" s="11" t="n"/>
      <c r="AM383">
        <f>IF($D383="","",IF(COUNTIF($D$2:$D383,$D383)=1,1,0))</f>
        <v/>
      </c>
      <c r="AN383">
        <f>IF($AM383=1,SUMPRODUCT(--($AQ$2:$AQ$1001&lt;$AQ383))+1,"")</f>
        <v/>
      </c>
      <c r="AO383">
        <f>IF($D383="","",IF(OR($U383=TRUE(),$U383="TRUE"),1,0))</f>
        <v/>
      </c>
      <c r="AP383">
        <f>IF($D383="","",IF($AC383="Yes",1,0))</f>
        <v/>
      </c>
      <c r="AQ383">
        <f>IF($AM383=1,IFERROR(VALUE(MID($D383,2,20)),1000000000)+ROW()/100000,"")</f>
        <v/>
      </c>
    </row>
    <row r="384">
      <c r="G384" s="11" t="n"/>
      <c r="Q384" s="7">
        <f>IF($D384="","",P384*Y384/100)</f>
        <v/>
      </c>
      <c r="R384" s="7" t="n"/>
      <c r="X384" s="7" t="n"/>
      <c r="Y384" s="7" t="n"/>
      <c r="Z384" s="7">
        <f>IF($D384="","",Y384*AD384/100)</f>
        <v/>
      </c>
      <c r="AA384" s="7">
        <f>IF($D384="","",Y384-Z384)</f>
        <v/>
      </c>
      <c r="AB384" s="7">
        <f>IF($D384="","",AA384-Q384)</f>
        <v/>
      </c>
      <c r="AD384">
        <f>IF($D384="","",IF($AP384=1,0,IF($AO384=1,Settings!$C$6,Settings!$C$7))*100)</f>
        <v/>
      </c>
      <c r="AH384" s="7" t="n"/>
      <c r="AK384" s="11" t="n"/>
      <c r="AM384">
        <f>IF($D384="","",IF(COUNTIF($D$2:$D384,$D384)=1,1,0))</f>
        <v/>
      </c>
      <c r="AN384">
        <f>IF($AM384=1,SUMPRODUCT(--($AQ$2:$AQ$1001&lt;$AQ384))+1,"")</f>
        <v/>
      </c>
      <c r="AO384">
        <f>IF($D384="","",IF(OR($U384=TRUE(),$U384="TRUE"),1,0))</f>
        <v/>
      </c>
      <c r="AP384">
        <f>IF($D384="","",IF($AC384="Yes",1,0))</f>
        <v/>
      </c>
      <c r="AQ384">
        <f>IF($AM384=1,IFERROR(VALUE(MID($D384,2,20)),1000000000)+ROW()/100000,"")</f>
        <v/>
      </c>
    </row>
    <row r="385">
      <c r="G385" s="11" t="n"/>
      <c r="Q385" s="7">
        <f>IF($D385="","",P385*Y385/100)</f>
        <v/>
      </c>
      <c r="R385" s="7" t="n"/>
      <c r="X385" s="7" t="n"/>
      <c r="Y385" s="7" t="n"/>
      <c r="Z385" s="7">
        <f>IF($D385="","",Y385*AD385/100)</f>
        <v/>
      </c>
      <c r="AA385" s="7">
        <f>IF($D385="","",Y385-Z385)</f>
        <v/>
      </c>
      <c r="AB385" s="7">
        <f>IF($D385="","",AA385-Q385)</f>
        <v/>
      </c>
      <c r="AD385">
        <f>IF($D385="","",IF($AP385=1,0,IF($AO385=1,Settings!$C$6,Settings!$C$7))*100)</f>
        <v/>
      </c>
      <c r="AH385" s="7" t="n"/>
      <c r="AK385" s="11" t="n"/>
      <c r="AM385">
        <f>IF($D385="","",IF(COUNTIF($D$2:$D385,$D385)=1,1,0))</f>
        <v/>
      </c>
      <c r="AN385">
        <f>IF($AM385=1,SUMPRODUCT(--($AQ$2:$AQ$1001&lt;$AQ385))+1,"")</f>
        <v/>
      </c>
      <c r="AO385">
        <f>IF($D385="","",IF(OR($U385=TRUE(),$U385="TRUE"),1,0))</f>
        <v/>
      </c>
      <c r="AP385">
        <f>IF($D385="","",IF($AC385="Yes",1,0))</f>
        <v/>
      </c>
      <c r="AQ385">
        <f>IF($AM385=1,IFERROR(VALUE(MID($D385,2,20)),1000000000)+ROW()/100000,"")</f>
        <v/>
      </c>
    </row>
    <row r="386">
      <c r="G386" s="11" t="n"/>
      <c r="Q386" s="7">
        <f>IF($D386="","",P386*Y386/100)</f>
        <v/>
      </c>
      <c r="R386" s="7" t="n"/>
      <c r="X386" s="7" t="n"/>
      <c r="Y386" s="7" t="n"/>
      <c r="Z386" s="7">
        <f>IF($D386="","",Y386*AD386/100)</f>
        <v/>
      </c>
      <c r="AA386" s="7">
        <f>IF($D386="","",Y386-Z386)</f>
        <v/>
      </c>
      <c r="AB386" s="7">
        <f>IF($D386="","",AA386-Q386)</f>
        <v/>
      </c>
      <c r="AD386">
        <f>IF($D386="","",IF($AP386=1,0,IF($AO386=1,Settings!$C$6,Settings!$C$7))*100)</f>
        <v/>
      </c>
      <c r="AH386" s="7" t="n"/>
      <c r="AK386" s="11" t="n"/>
      <c r="AM386">
        <f>IF($D386="","",IF(COUNTIF($D$2:$D386,$D386)=1,1,0))</f>
        <v/>
      </c>
      <c r="AN386">
        <f>IF($AM386=1,SUMPRODUCT(--($AQ$2:$AQ$1001&lt;$AQ386))+1,"")</f>
        <v/>
      </c>
      <c r="AO386">
        <f>IF($D386="","",IF(OR($U386=TRUE(),$U386="TRUE"),1,0))</f>
        <v/>
      </c>
      <c r="AP386">
        <f>IF($D386="","",IF($AC386="Yes",1,0))</f>
        <v/>
      </c>
      <c r="AQ386">
        <f>IF($AM386=1,IFERROR(VALUE(MID($D386,2,20)),1000000000)+ROW()/100000,"")</f>
        <v/>
      </c>
    </row>
    <row r="387">
      <c r="G387" s="11" t="n"/>
      <c r="Q387" s="7">
        <f>IF($D387="","",P387*Y387/100)</f>
        <v/>
      </c>
      <c r="R387" s="7" t="n"/>
      <c r="X387" s="7" t="n"/>
      <c r="Y387" s="7" t="n"/>
      <c r="Z387" s="7">
        <f>IF($D387="","",Y387*AD387/100)</f>
        <v/>
      </c>
      <c r="AA387" s="7">
        <f>IF($D387="","",Y387-Z387)</f>
        <v/>
      </c>
      <c r="AB387" s="7">
        <f>IF($D387="","",AA387-Q387)</f>
        <v/>
      </c>
      <c r="AD387">
        <f>IF($D387="","",IF($AP387=1,0,IF($AO387=1,Settings!$C$6,Settings!$C$7))*100)</f>
        <v/>
      </c>
      <c r="AH387" s="7" t="n"/>
      <c r="AK387" s="11" t="n"/>
      <c r="AM387">
        <f>IF($D387="","",IF(COUNTIF($D$2:$D387,$D387)=1,1,0))</f>
        <v/>
      </c>
      <c r="AN387">
        <f>IF($AM387=1,SUMPRODUCT(--($AQ$2:$AQ$1001&lt;$AQ387))+1,"")</f>
        <v/>
      </c>
      <c r="AO387">
        <f>IF($D387="","",IF(OR($U387=TRUE(),$U387="TRUE"),1,0))</f>
        <v/>
      </c>
      <c r="AP387">
        <f>IF($D387="","",IF($AC387="Yes",1,0))</f>
        <v/>
      </c>
      <c r="AQ387">
        <f>IF($AM387=1,IFERROR(VALUE(MID($D387,2,20)),1000000000)+ROW()/100000,"")</f>
        <v/>
      </c>
    </row>
    <row r="388">
      <c r="G388" s="11" t="n"/>
      <c r="Q388" s="7">
        <f>IF($D388="","",P388*Y388/100)</f>
        <v/>
      </c>
      <c r="R388" s="7" t="n"/>
      <c r="X388" s="7" t="n"/>
      <c r="Y388" s="7" t="n"/>
      <c r="Z388" s="7">
        <f>IF($D388="","",Y388*AD388/100)</f>
        <v/>
      </c>
      <c r="AA388" s="7">
        <f>IF($D388="","",Y388-Z388)</f>
        <v/>
      </c>
      <c r="AB388" s="7">
        <f>IF($D388="","",AA388-Q388)</f>
        <v/>
      </c>
      <c r="AD388">
        <f>IF($D388="","",IF($AP388=1,0,IF($AO388=1,Settings!$C$6,Settings!$C$7))*100)</f>
        <v/>
      </c>
      <c r="AH388" s="7" t="n"/>
      <c r="AK388" s="11" t="n"/>
      <c r="AM388">
        <f>IF($D388="","",IF(COUNTIF($D$2:$D388,$D388)=1,1,0))</f>
        <v/>
      </c>
      <c r="AN388">
        <f>IF($AM388=1,SUMPRODUCT(--($AQ$2:$AQ$1001&lt;$AQ388))+1,"")</f>
        <v/>
      </c>
      <c r="AO388">
        <f>IF($D388="","",IF(OR($U388=TRUE(),$U388="TRUE"),1,0))</f>
        <v/>
      </c>
      <c r="AP388">
        <f>IF($D388="","",IF($AC388="Yes",1,0))</f>
        <v/>
      </c>
      <c r="AQ388">
        <f>IF($AM388=1,IFERROR(VALUE(MID($D388,2,20)),1000000000)+ROW()/100000,"")</f>
        <v/>
      </c>
    </row>
    <row r="389">
      <c r="G389" s="11" t="n"/>
      <c r="Q389" s="7">
        <f>IF($D389="","",P389*Y389/100)</f>
        <v/>
      </c>
      <c r="R389" s="7" t="n"/>
      <c r="X389" s="7" t="n"/>
      <c r="Y389" s="7" t="n"/>
      <c r="Z389" s="7">
        <f>IF($D389="","",Y389*AD389/100)</f>
        <v/>
      </c>
      <c r="AA389" s="7">
        <f>IF($D389="","",Y389-Z389)</f>
        <v/>
      </c>
      <c r="AB389" s="7">
        <f>IF($D389="","",AA389-Q389)</f>
        <v/>
      </c>
      <c r="AD389">
        <f>IF($D389="","",IF($AP389=1,0,IF($AO389=1,Settings!$C$6,Settings!$C$7))*100)</f>
        <v/>
      </c>
      <c r="AH389" s="7" t="n"/>
      <c r="AK389" s="11" t="n"/>
      <c r="AM389">
        <f>IF($D389="","",IF(COUNTIF($D$2:$D389,$D389)=1,1,0))</f>
        <v/>
      </c>
      <c r="AN389">
        <f>IF($AM389=1,SUMPRODUCT(--($AQ$2:$AQ$1001&lt;$AQ389))+1,"")</f>
        <v/>
      </c>
      <c r="AO389">
        <f>IF($D389="","",IF(OR($U389=TRUE(),$U389="TRUE"),1,0))</f>
        <v/>
      </c>
      <c r="AP389">
        <f>IF($D389="","",IF($AC389="Yes",1,0))</f>
        <v/>
      </c>
      <c r="AQ389">
        <f>IF($AM389=1,IFERROR(VALUE(MID($D389,2,20)),1000000000)+ROW()/100000,"")</f>
        <v/>
      </c>
    </row>
    <row r="390">
      <c r="G390" s="11" t="n"/>
      <c r="Q390" s="7">
        <f>IF($D390="","",P390*Y390/100)</f>
        <v/>
      </c>
      <c r="R390" s="7" t="n"/>
      <c r="X390" s="7" t="n"/>
      <c r="Y390" s="7" t="n"/>
      <c r="Z390" s="7">
        <f>IF($D390="","",Y390*AD390/100)</f>
        <v/>
      </c>
      <c r="AA390" s="7">
        <f>IF($D390="","",Y390-Z390)</f>
        <v/>
      </c>
      <c r="AB390" s="7">
        <f>IF($D390="","",AA390-Q390)</f>
        <v/>
      </c>
      <c r="AD390">
        <f>IF($D390="","",IF($AP390=1,0,IF($AO390=1,Settings!$C$6,Settings!$C$7))*100)</f>
        <v/>
      </c>
      <c r="AH390" s="7" t="n"/>
      <c r="AK390" s="11" t="n"/>
      <c r="AM390">
        <f>IF($D390="","",IF(COUNTIF($D$2:$D390,$D390)=1,1,0))</f>
        <v/>
      </c>
      <c r="AN390">
        <f>IF($AM390=1,SUMPRODUCT(--($AQ$2:$AQ$1001&lt;$AQ390))+1,"")</f>
        <v/>
      </c>
      <c r="AO390">
        <f>IF($D390="","",IF(OR($U390=TRUE(),$U390="TRUE"),1,0))</f>
        <v/>
      </c>
      <c r="AP390">
        <f>IF($D390="","",IF($AC390="Yes",1,0))</f>
        <v/>
      </c>
      <c r="AQ390">
        <f>IF($AM390=1,IFERROR(VALUE(MID($D390,2,20)),1000000000)+ROW()/100000,"")</f>
        <v/>
      </c>
    </row>
    <row r="391">
      <c r="G391" s="11" t="n"/>
      <c r="Q391" s="7">
        <f>IF($D391="","",P391*Y391/100)</f>
        <v/>
      </c>
      <c r="R391" s="7" t="n"/>
      <c r="X391" s="7" t="n"/>
      <c r="Y391" s="7" t="n"/>
      <c r="Z391" s="7">
        <f>IF($D391="","",Y391*AD391/100)</f>
        <v/>
      </c>
      <c r="AA391" s="7">
        <f>IF($D391="","",Y391-Z391)</f>
        <v/>
      </c>
      <c r="AB391" s="7">
        <f>IF($D391="","",AA391-Q391)</f>
        <v/>
      </c>
      <c r="AD391">
        <f>IF($D391="","",IF($AP391=1,0,IF($AO391=1,Settings!$C$6,Settings!$C$7))*100)</f>
        <v/>
      </c>
      <c r="AH391" s="7" t="n"/>
      <c r="AK391" s="11" t="n"/>
      <c r="AM391">
        <f>IF($D391="","",IF(COUNTIF($D$2:$D391,$D391)=1,1,0))</f>
        <v/>
      </c>
      <c r="AN391">
        <f>IF($AM391=1,SUMPRODUCT(--($AQ$2:$AQ$1001&lt;$AQ391))+1,"")</f>
        <v/>
      </c>
      <c r="AO391">
        <f>IF($D391="","",IF(OR($U391=TRUE(),$U391="TRUE"),1,0))</f>
        <v/>
      </c>
      <c r="AP391">
        <f>IF($D391="","",IF($AC391="Yes",1,0))</f>
        <v/>
      </c>
      <c r="AQ391">
        <f>IF($AM391=1,IFERROR(VALUE(MID($D391,2,20)),1000000000)+ROW()/100000,"")</f>
        <v/>
      </c>
    </row>
    <row r="392">
      <c r="G392" s="11" t="n"/>
      <c r="Q392" s="7">
        <f>IF($D392="","",P392*Y392/100)</f>
        <v/>
      </c>
      <c r="R392" s="7" t="n"/>
      <c r="X392" s="7" t="n"/>
      <c r="Y392" s="7" t="n"/>
      <c r="Z392" s="7">
        <f>IF($D392="","",Y392*AD392/100)</f>
        <v/>
      </c>
      <c r="AA392" s="7">
        <f>IF($D392="","",Y392-Z392)</f>
        <v/>
      </c>
      <c r="AB392" s="7">
        <f>IF($D392="","",AA392-Q392)</f>
        <v/>
      </c>
      <c r="AD392">
        <f>IF($D392="","",IF($AP392=1,0,IF($AO392=1,Settings!$C$6,Settings!$C$7))*100)</f>
        <v/>
      </c>
      <c r="AH392" s="7" t="n"/>
      <c r="AK392" s="11" t="n"/>
      <c r="AM392">
        <f>IF($D392="","",IF(COUNTIF($D$2:$D392,$D392)=1,1,0))</f>
        <v/>
      </c>
      <c r="AN392">
        <f>IF($AM392=1,SUMPRODUCT(--($AQ$2:$AQ$1001&lt;$AQ392))+1,"")</f>
        <v/>
      </c>
      <c r="AO392">
        <f>IF($D392="","",IF(OR($U392=TRUE(),$U392="TRUE"),1,0))</f>
        <v/>
      </c>
      <c r="AP392">
        <f>IF($D392="","",IF($AC392="Yes",1,0))</f>
        <v/>
      </c>
      <c r="AQ392">
        <f>IF($AM392=1,IFERROR(VALUE(MID($D392,2,20)),1000000000)+ROW()/100000,"")</f>
        <v/>
      </c>
    </row>
    <row r="393">
      <c r="G393" s="11" t="n"/>
      <c r="Q393" s="7">
        <f>IF($D393="","",P393*Y393/100)</f>
        <v/>
      </c>
      <c r="R393" s="7" t="n"/>
      <c r="X393" s="7" t="n"/>
      <c r="Y393" s="7" t="n"/>
      <c r="Z393" s="7">
        <f>IF($D393="","",Y393*AD393/100)</f>
        <v/>
      </c>
      <c r="AA393" s="7">
        <f>IF($D393="","",Y393-Z393)</f>
        <v/>
      </c>
      <c r="AB393" s="7">
        <f>IF($D393="","",AA393-Q393)</f>
        <v/>
      </c>
      <c r="AD393">
        <f>IF($D393="","",IF($AP393=1,0,IF($AO393=1,Settings!$C$6,Settings!$C$7))*100)</f>
        <v/>
      </c>
      <c r="AH393" s="7" t="n"/>
      <c r="AK393" s="11" t="n"/>
      <c r="AM393">
        <f>IF($D393="","",IF(COUNTIF($D$2:$D393,$D393)=1,1,0))</f>
        <v/>
      </c>
      <c r="AN393">
        <f>IF($AM393=1,SUMPRODUCT(--($AQ$2:$AQ$1001&lt;$AQ393))+1,"")</f>
        <v/>
      </c>
      <c r="AO393">
        <f>IF($D393="","",IF(OR($U393=TRUE(),$U393="TRUE"),1,0))</f>
        <v/>
      </c>
      <c r="AP393">
        <f>IF($D393="","",IF($AC393="Yes",1,0))</f>
        <v/>
      </c>
      <c r="AQ393">
        <f>IF($AM393=1,IFERROR(VALUE(MID($D393,2,20)),1000000000)+ROW()/100000,"")</f>
        <v/>
      </c>
    </row>
    <row r="394">
      <c r="G394" s="11" t="n"/>
      <c r="Q394" s="7">
        <f>IF($D394="","",P394*Y394/100)</f>
        <v/>
      </c>
      <c r="R394" s="7" t="n"/>
      <c r="X394" s="7" t="n"/>
      <c r="Y394" s="7" t="n"/>
      <c r="Z394" s="7">
        <f>IF($D394="","",Y394*AD394/100)</f>
        <v/>
      </c>
      <c r="AA394" s="7">
        <f>IF($D394="","",Y394-Z394)</f>
        <v/>
      </c>
      <c r="AB394" s="7">
        <f>IF($D394="","",AA394-Q394)</f>
        <v/>
      </c>
      <c r="AD394">
        <f>IF($D394="","",IF($AP394=1,0,IF($AO394=1,Settings!$C$6,Settings!$C$7))*100)</f>
        <v/>
      </c>
      <c r="AH394" s="7" t="n"/>
      <c r="AK394" s="11" t="n"/>
      <c r="AM394">
        <f>IF($D394="","",IF(COUNTIF($D$2:$D394,$D394)=1,1,0))</f>
        <v/>
      </c>
      <c r="AN394">
        <f>IF($AM394=1,SUMPRODUCT(--($AQ$2:$AQ$1001&lt;$AQ394))+1,"")</f>
        <v/>
      </c>
      <c r="AO394">
        <f>IF($D394="","",IF(OR($U394=TRUE(),$U394="TRUE"),1,0))</f>
        <v/>
      </c>
      <c r="AP394">
        <f>IF($D394="","",IF($AC394="Yes",1,0))</f>
        <v/>
      </c>
      <c r="AQ394">
        <f>IF($AM394=1,IFERROR(VALUE(MID($D394,2,20)),1000000000)+ROW()/100000,"")</f>
        <v/>
      </c>
    </row>
    <row r="395">
      <c r="G395" s="11" t="n"/>
      <c r="Q395" s="7">
        <f>IF($D395="","",P395*Y395/100)</f>
        <v/>
      </c>
      <c r="R395" s="7" t="n"/>
      <c r="X395" s="7" t="n"/>
      <c r="Y395" s="7" t="n"/>
      <c r="Z395" s="7">
        <f>IF($D395="","",Y395*AD395/100)</f>
        <v/>
      </c>
      <c r="AA395" s="7">
        <f>IF($D395="","",Y395-Z395)</f>
        <v/>
      </c>
      <c r="AB395" s="7">
        <f>IF($D395="","",AA395-Q395)</f>
        <v/>
      </c>
      <c r="AD395">
        <f>IF($D395="","",IF($AP395=1,0,IF($AO395=1,Settings!$C$6,Settings!$C$7))*100)</f>
        <v/>
      </c>
      <c r="AH395" s="7" t="n"/>
      <c r="AK395" s="11" t="n"/>
      <c r="AM395">
        <f>IF($D395="","",IF(COUNTIF($D$2:$D395,$D395)=1,1,0))</f>
        <v/>
      </c>
      <c r="AN395">
        <f>IF($AM395=1,SUMPRODUCT(--($AQ$2:$AQ$1001&lt;$AQ395))+1,"")</f>
        <v/>
      </c>
      <c r="AO395">
        <f>IF($D395="","",IF(OR($U395=TRUE(),$U395="TRUE"),1,0))</f>
        <v/>
      </c>
      <c r="AP395">
        <f>IF($D395="","",IF($AC395="Yes",1,0))</f>
        <v/>
      </c>
      <c r="AQ395">
        <f>IF($AM395=1,IFERROR(VALUE(MID($D395,2,20)),1000000000)+ROW()/100000,"")</f>
        <v/>
      </c>
    </row>
    <row r="396">
      <c r="G396" s="11" t="n"/>
      <c r="Q396" s="7">
        <f>IF($D396="","",P396*Y396/100)</f>
        <v/>
      </c>
      <c r="R396" s="7" t="n"/>
      <c r="X396" s="7" t="n"/>
      <c r="Y396" s="7" t="n"/>
      <c r="Z396" s="7">
        <f>IF($D396="","",Y396*AD396/100)</f>
        <v/>
      </c>
      <c r="AA396" s="7">
        <f>IF($D396="","",Y396-Z396)</f>
        <v/>
      </c>
      <c r="AB396" s="7">
        <f>IF($D396="","",AA396-Q396)</f>
        <v/>
      </c>
      <c r="AD396">
        <f>IF($D396="","",IF($AP396=1,0,IF($AO396=1,Settings!$C$6,Settings!$C$7))*100)</f>
        <v/>
      </c>
      <c r="AH396" s="7" t="n"/>
      <c r="AK396" s="11" t="n"/>
      <c r="AM396">
        <f>IF($D396="","",IF(COUNTIF($D$2:$D396,$D396)=1,1,0))</f>
        <v/>
      </c>
      <c r="AN396">
        <f>IF($AM396=1,SUMPRODUCT(--($AQ$2:$AQ$1001&lt;$AQ396))+1,"")</f>
        <v/>
      </c>
      <c r="AO396">
        <f>IF($D396="","",IF(OR($U396=TRUE(),$U396="TRUE"),1,0))</f>
        <v/>
      </c>
      <c r="AP396">
        <f>IF($D396="","",IF($AC396="Yes",1,0))</f>
        <v/>
      </c>
      <c r="AQ396">
        <f>IF($AM396=1,IFERROR(VALUE(MID($D396,2,20)),1000000000)+ROW()/100000,"")</f>
        <v/>
      </c>
    </row>
    <row r="397">
      <c r="G397" s="11" t="n"/>
      <c r="Q397" s="7">
        <f>IF($D397="","",P397*Y397/100)</f>
        <v/>
      </c>
      <c r="R397" s="7" t="n"/>
      <c r="X397" s="7" t="n"/>
      <c r="Y397" s="7" t="n"/>
      <c r="Z397" s="7">
        <f>IF($D397="","",Y397*AD397/100)</f>
        <v/>
      </c>
      <c r="AA397" s="7">
        <f>IF($D397="","",Y397-Z397)</f>
        <v/>
      </c>
      <c r="AB397" s="7">
        <f>IF($D397="","",AA397-Q397)</f>
        <v/>
      </c>
      <c r="AD397">
        <f>IF($D397="","",IF($AP397=1,0,IF($AO397=1,Settings!$C$6,Settings!$C$7))*100)</f>
        <v/>
      </c>
      <c r="AH397" s="7" t="n"/>
      <c r="AK397" s="11" t="n"/>
      <c r="AM397">
        <f>IF($D397="","",IF(COUNTIF($D$2:$D397,$D397)=1,1,0))</f>
        <v/>
      </c>
      <c r="AN397">
        <f>IF($AM397=1,SUMPRODUCT(--($AQ$2:$AQ$1001&lt;$AQ397))+1,"")</f>
        <v/>
      </c>
      <c r="AO397">
        <f>IF($D397="","",IF(OR($U397=TRUE(),$U397="TRUE"),1,0))</f>
        <v/>
      </c>
      <c r="AP397">
        <f>IF($D397="","",IF($AC397="Yes",1,0))</f>
        <v/>
      </c>
      <c r="AQ397">
        <f>IF($AM397=1,IFERROR(VALUE(MID($D397,2,20)),1000000000)+ROW()/100000,"")</f>
        <v/>
      </c>
    </row>
    <row r="398">
      <c r="G398" s="11" t="n"/>
      <c r="Q398" s="7">
        <f>IF($D398="","",P398*Y398/100)</f>
        <v/>
      </c>
      <c r="R398" s="7" t="n"/>
      <c r="X398" s="7" t="n"/>
      <c r="Y398" s="7" t="n"/>
      <c r="Z398" s="7">
        <f>IF($D398="","",Y398*AD398/100)</f>
        <v/>
      </c>
      <c r="AA398" s="7">
        <f>IF($D398="","",Y398-Z398)</f>
        <v/>
      </c>
      <c r="AB398" s="7">
        <f>IF($D398="","",AA398-Q398)</f>
        <v/>
      </c>
      <c r="AD398">
        <f>IF($D398="","",IF($AP398=1,0,IF($AO398=1,Settings!$C$6,Settings!$C$7))*100)</f>
        <v/>
      </c>
      <c r="AH398" s="7" t="n"/>
      <c r="AK398" s="11" t="n"/>
      <c r="AM398">
        <f>IF($D398="","",IF(COUNTIF($D$2:$D398,$D398)=1,1,0))</f>
        <v/>
      </c>
      <c r="AN398">
        <f>IF($AM398=1,SUMPRODUCT(--($AQ$2:$AQ$1001&lt;$AQ398))+1,"")</f>
        <v/>
      </c>
      <c r="AO398">
        <f>IF($D398="","",IF(OR($U398=TRUE(),$U398="TRUE"),1,0))</f>
        <v/>
      </c>
      <c r="AP398">
        <f>IF($D398="","",IF($AC398="Yes",1,0))</f>
        <v/>
      </c>
      <c r="AQ398">
        <f>IF($AM398=1,IFERROR(VALUE(MID($D398,2,20)),1000000000)+ROW()/100000,"")</f>
        <v/>
      </c>
    </row>
    <row r="399">
      <c r="G399" s="11" t="n"/>
      <c r="Q399" s="7">
        <f>IF($D399="","",P399*Y399/100)</f>
        <v/>
      </c>
      <c r="R399" s="7" t="n"/>
      <c r="X399" s="7" t="n"/>
      <c r="Y399" s="7" t="n"/>
      <c r="Z399" s="7">
        <f>IF($D399="","",Y399*AD399/100)</f>
        <v/>
      </c>
      <c r="AA399" s="7">
        <f>IF($D399="","",Y399-Z399)</f>
        <v/>
      </c>
      <c r="AB399" s="7">
        <f>IF($D399="","",AA399-Q399)</f>
        <v/>
      </c>
      <c r="AD399">
        <f>IF($D399="","",IF($AP399=1,0,IF($AO399=1,Settings!$C$6,Settings!$C$7))*100)</f>
        <v/>
      </c>
      <c r="AH399" s="7" t="n"/>
      <c r="AK399" s="11" t="n"/>
      <c r="AM399">
        <f>IF($D399="","",IF(COUNTIF($D$2:$D399,$D399)=1,1,0))</f>
        <v/>
      </c>
      <c r="AN399">
        <f>IF($AM399=1,SUMPRODUCT(--($AQ$2:$AQ$1001&lt;$AQ399))+1,"")</f>
        <v/>
      </c>
      <c r="AO399">
        <f>IF($D399="","",IF(OR($U399=TRUE(),$U399="TRUE"),1,0))</f>
        <v/>
      </c>
      <c r="AP399">
        <f>IF($D399="","",IF($AC399="Yes",1,0))</f>
        <v/>
      </c>
      <c r="AQ399">
        <f>IF($AM399=1,IFERROR(VALUE(MID($D399,2,20)),1000000000)+ROW()/100000,"")</f>
        <v/>
      </c>
    </row>
    <row r="400">
      <c r="G400" s="11" t="n"/>
      <c r="Q400" s="7">
        <f>IF($D400="","",P400*Y400/100)</f>
        <v/>
      </c>
      <c r="R400" s="7" t="n"/>
      <c r="X400" s="7" t="n"/>
      <c r="Y400" s="7" t="n"/>
      <c r="Z400" s="7">
        <f>IF($D400="","",Y400*AD400/100)</f>
        <v/>
      </c>
      <c r="AA400" s="7">
        <f>IF($D400="","",Y400-Z400)</f>
        <v/>
      </c>
      <c r="AB400" s="7">
        <f>IF($D400="","",AA400-Q400)</f>
        <v/>
      </c>
      <c r="AD400">
        <f>IF($D400="","",IF($AP400=1,0,IF($AO400=1,Settings!$C$6,Settings!$C$7))*100)</f>
        <v/>
      </c>
      <c r="AH400" s="7" t="n"/>
      <c r="AK400" s="11" t="n"/>
      <c r="AM400">
        <f>IF($D400="","",IF(COUNTIF($D$2:$D400,$D400)=1,1,0))</f>
        <v/>
      </c>
      <c r="AN400">
        <f>IF($AM400=1,SUMPRODUCT(--($AQ$2:$AQ$1001&lt;$AQ400))+1,"")</f>
        <v/>
      </c>
      <c r="AO400">
        <f>IF($D400="","",IF(OR($U400=TRUE(),$U400="TRUE"),1,0))</f>
        <v/>
      </c>
      <c r="AP400">
        <f>IF($D400="","",IF($AC400="Yes",1,0))</f>
        <v/>
      </c>
      <c r="AQ400">
        <f>IF($AM400=1,IFERROR(VALUE(MID($D400,2,20)),1000000000)+ROW()/100000,"")</f>
        <v/>
      </c>
    </row>
    <row r="401">
      <c r="G401" s="11" t="n"/>
      <c r="Q401" s="7">
        <f>IF($D401="","",P401*Y401/100)</f>
        <v/>
      </c>
      <c r="R401" s="7" t="n"/>
      <c r="X401" s="7" t="n"/>
      <c r="Y401" s="7" t="n"/>
      <c r="Z401" s="7">
        <f>IF($D401="","",Y401*AD401/100)</f>
        <v/>
      </c>
      <c r="AA401" s="7">
        <f>IF($D401="","",Y401-Z401)</f>
        <v/>
      </c>
      <c r="AB401" s="7">
        <f>IF($D401="","",AA401-Q401)</f>
        <v/>
      </c>
      <c r="AD401">
        <f>IF($D401="","",IF($AP401=1,0,IF($AO401=1,Settings!$C$6,Settings!$C$7))*100)</f>
        <v/>
      </c>
      <c r="AH401" s="7" t="n"/>
      <c r="AK401" s="11" t="n"/>
      <c r="AM401">
        <f>IF($D401="","",IF(COUNTIF($D$2:$D401,$D401)=1,1,0))</f>
        <v/>
      </c>
      <c r="AN401">
        <f>IF($AM401=1,SUMPRODUCT(--($AQ$2:$AQ$1001&lt;$AQ401))+1,"")</f>
        <v/>
      </c>
      <c r="AO401">
        <f>IF($D401="","",IF(OR($U401=TRUE(),$U401="TRUE"),1,0))</f>
        <v/>
      </c>
      <c r="AP401">
        <f>IF($D401="","",IF($AC401="Yes",1,0))</f>
        <v/>
      </c>
      <c r="AQ401">
        <f>IF($AM401=1,IFERROR(VALUE(MID($D401,2,20)),1000000000)+ROW()/100000,"")</f>
        <v/>
      </c>
    </row>
    <row r="402">
      <c r="G402" s="11" t="n"/>
      <c r="Q402" s="7">
        <f>IF($D402="","",P402*Y402/100)</f>
        <v/>
      </c>
      <c r="R402" s="7" t="n"/>
      <c r="X402" s="7" t="n"/>
      <c r="Y402" s="7" t="n"/>
      <c r="Z402" s="7">
        <f>IF($D402="","",Y402*AD402/100)</f>
        <v/>
      </c>
      <c r="AA402" s="7">
        <f>IF($D402="","",Y402-Z402)</f>
        <v/>
      </c>
      <c r="AB402" s="7">
        <f>IF($D402="","",AA402-Q402)</f>
        <v/>
      </c>
      <c r="AD402">
        <f>IF($D402="","",IF($AP402=1,0,IF($AO402=1,Settings!$C$6,Settings!$C$7))*100)</f>
        <v/>
      </c>
      <c r="AH402" s="7" t="n"/>
      <c r="AK402" s="11" t="n"/>
      <c r="AM402">
        <f>IF($D402="","",IF(COUNTIF($D$2:$D402,$D402)=1,1,0))</f>
        <v/>
      </c>
      <c r="AN402">
        <f>IF($AM402=1,SUMPRODUCT(--($AQ$2:$AQ$1001&lt;$AQ402))+1,"")</f>
        <v/>
      </c>
      <c r="AO402">
        <f>IF($D402="","",IF(OR($U402=TRUE(),$U402="TRUE"),1,0))</f>
        <v/>
      </c>
      <c r="AP402">
        <f>IF($D402="","",IF($AC402="Yes",1,0))</f>
        <v/>
      </c>
      <c r="AQ402">
        <f>IF($AM402=1,IFERROR(VALUE(MID($D402,2,20)),1000000000)+ROW()/100000,"")</f>
        <v/>
      </c>
    </row>
    <row r="403">
      <c r="G403" s="11" t="n"/>
      <c r="Q403" s="7">
        <f>IF($D403="","",P403*Y403/100)</f>
        <v/>
      </c>
      <c r="R403" s="7" t="n"/>
      <c r="X403" s="7" t="n"/>
      <c r="Y403" s="7" t="n"/>
      <c r="Z403" s="7">
        <f>IF($D403="","",Y403*AD403/100)</f>
        <v/>
      </c>
      <c r="AA403" s="7">
        <f>IF($D403="","",Y403-Z403)</f>
        <v/>
      </c>
      <c r="AB403" s="7">
        <f>IF($D403="","",AA403-Q403)</f>
        <v/>
      </c>
      <c r="AD403">
        <f>IF($D403="","",IF($AP403=1,0,IF($AO403=1,Settings!$C$6,Settings!$C$7))*100)</f>
        <v/>
      </c>
      <c r="AH403" s="7" t="n"/>
      <c r="AK403" s="11" t="n"/>
      <c r="AM403">
        <f>IF($D403="","",IF(COUNTIF($D$2:$D403,$D403)=1,1,0))</f>
        <v/>
      </c>
      <c r="AN403">
        <f>IF($AM403=1,SUMPRODUCT(--($AQ$2:$AQ$1001&lt;$AQ403))+1,"")</f>
        <v/>
      </c>
      <c r="AO403">
        <f>IF($D403="","",IF(OR($U403=TRUE(),$U403="TRUE"),1,0))</f>
        <v/>
      </c>
      <c r="AP403">
        <f>IF($D403="","",IF($AC403="Yes",1,0))</f>
        <v/>
      </c>
      <c r="AQ403">
        <f>IF($AM403=1,IFERROR(VALUE(MID($D403,2,20)),1000000000)+ROW()/100000,"")</f>
        <v/>
      </c>
    </row>
    <row r="404">
      <c r="G404" s="11" t="n"/>
      <c r="Q404" s="7">
        <f>IF($D404="","",P404*Y404/100)</f>
        <v/>
      </c>
      <c r="R404" s="7" t="n"/>
      <c r="X404" s="7" t="n"/>
      <c r="Y404" s="7" t="n"/>
      <c r="Z404" s="7">
        <f>IF($D404="","",Y404*AD404/100)</f>
        <v/>
      </c>
      <c r="AA404" s="7">
        <f>IF($D404="","",Y404-Z404)</f>
        <v/>
      </c>
      <c r="AB404" s="7">
        <f>IF($D404="","",AA404-Q404)</f>
        <v/>
      </c>
      <c r="AD404">
        <f>IF($D404="","",IF($AP404=1,0,IF($AO404=1,Settings!$C$6,Settings!$C$7))*100)</f>
        <v/>
      </c>
      <c r="AH404" s="7" t="n"/>
      <c r="AK404" s="11" t="n"/>
      <c r="AM404">
        <f>IF($D404="","",IF(COUNTIF($D$2:$D404,$D404)=1,1,0))</f>
        <v/>
      </c>
      <c r="AN404">
        <f>IF($AM404=1,SUMPRODUCT(--($AQ$2:$AQ$1001&lt;$AQ404))+1,"")</f>
        <v/>
      </c>
      <c r="AO404">
        <f>IF($D404="","",IF(OR($U404=TRUE(),$U404="TRUE"),1,0))</f>
        <v/>
      </c>
      <c r="AP404">
        <f>IF($D404="","",IF($AC404="Yes",1,0))</f>
        <v/>
      </c>
      <c r="AQ404">
        <f>IF($AM404=1,IFERROR(VALUE(MID($D404,2,20)),1000000000)+ROW()/100000,"")</f>
        <v/>
      </c>
    </row>
    <row r="405">
      <c r="G405" s="11" t="n"/>
      <c r="Q405" s="7">
        <f>IF($D405="","",P405*Y405/100)</f>
        <v/>
      </c>
      <c r="R405" s="7" t="n"/>
      <c r="X405" s="7" t="n"/>
      <c r="Y405" s="7" t="n"/>
      <c r="Z405" s="7">
        <f>IF($D405="","",Y405*AD405/100)</f>
        <v/>
      </c>
      <c r="AA405" s="7">
        <f>IF($D405="","",Y405-Z405)</f>
        <v/>
      </c>
      <c r="AB405" s="7">
        <f>IF($D405="","",AA405-Q405)</f>
        <v/>
      </c>
      <c r="AD405">
        <f>IF($D405="","",IF($AP405=1,0,IF($AO405=1,Settings!$C$6,Settings!$C$7))*100)</f>
        <v/>
      </c>
      <c r="AH405" s="7" t="n"/>
      <c r="AK405" s="11" t="n"/>
      <c r="AM405">
        <f>IF($D405="","",IF(COUNTIF($D$2:$D405,$D405)=1,1,0))</f>
        <v/>
      </c>
      <c r="AN405">
        <f>IF($AM405=1,SUMPRODUCT(--($AQ$2:$AQ$1001&lt;$AQ405))+1,"")</f>
        <v/>
      </c>
      <c r="AO405">
        <f>IF($D405="","",IF(OR($U405=TRUE(),$U405="TRUE"),1,0))</f>
        <v/>
      </c>
      <c r="AP405">
        <f>IF($D405="","",IF($AC405="Yes",1,0))</f>
        <v/>
      </c>
      <c r="AQ405">
        <f>IF($AM405=1,IFERROR(VALUE(MID($D405,2,20)),1000000000)+ROW()/100000,"")</f>
        <v/>
      </c>
    </row>
    <row r="406">
      <c r="G406" s="11" t="n"/>
      <c r="Q406" s="7">
        <f>IF($D406="","",P406*Y406/100)</f>
        <v/>
      </c>
      <c r="R406" s="7" t="n"/>
      <c r="X406" s="7" t="n"/>
      <c r="Y406" s="7" t="n"/>
      <c r="Z406" s="7">
        <f>IF($D406="","",Y406*AD406/100)</f>
        <v/>
      </c>
      <c r="AA406" s="7">
        <f>IF($D406="","",Y406-Z406)</f>
        <v/>
      </c>
      <c r="AB406" s="7">
        <f>IF($D406="","",AA406-Q406)</f>
        <v/>
      </c>
      <c r="AD406">
        <f>IF($D406="","",IF($AP406=1,0,IF($AO406=1,Settings!$C$6,Settings!$C$7))*100)</f>
        <v/>
      </c>
      <c r="AH406" s="7" t="n"/>
      <c r="AK406" s="11" t="n"/>
      <c r="AM406">
        <f>IF($D406="","",IF(COUNTIF($D$2:$D406,$D406)=1,1,0))</f>
        <v/>
      </c>
      <c r="AN406">
        <f>IF($AM406=1,SUMPRODUCT(--($AQ$2:$AQ$1001&lt;$AQ406))+1,"")</f>
        <v/>
      </c>
      <c r="AO406">
        <f>IF($D406="","",IF(OR($U406=TRUE(),$U406="TRUE"),1,0))</f>
        <v/>
      </c>
      <c r="AP406">
        <f>IF($D406="","",IF($AC406="Yes",1,0))</f>
        <v/>
      </c>
      <c r="AQ406">
        <f>IF($AM406=1,IFERROR(VALUE(MID($D406,2,20)),1000000000)+ROW()/100000,"")</f>
        <v/>
      </c>
    </row>
    <row r="407">
      <c r="G407" s="11" t="n"/>
      <c r="Q407" s="7">
        <f>IF($D407="","",P407*Y407/100)</f>
        <v/>
      </c>
      <c r="R407" s="7" t="n"/>
      <c r="X407" s="7" t="n"/>
      <c r="Y407" s="7" t="n"/>
      <c r="Z407" s="7">
        <f>IF($D407="","",Y407*AD407/100)</f>
        <v/>
      </c>
      <c r="AA407" s="7">
        <f>IF($D407="","",Y407-Z407)</f>
        <v/>
      </c>
      <c r="AB407" s="7">
        <f>IF($D407="","",AA407-Q407)</f>
        <v/>
      </c>
      <c r="AD407">
        <f>IF($D407="","",IF($AP407=1,0,IF($AO407=1,Settings!$C$6,Settings!$C$7))*100)</f>
        <v/>
      </c>
      <c r="AH407" s="7" t="n"/>
      <c r="AK407" s="11" t="n"/>
      <c r="AM407">
        <f>IF($D407="","",IF(COUNTIF($D$2:$D407,$D407)=1,1,0))</f>
        <v/>
      </c>
      <c r="AN407">
        <f>IF($AM407=1,SUMPRODUCT(--($AQ$2:$AQ$1001&lt;$AQ407))+1,"")</f>
        <v/>
      </c>
      <c r="AO407">
        <f>IF($D407="","",IF(OR($U407=TRUE(),$U407="TRUE"),1,0))</f>
        <v/>
      </c>
      <c r="AP407">
        <f>IF($D407="","",IF($AC407="Yes",1,0))</f>
        <v/>
      </c>
      <c r="AQ407">
        <f>IF($AM407=1,IFERROR(VALUE(MID($D407,2,20)),1000000000)+ROW()/100000,"")</f>
        <v/>
      </c>
    </row>
    <row r="408">
      <c r="G408" s="11" t="n"/>
      <c r="Q408" s="7">
        <f>IF($D408="","",P408*Y408/100)</f>
        <v/>
      </c>
      <c r="R408" s="7" t="n"/>
      <c r="X408" s="7" t="n"/>
      <c r="Y408" s="7" t="n"/>
      <c r="Z408" s="7">
        <f>IF($D408="","",Y408*AD408/100)</f>
        <v/>
      </c>
      <c r="AA408" s="7">
        <f>IF($D408="","",Y408-Z408)</f>
        <v/>
      </c>
      <c r="AB408" s="7">
        <f>IF($D408="","",AA408-Q408)</f>
        <v/>
      </c>
      <c r="AD408">
        <f>IF($D408="","",IF($AP408=1,0,IF($AO408=1,Settings!$C$6,Settings!$C$7))*100)</f>
        <v/>
      </c>
      <c r="AH408" s="7" t="n"/>
      <c r="AK408" s="11" t="n"/>
      <c r="AM408">
        <f>IF($D408="","",IF(COUNTIF($D$2:$D408,$D408)=1,1,0))</f>
        <v/>
      </c>
      <c r="AN408">
        <f>IF($AM408=1,SUMPRODUCT(--($AQ$2:$AQ$1001&lt;$AQ408))+1,"")</f>
        <v/>
      </c>
      <c r="AO408">
        <f>IF($D408="","",IF(OR($U408=TRUE(),$U408="TRUE"),1,0))</f>
        <v/>
      </c>
      <c r="AP408">
        <f>IF($D408="","",IF($AC408="Yes",1,0))</f>
        <v/>
      </c>
      <c r="AQ408">
        <f>IF($AM408=1,IFERROR(VALUE(MID($D408,2,20)),1000000000)+ROW()/100000,"")</f>
        <v/>
      </c>
    </row>
    <row r="409">
      <c r="G409" s="11" t="n"/>
      <c r="Q409" s="7">
        <f>IF($D409="","",P409*Y409/100)</f>
        <v/>
      </c>
      <c r="R409" s="7" t="n"/>
      <c r="X409" s="7" t="n"/>
      <c r="Y409" s="7" t="n"/>
      <c r="Z409" s="7">
        <f>IF($D409="","",Y409*AD409/100)</f>
        <v/>
      </c>
      <c r="AA409" s="7">
        <f>IF($D409="","",Y409-Z409)</f>
        <v/>
      </c>
      <c r="AB409" s="7">
        <f>IF($D409="","",AA409-Q409)</f>
        <v/>
      </c>
      <c r="AD409">
        <f>IF($D409="","",IF($AP409=1,0,IF($AO409=1,Settings!$C$6,Settings!$C$7))*100)</f>
        <v/>
      </c>
      <c r="AH409" s="7" t="n"/>
      <c r="AK409" s="11" t="n"/>
      <c r="AM409">
        <f>IF($D409="","",IF(COUNTIF($D$2:$D409,$D409)=1,1,0))</f>
        <v/>
      </c>
      <c r="AN409">
        <f>IF($AM409=1,SUMPRODUCT(--($AQ$2:$AQ$1001&lt;$AQ409))+1,"")</f>
        <v/>
      </c>
      <c r="AO409">
        <f>IF($D409="","",IF(OR($U409=TRUE(),$U409="TRUE"),1,0))</f>
        <v/>
      </c>
      <c r="AP409">
        <f>IF($D409="","",IF($AC409="Yes",1,0))</f>
        <v/>
      </c>
      <c r="AQ409">
        <f>IF($AM409=1,IFERROR(VALUE(MID($D409,2,20)),1000000000)+ROW()/100000,"")</f>
        <v/>
      </c>
    </row>
    <row r="410">
      <c r="G410" s="11" t="n"/>
      <c r="Q410" s="7">
        <f>IF($D410="","",P410*Y410/100)</f>
        <v/>
      </c>
      <c r="R410" s="7" t="n"/>
      <c r="X410" s="7" t="n"/>
      <c r="Y410" s="7" t="n"/>
      <c r="Z410" s="7">
        <f>IF($D410="","",Y410*AD410/100)</f>
        <v/>
      </c>
      <c r="AA410" s="7">
        <f>IF($D410="","",Y410-Z410)</f>
        <v/>
      </c>
      <c r="AB410" s="7">
        <f>IF($D410="","",AA410-Q410)</f>
        <v/>
      </c>
      <c r="AD410">
        <f>IF($D410="","",IF($AP410=1,0,IF($AO410=1,Settings!$C$6,Settings!$C$7))*100)</f>
        <v/>
      </c>
      <c r="AH410" s="7" t="n"/>
      <c r="AK410" s="11" t="n"/>
      <c r="AM410">
        <f>IF($D410="","",IF(COUNTIF($D$2:$D410,$D410)=1,1,0))</f>
        <v/>
      </c>
      <c r="AN410">
        <f>IF($AM410=1,SUMPRODUCT(--($AQ$2:$AQ$1001&lt;$AQ410))+1,"")</f>
        <v/>
      </c>
      <c r="AO410">
        <f>IF($D410="","",IF(OR($U410=TRUE(),$U410="TRUE"),1,0))</f>
        <v/>
      </c>
      <c r="AP410">
        <f>IF($D410="","",IF($AC410="Yes",1,0))</f>
        <v/>
      </c>
      <c r="AQ410">
        <f>IF($AM410=1,IFERROR(VALUE(MID($D410,2,20)),1000000000)+ROW()/100000,"")</f>
        <v/>
      </c>
    </row>
    <row r="411">
      <c r="G411" s="11" t="n"/>
      <c r="Q411" s="7">
        <f>IF($D411="","",P411*Y411/100)</f>
        <v/>
      </c>
      <c r="R411" s="7" t="n"/>
      <c r="X411" s="7" t="n"/>
      <c r="Y411" s="7" t="n"/>
      <c r="Z411" s="7">
        <f>IF($D411="","",Y411*AD411/100)</f>
        <v/>
      </c>
      <c r="AA411" s="7">
        <f>IF($D411="","",Y411-Z411)</f>
        <v/>
      </c>
      <c r="AB411" s="7">
        <f>IF($D411="","",AA411-Q411)</f>
        <v/>
      </c>
      <c r="AD411">
        <f>IF($D411="","",IF($AP411=1,0,IF($AO411=1,Settings!$C$6,Settings!$C$7))*100)</f>
        <v/>
      </c>
      <c r="AH411" s="7" t="n"/>
      <c r="AK411" s="11" t="n"/>
      <c r="AM411">
        <f>IF($D411="","",IF(COUNTIF($D$2:$D411,$D411)=1,1,0))</f>
        <v/>
      </c>
      <c r="AN411">
        <f>IF($AM411=1,SUMPRODUCT(--($AQ$2:$AQ$1001&lt;$AQ411))+1,"")</f>
        <v/>
      </c>
      <c r="AO411">
        <f>IF($D411="","",IF(OR($U411=TRUE(),$U411="TRUE"),1,0))</f>
        <v/>
      </c>
      <c r="AP411">
        <f>IF($D411="","",IF($AC411="Yes",1,0))</f>
        <v/>
      </c>
      <c r="AQ411">
        <f>IF($AM411=1,IFERROR(VALUE(MID($D411,2,20)),1000000000)+ROW()/100000,"")</f>
        <v/>
      </c>
    </row>
    <row r="412">
      <c r="G412" s="11" t="n"/>
      <c r="Q412" s="7">
        <f>IF($D412="","",P412*Y412/100)</f>
        <v/>
      </c>
      <c r="R412" s="7" t="n"/>
      <c r="X412" s="7" t="n"/>
      <c r="Y412" s="7" t="n"/>
      <c r="Z412" s="7">
        <f>IF($D412="","",Y412*AD412/100)</f>
        <v/>
      </c>
      <c r="AA412" s="7">
        <f>IF($D412="","",Y412-Z412)</f>
        <v/>
      </c>
      <c r="AB412" s="7">
        <f>IF($D412="","",AA412-Q412)</f>
        <v/>
      </c>
      <c r="AD412">
        <f>IF($D412="","",IF($AP412=1,0,IF($AO412=1,Settings!$C$6,Settings!$C$7))*100)</f>
        <v/>
      </c>
      <c r="AH412" s="7" t="n"/>
      <c r="AK412" s="11" t="n"/>
      <c r="AM412">
        <f>IF($D412="","",IF(COUNTIF($D$2:$D412,$D412)=1,1,0))</f>
        <v/>
      </c>
      <c r="AN412">
        <f>IF($AM412=1,SUMPRODUCT(--($AQ$2:$AQ$1001&lt;$AQ412))+1,"")</f>
        <v/>
      </c>
      <c r="AO412">
        <f>IF($D412="","",IF(OR($U412=TRUE(),$U412="TRUE"),1,0))</f>
        <v/>
      </c>
      <c r="AP412">
        <f>IF($D412="","",IF($AC412="Yes",1,0))</f>
        <v/>
      </c>
      <c r="AQ412">
        <f>IF($AM412=1,IFERROR(VALUE(MID($D412,2,20)),1000000000)+ROW()/100000,"")</f>
        <v/>
      </c>
    </row>
    <row r="413">
      <c r="G413" s="11" t="n"/>
      <c r="Q413" s="7">
        <f>IF($D413="","",P413*Y413/100)</f>
        <v/>
      </c>
      <c r="R413" s="7" t="n"/>
      <c r="X413" s="7" t="n"/>
      <c r="Y413" s="7" t="n"/>
      <c r="Z413" s="7">
        <f>IF($D413="","",Y413*AD413/100)</f>
        <v/>
      </c>
      <c r="AA413" s="7">
        <f>IF($D413="","",Y413-Z413)</f>
        <v/>
      </c>
      <c r="AB413" s="7">
        <f>IF($D413="","",AA413-Q413)</f>
        <v/>
      </c>
      <c r="AD413">
        <f>IF($D413="","",IF($AP413=1,0,IF($AO413=1,Settings!$C$6,Settings!$C$7))*100)</f>
        <v/>
      </c>
      <c r="AH413" s="7" t="n"/>
      <c r="AK413" s="11" t="n"/>
      <c r="AM413">
        <f>IF($D413="","",IF(COUNTIF($D$2:$D413,$D413)=1,1,0))</f>
        <v/>
      </c>
      <c r="AN413">
        <f>IF($AM413=1,SUMPRODUCT(--($AQ$2:$AQ$1001&lt;$AQ413))+1,"")</f>
        <v/>
      </c>
      <c r="AO413">
        <f>IF($D413="","",IF(OR($U413=TRUE(),$U413="TRUE"),1,0))</f>
        <v/>
      </c>
      <c r="AP413">
        <f>IF($D413="","",IF($AC413="Yes",1,0))</f>
        <v/>
      </c>
      <c r="AQ413">
        <f>IF($AM413=1,IFERROR(VALUE(MID($D413,2,20)),1000000000)+ROW()/100000,"")</f>
        <v/>
      </c>
    </row>
    <row r="414">
      <c r="G414" s="11" t="n"/>
      <c r="Q414" s="7">
        <f>IF($D414="","",P414*Y414/100)</f>
        <v/>
      </c>
      <c r="R414" s="7" t="n"/>
      <c r="X414" s="7" t="n"/>
      <c r="Y414" s="7" t="n"/>
      <c r="Z414" s="7">
        <f>IF($D414="","",Y414*AD414/100)</f>
        <v/>
      </c>
      <c r="AA414" s="7">
        <f>IF($D414="","",Y414-Z414)</f>
        <v/>
      </c>
      <c r="AB414" s="7">
        <f>IF($D414="","",AA414-Q414)</f>
        <v/>
      </c>
      <c r="AD414">
        <f>IF($D414="","",IF($AP414=1,0,IF($AO414=1,Settings!$C$6,Settings!$C$7))*100)</f>
        <v/>
      </c>
      <c r="AH414" s="7" t="n"/>
      <c r="AK414" s="11" t="n"/>
      <c r="AM414">
        <f>IF($D414="","",IF(COUNTIF($D$2:$D414,$D414)=1,1,0))</f>
        <v/>
      </c>
      <c r="AN414">
        <f>IF($AM414=1,SUMPRODUCT(--($AQ$2:$AQ$1001&lt;$AQ414))+1,"")</f>
        <v/>
      </c>
      <c r="AO414">
        <f>IF($D414="","",IF(OR($U414=TRUE(),$U414="TRUE"),1,0))</f>
        <v/>
      </c>
      <c r="AP414">
        <f>IF($D414="","",IF($AC414="Yes",1,0))</f>
        <v/>
      </c>
      <c r="AQ414">
        <f>IF($AM414=1,IFERROR(VALUE(MID($D414,2,20)),1000000000)+ROW()/100000,"")</f>
        <v/>
      </c>
    </row>
    <row r="415">
      <c r="G415" s="11" t="n"/>
      <c r="Q415" s="7">
        <f>IF($D415="","",P415*Y415/100)</f>
        <v/>
      </c>
      <c r="R415" s="7" t="n"/>
      <c r="X415" s="7" t="n"/>
      <c r="Y415" s="7" t="n"/>
      <c r="Z415" s="7">
        <f>IF($D415="","",Y415*AD415/100)</f>
        <v/>
      </c>
      <c r="AA415" s="7">
        <f>IF($D415="","",Y415-Z415)</f>
        <v/>
      </c>
      <c r="AB415" s="7">
        <f>IF($D415="","",AA415-Q415)</f>
        <v/>
      </c>
      <c r="AD415">
        <f>IF($D415="","",IF($AP415=1,0,IF($AO415=1,Settings!$C$6,Settings!$C$7))*100)</f>
        <v/>
      </c>
      <c r="AH415" s="7" t="n"/>
      <c r="AK415" s="11" t="n"/>
      <c r="AM415">
        <f>IF($D415="","",IF(COUNTIF($D$2:$D415,$D415)=1,1,0))</f>
        <v/>
      </c>
      <c r="AN415">
        <f>IF($AM415=1,SUMPRODUCT(--($AQ$2:$AQ$1001&lt;$AQ415))+1,"")</f>
        <v/>
      </c>
      <c r="AO415">
        <f>IF($D415="","",IF(OR($U415=TRUE(),$U415="TRUE"),1,0))</f>
        <v/>
      </c>
      <c r="AP415">
        <f>IF($D415="","",IF($AC415="Yes",1,0))</f>
        <v/>
      </c>
      <c r="AQ415">
        <f>IF($AM415=1,IFERROR(VALUE(MID($D415,2,20)),1000000000)+ROW()/100000,"")</f>
        <v/>
      </c>
    </row>
    <row r="416">
      <c r="G416" s="11" t="n"/>
      <c r="Q416" s="7">
        <f>IF($D416="","",P416*Y416/100)</f>
        <v/>
      </c>
      <c r="R416" s="7" t="n"/>
      <c r="X416" s="7" t="n"/>
      <c r="Y416" s="7" t="n"/>
      <c r="Z416" s="7">
        <f>IF($D416="","",Y416*AD416/100)</f>
        <v/>
      </c>
      <c r="AA416" s="7">
        <f>IF($D416="","",Y416-Z416)</f>
        <v/>
      </c>
      <c r="AB416" s="7">
        <f>IF($D416="","",AA416-Q416)</f>
        <v/>
      </c>
      <c r="AD416">
        <f>IF($D416="","",IF($AP416=1,0,IF($AO416=1,Settings!$C$6,Settings!$C$7))*100)</f>
        <v/>
      </c>
      <c r="AH416" s="7" t="n"/>
      <c r="AK416" s="11" t="n"/>
      <c r="AM416">
        <f>IF($D416="","",IF(COUNTIF($D$2:$D416,$D416)=1,1,0))</f>
        <v/>
      </c>
      <c r="AN416">
        <f>IF($AM416=1,SUMPRODUCT(--($AQ$2:$AQ$1001&lt;$AQ416))+1,"")</f>
        <v/>
      </c>
      <c r="AO416">
        <f>IF($D416="","",IF(OR($U416=TRUE(),$U416="TRUE"),1,0))</f>
        <v/>
      </c>
      <c r="AP416">
        <f>IF($D416="","",IF($AC416="Yes",1,0))</f>
        <v/>
      </c>
      <c r="AQ416">
        <f>IF($AM416=1,IFERROR(VALUE(MID($D416,2,20)),1000000000)+ROW()/100000,"")</f>
        <v/>
      </c>
    </row>
    <row r="417">
      <c r="G417" s="11" t="n"/>
      <c r="Q417" s="7">
        <f>IF($D417="","",P417*Y417/100)</f>
        <v/>
      </c>
      <c r="R417" s="7" t="n"/>
      <c r="X417" s="7" t="n"/>
      <c r="Y417" s="7" t="n"/>
      <c r="Z417" s="7">
        <f>IF($D417="","",Y417*AD417/100)</f>
        <v/>
      </c>
      <c r="AA417" s="7">
        <f>IF($D417="","",Y417-Z417)</f>
        <v/>
      </c>
      <c r="AB417" s="7">
        <f>IF($D417="","",AA417-Q417)</f>
        <v/>
      </c>
      <c r="AD417">
        <f>IF($D417="","",IF($AP417=1,0,IF($AO417=1,Settings!$C$6,Settings!$C$7))*100)</f>
        <v/>
      </c>
      <c r="AH417" s="7" t="n"/>
      <c r="AK417" s="11" t="n"/>
      <c r="AM417">
        <f>IF($D417="","",IF(COUNTIF($D$2:$D417,$D417)=1,1,0))</f>
        <v/>
      </c>
      <c r="AN417">
        <f>IF($AM417=1,SUMPRODUCT(--($AQ$2:$AQ$1001&lt;$AQ417))+1,"")</f>
        <v/>
      </c>
      <c r="AO417">
        <f>IF($D417="","",IF(OR($U417=TRUE(),$U417="TRUE"),1,0))</f>
        <v/>
      </c>
      <c r="AP417">
        <f>IF($D417="","",IF($AC417="Yes",1,0))</f>
        <v/>
      </c>
      <c r="AQ417">
        <f>IF($AM417=1,IFERROR(VALUE(MID($D417,2,20)),1000000000)+ROW()/100000,"")</f>
        <v/>
      </c>
    </row>
    <row r="418">
      <c r="G418" s="11" t="n"/>
      <c r="Q418" s="7">
        <f>IF($D418="","",P418*Y418/100)</f>
        <v/>
      </c>
      <c r="R418" s="7" t="n"/>
      <c r="X418" s="7" t="n"/>
      <c r="Y418" s="7" t="n"/>
      <c r="Z418" s="7">
        <f>IF($D418="","",Y418*AD418/100)</f>
        <v/>
      </c>
      <c r="AA418" s="7">
        <f>IF($D418="","",Y418-Z418)</f>
        <v/>
      </c>
      <c r="AB418" s="7">
        <f>IF($D418="","",AA418-Q418)</f>
        <v/>
      </c>
      <c r="AD418">
        <f>IF($D418="","",IF($AP418=1,0,IF($AO418=1,Settings!$C$6,Settings!$C$7))*100)</f>
        <v/>
      </c>
      <c r="AH418" s="7" t="n"/>
      <c r="AK418" s="11" t="n"/>
      <c r="AM418">
        <f>IF($D418="","",IF(COUNTIF($D$2:$D418,$D418)=1,1,0))</f>
        <v/>
      </c>
      <c r="AN418">
        <f>IF($AM418=1,SUMPRODUCT(--($AQ$2:$AQ$1001&lt;$AQ418))+1,"")</f>
        <v/>
      </c>
      <c r="AO418">
        <f>IF($D418="","",IF(OR($U418=TRUE(),$U418="TRUE"),1,0))</f>
        <v/>
      </c>
      <c r="AP418">
        <f>IF($D418="","",IF($AC418="Yes",1,0))</f>
        <v/>
      </c>
      <c r="AQ418">
        <f>IF($AM418=1,IFERROR(VALUE(MID($D418,2,20)),1000000000)+ROW()/100000,"")</f>
        <v/>
      </c>
    </row>
    <row r="419">
      <c r="G419" s="11" t="n"/>
      <c r="Q419" s="7">
        <f>IF($D419="","",P419*Y419/100)</f>
        <v/>
      </c>
      <c r="R419" s="7" t="n"/>
      <c r="X419" s="7" t="n"/>
      <c r="Y419" s="7" t="n"/>
      <c r="Z419" s="7">
        <f>IF($D419="","",Y419*AD419/100)</f>
        <v/>
      </c>
      <c r="AA419" s="7">
        <f>IF($D419="","",Y419-Z419)</f>
        <v/>
      </c>
      <c r="AB419" s="7">
        <f>IF($D419="","",AA419-Q419)</f>
        <v/>
      </c>
      <c r="AD419">
        <f>IF($D419="","",IF($AP419=1,0,IF($AO419=1,Settings!$C$6,Settings!$C$7))*100)</f>
        <v/>
      </c>
      <c r="AH419" s="7" t="n"/>
      <c r="AK419" s="11" t="n"/>
      <c r="AM419">
        <f>IF($D419="","",IF(COUNTIF($D$2:$D419,$D419)=1,1,0))</f>
        <v/>
      </c>
      <c r="AN419">
        <f>IF($AM419=1,SUMPRODUCT(--($AQ$2:$AQ$1001&lt;$AQ419))+1,"")</f>
        <v/>
      </c>
      <c r="AO419">
        <f>IF($D419="","",IF(OR($U419=TRUE(),$U419="TRUE"),1,0))</f>
        <v/>
      </c>
      <c r="AP419">
        <f>IF($D419="","",IF($AC419="Yes",1,0))</f>
        <v/>
      </c>
      <c r="AQ419">
        <f>IF($AM419=1,IFERROR(VALUE(MID($D419,2,20)),1000000000)+ROW()/100000,"")</f>
        <v/>
      </c>
    </row>
    <row r="420">
      <c r="G420" s="11" t="n"/>
      <c r="Q420" s="7">
        <f>IF($D420="","",P420*Y420/100)</f>
        <v/>
      </c>
      <c r="R420" s="7" t="n"/>
      <c r="X420" s="7" t="n"/>
      <c r="Y420" s="7" t="n"/>
      <c r="Z420" s="7">
        <f>IF($D420="","",Y420*AD420/100)</f>
        <v/>
      </c>
      <c r="AA420" s="7">
        <f>IF($D420="","",Y420-Z420)</f>
        <v/>
      </c>
      <c r="AB420" s="7">
        <f>IF($D420="","",AA420-Q420)</f>
        <v/>
      </c>
      <c r="AD420">
        <f>IF($D420="","",IF($AP420=1,0,IF($AO420=1,Settings!$C$6,Settings!$C$7))*100)</f>
        <v/>
      </c>
      <c r="AH420" s="7" t="n"/>
      <c r="AK420" s="11" t="n"/>
      <c r="AM420">
        <f>IF($D420="","",IF(COUNTIF($D$2:$D420,$D420)=1,1,0))</f>
        <v/>
      </c>
      <c r="AN420">
        <f>IF($AM420=1,SUMPRODUCT(--($AQ$2:$AQ$1001&lt;$AQ420))+1,"")</f>
        <v/>
      </c>
      <c r="AO420">
        <f>IF($D420="","",IF(OR($U420=TRUE(),$U420="TRUE"),1,0))</f>
        <v/>
      </c>
      <c r="AP420">
        <f>IF($D420="","",IF($AC420="Yes",1,0))</f>
        <v/>
      </c>
      <c r="AQ420">
        <f>IF($AM420=1,IFERROR(VALUE(MID($D420,2,20)),1000000000)+ROW()/100000,"")</f>
        <v/>
      </c>
    </row>
    <row r="421">
      <c r="G421" s="11" t="n"/>
      <c r="Q421" s="7">
        <f>IF($D421="","",P421*Y421/100)</f>
        <v/>
      </c>
      <c r="R421" s="7" t="n"/>
      <c r="X421" s="7" t="n"/>
      <c r="Y421" s="7" t="n"/>
      <c r="Z421" s="7">
        <f>IF($D421="","",Y421*AD421/100)</f>
        <v/>
      </c>
      <c r="AA421" s="7">
        <f>IF($D421="","",Y421-Z421)</f>
        <v/>
      </c>
      <c r="AB421" s="7">
        <f>IF($D421="","",AA421-Q421)</f>
        <v/>
      </c>
      <c r="AD421">
        <f>IF($D421="","",IF($AP421=1,0,IF($AO421=1,Settings!$C$6,Settings!$C$7))*100)</f>
        <v/>
      </c>
      <c r="AH421" s="7" t="n"/>
      <c r="AK421" s="11" t="n"/>
      <c r="AM421">
        <f>IF($D421="","",IF(COUNTIF($D$2:$D421,$D421)=1,1,0))</f>
        <v/>
      </c>
      <c r="AN421">
        <f>IF($AM421=1,SUMPRODUCT(--($AQ$2:$AQ$1001&lt;$AQ421))+1,"")</f>
        <v/>
      </c>
      <c r="AO421">
        <f>IF($D421="","",IF(OR($U421=TRUE(),$U421="TRUE"),1,0))</f>
        <v/>
      </c>
      <c r="AP421">
        <f>IF($D421="","",IF($AC421="Yes",1,0))</f>
        <v/>
      </c>
      <c r="AQ421">
        <f>IF($AM421=1,IFERROR(VALUE(MID($D421,2,20)),1000000000)+ROW()/100000,"")</f>
        <v/>
      </c>
    </row>
    <row r="422">
      <c r="G422" s="11" t="n"/>
      <c r="Q422" s="7">
        <f>IF($D422="","",P422*Y422/100)</f>
        <v/>
      </c>
      <c r="R422" s="7" t="n"/>
      <c r="X422" s="7" t="n"/>
      <c r="Y422" s="7" t="n"/>
      <c r="Z422" s="7">
        <f>IF($D422="","",Y422*AD422/100)</f>
        <v/>
      </c>
      <c r="AA422" s="7">
        <f>IF($D422="","",Y422-Z422)</f>
        <v/>
      </c>
      <c r="AB422" s="7">
        <f>IF($D422="","",AA422-Q422)</f>
        <v/>
      </c>
      <c r="AD422">
        <f>IF($D422="","",IF($AP422=1,0,IF($AO422=1,Settings!$C$6,Settings!$C$7))*100)</f>
        <v/>
      </c>
      <c r="AH422" s="7" t="n"/>
      <c r="AK422" s="11" t="n"/>
      <c r="AM422">
        <f>IF($D422="","",IF(COUNTIF($D$2:$D422,$D422)=1,1,0))</f>
        <v/>
      </c>
      <c r="AN422">
        <f>IF($AM422=1,SUMPRODUCT(--($AQ$2:$AQ$1001&lt;$AQ422))+1,"")</f>
        <v/>
      </c>
      <c r="AO422">
        <f>IF($D422="","",IF(OR($U422=TRUE(),$U422="TRUE"),1,0))</f>
        <v/>
      </c>
      <c r="AP422">
        <f>IF($D422="","",IF($AC422="Yes",1,0))</f>
        <v/>
      </c>
      <c r="AQ422">
        <f>IF($AM422=1,IFERROR(VALUE(MID($D422,2,20)),1000000000)+ROW()/100000,"")</f>
        <v/>
      </c>
    </row>
    <row r="423">
      <c r="G423" s="11" t="n"/>
      <c r="Q423" s="7">
        <f>IF($D423="","",P423*Y423/100)</f>
        <v/>
      </c>
      <c r="R423" s="7" t="n"/>
      <c r="X423" s="7" t="n"/>
      <c r="Y423" s="7" t="n"/>
      <c r="Z423" s="7">
        <f>IF($D423="","",Y423*AD423/100)</f>
        <v/>
      </c>
      <c r="AA423" s="7">
        <f>IF($D423="","",Y423-Z423)</f>
        <v/>
      </c>
      <c r="AB423" s="7">
        <f>IF($D423="","",AA423-Q423)</f>
        <v/>
      </c>
      <c r="AD423">
        <f>IF($D423="","",IF($AP423=1,0,IF($AO423=1,Settings!$C$6,Settings!$C$7))*100)</f>
        <v/>
      </c>
      <c r="AH423" s="7" t="n"/>
      <c r="AK423" s="11" t="n"/>
      <c r="AM423">
        <f>IF($D423="","",IF(COUNTIF($D$2:$D423,$D423)=1,1,0))</f>
        <v/>
      </c>
      <c r="AN423">
        <f>IF($AM423=1,SUMPRODUCT(--($AQ$2:$AQ$1001&lt;$AQ423))+1,"")</f>
        <v/>
      </c>
      <c r="AO423">
        <f>IF($D423="","",IF(OR($U423=TRUE(),$U423="TRUE"),1,0))</f>
        <v/>
      </c>
      <c r="AP423">
        <f>IF($D423="","",IF($AC423="Yes",1,0))</f>
        <v/>
      </c>
      <c r="AQ423">
        <f>IF($AM423=1,IFERROR(VALUE(MID($D423,2,20)),1000000000)+ROW()/100000,"")</f>
        <v/>
      </c>
    </row>
    <row r="424">
      <c r="G424" s="11" t="n"/>
      <c r="Q424" s="7">
        <f>IF($D424="","",P424*Y424/100)</f>
        <v/>
      </c>
      <c r="R424" s="7" t="n"/>
      <c r="X424" s="7" t="n"/>
      <c r="Y424" s="7" t="n"/>
      <c r="Z424" s="7">
        <f>IF($D424="","",Y424*AD424/100)</f>
        <v/>
      </c>
      <c r="AA424" s="7">
        <f>IF($D424="","",Y424-Z424)</f>
        <v/>
      </c>
      <c r="AB424" s="7">
        <f>IF($D424="","",AA424-Q424)</f>
        <v/>
      </c>
      <c r="AD424">
        <f>IF($D424="","",IF($AP424=1,0,IF($AO424=1,Settings!$C$6,Settings!$C$7))*100)</f>
        <v/>
      </c>
      <c r="AH424" s="7" t="n"/>
      <c r="AK424" s="11" t="n"/>
      <c r="AM424">
        <f>IF($D424="","",IF(COUNTIF($D$2:$D424,$D424)=1,1,0))</f>
        <v/>
      </c>
      <c r="AN424">
        <f>IF($AM424=1,SUMPRODUCT(--($AQ$2:$AQ$1001&lt;$AQ424))+1,"")</f>
        <v/>
      </c>
      <c r="AO424">
        <f>IF($D424="","",IF(OR($U424=TRUE(),$U424="TRUE"),1,0))</f>
        <v/>
      </c>
      <c r="AP424">
        <f>IF($D424="","",IF($AC424="Yes",1,0))</f>
        <v/>
      </c>
      <c r="AQ424">
        <f>IF($AM424=1,IFERROR(VALUE(MID($D424,2,20)),1000000000)+ROW()/100000,"")</f>
        <v/>
      </c>
    </row>
    <row r="425">
      <c r="G425" s="11" t="n"/>
      <c r="Q425" s="7">
        <f>IF($D425="","",P425*Y425/100)</f>
        <v/>
      </c>
      <c r="R425" s="7" t="n"/>
      <c r="X425" s="7" t="n"/>
      <c r="Y425" s="7" t="n"/>
      <c r="Z425" s="7">
        <f>IF($D425="","",Y425*AD425/100)</f>
        <v/>
      </c>
      <c r="AA425" s="7">
        <f>IF($D425="","",Y425-Z425)</f>
        <v/>
      </c>
      <c r="AB425" s="7">
        <f>IF($D425="","",AA425-Q425)</f>
        <v/>
      </c>
      <c r="AD425">
        <f>IF($D425="","",IF($AP425=1,0,IF($AO425=1,Settings!$C$6,Settings!$C$7))*100)</f>
        <v/>
      </c>
      <c r="AH425" s="7" t="n"/>
      <c r="AK425" s="11" t="n"/>
      <c r="AM425">
        <f>IF($D425="","",IF(COUNTIF($D$2:$D425,$D425)=1,1,0))</f>
        <v/>
      </c>
      <c r="AN425">
        <f>IF($AM425=1,SUMPRODUCT(--($AQ$2:$AQ$1001&lt;$AQ425))+1,"")</f>
        <v/>
      </c>
      <c r="AO425">
        <f>IF($D425="","",IF(OR($U425=TRUE(),$U425="TRUE"),1,0))</f>
        <v/>
      </c>
      <c r="AP425">
        <f>IF($D425="","",IF($AC425="Yes",1,0))</f>
        <v/>
      </c>
      <c r="AQ425">
        <f>IF($AM425=1,IFERROR(VALUE(MID($D425,2,20)),1000000000)+ROW()/100000,"")</f>
        <v/>
      </c>
    </row>
    <row r="426">
      <c r="G426" s="11" t="n"/>
      <c r="Q426" s="7">
        <f>IF($D426="","",P426*Y426/100)</f>
        <v/>
      </c>
      <c r="R426" s="7" t="n"/>
      <c r="X426" s="7" t="n"/>
      <c r="Y426" s="7" t="n"/>
      <c r="Z426" s="7">
        <f>IF($D426="","",Y426*AD426/100)</f>
        <v/>
      </c>
      <c r="AA426" s="7">
        <f>IF($D426="","",Y426-Z426)</f>
        <v/>
      </c>
      <c r="AB426" s="7">
        <f>IF($D426="","",AA426-Q426)</f>
        <v/>
      </c>
      <c r="AD426">
        <f>IF($D426="","",IF($AP426=1,0,IF($AO426=1,Settings!$C$6,Settings!$C$7))*100)</f>
        <v/>
      </c>
      <c r="AH426" s="7" t="n"/>
      <c r="AK426" s="11" t="n"/>
      <c r="AM426">
        <f>IF($D426="","",IF(COUNTIF($D$2:$D426,$D426)=1,1,0))</f>
        <v/>
      </c>
      <c r="AN426">
        <f>IF($AM426=1,SUMPRODUCT(--($AQ$2:$AQ$1001&lt;$AQ426))+1,"")</f>
        <v/>
      </c>
      <c r="AO426">
        <f>IF($D426="","",IF(OR($U426=TRUE(),$U426="TRUE"),1,0))</f>
        <v/>
      </c>
      <c r="AP426">
        <f>IF($D426="","",IF($AC426="Yes",1,0))</f>
        <v/>
      </c>
      <c r="AQ426">
        <f>IF($AM426=1,IFERROR(VALUE(MID($D426,2,20)),1000000000)+ROW()/100000,"")</f>
        <v/>
      </c>
    </row>
    <row r="427">
      <c r="G427" s="11" t="n"/>
      <c r="Q427" s="7">
        <f>IF($D427="","",P427*Y427/100)</f>
        <v/>
      </c>
      <c r="R427" s="7" t="n"/>
      <c r="X427" s="7" t="n"/>
      <c r="Y427" s="7" t="n"/>
      <c r="Z427" s="7">
        <f>IF($D427="","",Y427*AD427/100)</f>
        <v/>
      </c>
      <c r="AA427" s="7">
        <f>IF($D427="","",Y427-Z427)</f>
        <v/>
      </c>
      <c r="AB427" s="7">
        <f>IF($D427="","",AA427-Q427)</f>
        <v/>
      </c>
      <c r="AD427">
        <f>IF($D427="","",IF($AP427=1,0,IF($AO427=1,Settings!$C$6,Settings!$C$7))*100)</f>
        <v/>
      </c>
      <c r="AH427" s="7" t="n"/>
      <c r="AK427" s="11" t="n"/>
      <c r="AM427">
        <f>IF($D427="","",IF(COUNTIF($D$2:$D427,$D427)=1,1,0))</f>
        <v/>
      </c>
      <c r="AN427">
        <f>IF($AM427=1,SUMPRODUCT(--($AQ$2:$AQ$1001&lt;$AQ427))+1,"")</f>
        <v/>
      </c>
      <c r="AO427">
        <f>IF($D427="","",IF(OR($U427=TRUE(),$U427="TRUE"),1,0))</f>
        <v/>
      </c>
      <c r="AP427">
        <f>IF($D427="","",IF($AC427="Yes",1,0))</f>
        <v/>
      </c>
      <c r="AQ427">
        <f>IF($AM427=1,IFERROR(VALUE(MID($D427,2,20)),1000000000)+ROW()/100000,"")</f>
        <v/>
      </c>
    </row>
    <row r="428">
      <c r="G428" s="11" t="n"/>
      <c r="Q428" s="7">
        <f>IF($D428="","",P428*Y428/100)</f>
        <v/>
      </c>
      <c r="R428" s="7" t="n"/>
      <c r="X428" s="7" t="n"/>
      <c r="Y428" s="7" t="n"/>
      <c r="Z428" s="7">
        <f>IF($D428="","",Y428*AD428/100)</f>
        <v/>
      </c>
      <c r="AA428" s="7">
        <f>IF($D428="","",Y428-Z428)</f>
        <v/>
      </c>
      <c r="AB428" s="7">
        <f>IF($D428="","",AA428-Q428)</f>
        <v/>
      </c>
      <c r="AD428">
        <f>IF($D428="","",IF($AP428=1,0,IF($AO428=1,Settings!$C$6,Settings!$C$7))*100)</f>
        <v/>
      </c>
      <c r="AH428" s="7" t="n"/>
      <c r="AK428" s="11" t="n"/>
      <c r="AM428">
        <f>IF($D428="","",IF(COUNTIF($D$2:$D428,$D428)=1,1,0))</f>
        <v/>
      </c>
      <c r="AN428">
        <f>IF($AM428=1,SUMPRODUCT(--($AQ$2:$AQ$1001&lt;$AQ428))+1,"")</f>
        <v/>
      </c>
      <c r="AO428">
        <f>IF($D428="","",IF(OR($U428=TRUE(),$U428="TRUE"),1,0))</f>
        <v/>
      </c>
      <c r="AP428">
        <f>IF($D428="","",IF($AC428="Yes",1,0))</f>
        <v/>
      </c>
      <c r="AQ428">
        <f>IF($AM428=1,IFERROR(VALUE(MID($D428,2,20)),1000000000)+ROW()/100000,"")</f>
        <v/>
      </c>
    </row>
    <row r="429">
      <c r="G429" s="11" t="n"/>
      <c r="Q429" s="7">
        <f>IF($D429="","",P429*Y429/100)</f>
        <v/>
      </c>
      <c r="R429" s="7" t="n"/>
      <c r="X429" s="7" t="n"/>
      <c r="Y429" s="7" t="n"/>
      <c r="Z429" s="7">
        <f>IF($D429="","",Y429*AD429/100)</f>
        <v/>
      </c>
      <c r="AA429" s="7">
        <f>IF($D429="","",Y429-Z429)</f>
        <v/>
      </c>
      <c r="AB429" s="7">
        <f>IF($D429="","",AA429-Q429)</f>
        <v/>
      </c>
      <c r="AD429">
        <f>IF($D429="","",IF($AP429=1,0,IF($AO429=1,Settings!$C$6,Settings!$C$7))*100)</f>
        <v/>
      </c>
      <c r="AH429" s="7" t="n"/>
      <c r="AK429" s="11" t="n"/>
      <c r="AM429">
        <f>IF($D429="","",IF(COUNTIF($D$2:$D429,$D429)=1,1,0))</f>
        <v/>
      </c>
      <c r="AN429">
        <f>IF($AM429=1,SUMPRODUCT(--($AQ$2:$AQ$1001&lt;$AQ429))+1,"")</f>
        <v/>
      </c>
      <c r="AO429">
        <f>IF($D429="","",IF(OR($U429=TRUE(),$U429="TRUE"),1,0))</f>
        <v/>
      </c>
      <c r="AP429">
        <f>IF($D429="","",IF($AC429="Yes",1,0))</f>
        <v/>
      </c>
      <c r="AQ429">
        <f>IF($AM429=1,IFERROR(VALUE(MID($D429,2,20)),1000000000)+ROW()/100000,"")</f>
        <v/>
      </c>
    </row>
    <row r="430">
      <c r="G430" s="11" t="n"/>
      <c r="Q430" s="7">
        <f>IF($D430="","",P430*Y430/100)</f>
        <v/>
      </c>
      <c r="R430" s="7" t="n"/>
      <c r="X430" s="7" t="n"/>
      <c r="Y430" s="7" t="n"/>
      <c r="Z430" s="7">
        <f>IF($D430="","",Y430*AD430/100)</f>
        <v/>
      </c>
      <c r="AA430" s="7">
        <f>IF($D430="","",Y430-Z430)</f>
        <v/>
      </c>
      <c r="AB430" s="7">
        <f>IF($D430="","",AA430-Q430)</f>
        <v/>
      </c>
      <c r="AD430">
        <f>IF($D430="","",IF($AP430=1,0,IF($AO430=1,Settings!$C$6,Settings!$C$7))*100)</f>
        <v/>
      </c>
      <c r="AH430" s="7" t="n"/>
      <c r="AK430" s="11" t="n"/>
      <c r="AM430">
        <f>IF($D430="","",IF(COUNTIF($D$2:$D430,$D430)=1,1,0))</f>
        <v/>
      </c>
      <c r="AN430">
        <f>IF($AM430=1,SUMPRODUCT(--($AQ$2:$AQ$1001&lt;$AQ430))+1,"")</f>
        <v/>
      </c>
      <c r="AO430">
        <f>IF($D430="","",IF(OR($U430=TRUE(),$U430="TRUE"),1,0))</f>
        <v/>
      </c>
      <c r="AP430">
        <f>IF($D430="","",IF($AC430="Yes",1,0))</f>
        <v/>
      </c>
      <c r="AQ430">
        <f>IF($AM430=1,IFERROR(VALUE(MID($D430,2,20)),1000000000)+ROW()/100000,"")</f>
        <v/>
      </c>
    </row>
    <row r="431">
      <c r="G431" s="11" t="n"/>
      <c r="Q431" s="7">
        <f>IF($D431="","",P431*Y431/100)</f>
        <v/>
      </c>
      <c r="R431" s="7" t="n"/>
      <c r="X431" s="7" t="n"/>
      <c r="Y431" s="7" t="n"/>
      <c r="Z431" s="7">
        <f>IF($D431="","",Y431*AD431/100)</f>
        <v/>
      </c>
      <c r="AA431" s="7">
        <f>IF($D431="","",Y431-Z431)</f>
        <v/>
      </c>
      <c r="AB431" s="7">
        <f>IF($D431="","",AA431-Q431)</f>
        <v/>
      </c>
      <c r="AD431">
        <f>IF($D431="","",IF($AP431=1,0,IF($AO431=1,Settings!$C$6,Settings!$C$7))*100)</f>
        <v/>
      </c>
      <c r="AH431" s="7" t="n"/>
      <c r="AK431" s="11" t="n"/>
      <c r="AM431">
        <f>IF($D431="","",IF(COUNTIF($D$2:$D431,$D431)=1,1,0))</f>
        <v/>
      </c>
      <c r="AN431">
        <f>IF($AM431=1,SUMPRODUCT(--($AQ$2:$AQ$1001&lt;$AQ431))+1,"")</f>
        <v/>
      </c>
      <c r="AO431">
        <f>IF($D431="","",IF(OR($U431=TRUE(),$U431="TRUE"),1,0))</f>
        <v/>
      </c>
      <c r="AP431">
        <f>IF($D431="","",IF($AC431="Yes",1,0))</f>
        <v/>
      </c>
      <c r="AQ431">
        <f>IF($AM431=1,IFERROR(VALUE(MID($D431,2,20)),1000000000)+ROW()/100000,"")</f>
        <v/>
      </c>
    </row>
    <row r="432">
      <c r="G432" s="11" t="n"/>
      <c r="Q432" s="7">
        <f>IF($D432="","",P432*Y432/100)</f>
        <v/>
      </c>
      <c r="R432" s="7" t="n"/>
      <c r="X432" s="7" t="n"/>
      <c r="Y432" s="7" t="n"/>
      <c r="Z432" s="7">
        <f>IF($D432="","",Y432*AD432/100)</f>
        <v/>
      </c>
      <c r="AA432" s="7">
        <f>IF($D432="","",Y432-Z432)</f>
        <v/>
      </c>
      <c r="AB432" s="7">
        <f>IF($D432="","",AA432-Q432)</f>
        <v/>
      </c>
      <c r="AD432">
        <f>IF($D432="","",IF($AP432=1,0,IF($AO432=1,Settings!$C$6,Settings!$C$7))*100)</f>
        <v/>
      </c>
      <c r="AH432" s="7" t="n"/>
      <c r="AK432" s="11" t="n"/>
      <c r="AM432">
        <f>IF($D432="","",IF(COUNTIF($D$2:$D432,$D432)=1,1,0))</f>
        <v/>
      </c>
      <c r="AN432">
        <f>IF($AM432=1,SUMPRODUCT(--($AQ$2:$AQ$1001&lt;$AQ432))+1,"")</f>
        <v/>
      </c>
      <c r="AO432">
        <f>IF($D432="","",IF(OR($U432=TRUE(),$U432="TRUE"),1,0))</f>
        <v/>
      </c>
      <c r="AP432">
        <f>IF($D432="","",IF($AC432="Yes",1,0))</f>
        <v/>
      </c>
      <c r="AQ432">
        <f>IF($AM432=1,IFERROR(VALUE(MID($D432,2,20)),1000000000)+ROW()/100000,"")</f>
        <v/>
      </c>
    </row>
    <row r="433">
      <c r="G433" s="11" t="n"/>
      <c r="Q433" s="7">
        <f>IF($D433="","",P433*Y433/100)</f>
        <v/>
      </c>
      <c r="R433" s="7" t="n"/>
      <c r="X433" s="7" t="n"/>
      <c r="Y433" s="7" t="n"/>
      <c r="Z433" s="7">
        <f>IF($D433="","",Y433*AD433/100)</f>
        <v/>
      </c>
      <c r="AA433" s="7">
        <f>IF($D433="","",Y433-Z433)</f>
        <v/>
      </c>
      <c r="AB433" s="7">
        <f>IF($D433="","",AA433-Q433)</f>
        <v/>
      </c>
      <c r="AD433">
        <f>IF($D433="","",IF($AP433=1,0,IF($AO433=1,Settings!$C$6,Settings!$C$7))*100)</f>
        <v/>
      </c>
      <c r="AH433" s="7" t="n"/>
      <c r="AK433" s="11" t="n"/>
      <c r="AM433">
        <f>IF($D433="","",IF(COUNTIF($D$2:$D433,$D433)=1,1,0))</f>
        <v/>
      </c>
      <c r="AN433">
        <f>IF($AM433=1,SUMPRODUCT(--($AQ$2:$AQ$1001&lt;$AQ433))+1,"")</f>
        <v/>
      </c>
      <c r="AO433">
        <f>IF($D433="","",IF(OR($U433=TRUE(),$U433="TRUE"),1,0))</f>
        <v/>
      </c>
      <c r="AP433">
        <f>IF($D433="","",IF($AC433="Yes",1,0))</f>
        <v/>
      </c>
      <c r="AQ433">
        <f>IF($AM433=1,IFERROR(VALUE(MID($D433,2,20)),1000000000)+ROW()/100000,"")</f>
        <v/>
      </c>
    </row>
    <row r="434">
      <c r="G434" s="11" t="n"/>
      <c r="Q434" s="7">
        <f>IF($D434="","",P434*Y434/100)</f>
        <v/>
      </c>
      <c r="R434" s="7" t="n"/>
      <c r="X434" s="7" t="n"/>
      <c r="Y434" s="7" t="n"/>
      <c r="Z434" s="7">
        <f>IF($D434="","",Y434*AD434/100)</f>
        <v/>
      </c>
      <c r="AA434" s="7">
        <f>IF($D434="","",Y434-Z434)</f>
        <v/>
      </c>
      <c r="AB434" s="7">
        <f>IF($D434="","",AA434-Q434)</f>
        <v/>
      </c>
      <c r="AD434">
        <f>IF($D434="","",IF($AP434=1,0,IF($AO434=1,Settings!$C$6,Settings!$C$7))*100)</f>
        <v/>
      </c>
      <c r="AH434" s="7" t="n"/>
      <c r="AK434" s="11" t="n"/>
      <c r="AM434">
        <f>IF($D434="","",IF(COUNTIF($D$2:$D434,$D434)=1,1,0))</f>
        <v/>
      </c>
      <c r="AN434">
        <f>IF($AM434=1,SUMPRODUCT(--($AQ$2:$AQ$1001&lt;$AQ434))+1,"")</f>
        <v/>
      </c>
      <c r="AO434">
        <f>IF($D434="","",IF(OR($U434=TRUE(),$U434="TRUE"),1,0))</f>
        <v/>
      </c>
      <c r="AP434">
        <f>IF($D434="","",IF($AC434="Yes",1,0))</f>
        <v/>
      </c>
      <c r="AQ434">
        <f>IF($AM434=1,IFERROR(VALUE(MID($D434,2,20)),1000000000)+ROW()/100000,"")</f>
        <v/>
      </c>
    </row>
    <row r="435">
      <c r="G435" s="11" t="n"/>
      <c r="Q435" s="7">
        <f>IF($D435="","",P435*Y435/100)</f>
        <v/>
      </c>
      <c r="R435" s="7" t="n"/>
      <c r="X435" s="7" t="n"/>
      <c r="Y435" s="7" t="n"/>
      <c r="Z435" s="7">
        <f>IF($D435="","",Y435*AD435/100)</f>
        <v/>
      </c>
      <c r="AA435" s="7">
        <f>IF($D435="","",Y435-Z435)</f>
        <v/>
      </c>
      <c r="AB435" s="7">
        <f>IF($D435="","",AA435-Q435)</f>
        <v/>
      </c>
      <c r="AD435">
        <f>IF($D435="","",IF($AP435=1,0,IF($AO435=1,Settings!$C$6,Settings!$C$7))*100)</f>
        <v/>
      </c>
      <c r="AH435" s="7" t="n"/>
      <c r="AK435" s="11" t="n"/>
      <c r="AM435">
        <f>IF($D435="","",IF(COUNTIF($D$2:$D435,$D435)=1,1,0))</f>
        <v/>
      </c>
      <c r="AN435">
        <f>IF($AM435=1,SUMPRODUCT(--($AQ$2:$AQ$1001&lt;$AQ435))+1,"")</f>
        <v/>
      </c>
      <c r="AO435">
        <f>IF($D435="","",IF(OR($U435=TRUE(),$U435="TRUE"),1,0))</f>
        <v/>
      </c>
      <c r="AP435">
        <f>IF($D435="","",IF($AC435="Yes",1,0))</f>
        <v/>
      </c>
      <c r="AQ435">
        <f>IF($AM435=1,IFERROR(VALUE(MID($D435,2,20)),1000000000)+ROW()/100000,"")</f>
        <v/>
      </c>
    </row>
    <row r="436">
      <c r="G436" s="11" t="n"/>
      <c r="Q436" s="7">
        <f>IF($D436="","",P436*Y436/100)</f>
        <v/>
      </c>
      <c r="R436" s="7" t="n"/>
      <c r="X436" s="7" t="n"/>
      <c r="Y436" s="7" t="n"/>
      <c r="Z436" s="7">
        <f>IF($D436="","",Y436*AD436/100)</f>
        <v/>
      </c>
      <c r="AA436" s="7">
        <f>IF($D436="","",Y436-Z436)</f>
        <v/>
      </c>
      <c r="AB436" s="7">
        <f>IF($D436="","",AA436-Q436)</f>
        <v/>
      </c>
      <c r="AD436">
        <f>IF($D436="","",IF($AP436=1,0,IF($AO436=1,Settings!$C$6,Settings!$C$7))*100)</f>
        <v/>
      </c>
      <c r="AH436" s="7" t="n"/>
      <c r="AK436" s="11" t="n"/>
      <c r="AM436">
        <f>IF($D436="","",IF(COUNTIF($D$2:$D436,$D436)=1,1,0))</f>
        <v/>
      </c>
      <c r="AN436">
        <f>IF($AM436=1,SUMPRODUCT(--($AQ$2:$AQ$1001&lt;$AQ436))+1,"")</f>
        <v/>
      </c>
      <c r="AO436">
        <f>IF($D436="","",IF(OR($U436=TRUE(),$U436="TRUE"),1,0))</f>
        <v/>
      </c>
      <c r="AP436">
        <f>IF($D436="","",IF($AC436="Yes",1,0))</f>
        <v/>
      </c>
      <c r="AQ436">
        <f>IF($AM436=1,IFERROR(VALUE(MID($D436,2,20)),1000000000)+ROW()/100000,"")</f>
        <v/>
      </c>
    </row>
    <row r="437">
      <c r="G437" s="11" t="n"/>
      <c r="Q437" s="7">
        <f>IF($D437="","",P437*Y437/100)</f>
        <v/>
      </c>
      <c r="R437" s="7" t="n"/>
      <c r="X437" s="7" t="n"/>
      <c r="Y437" s="7" t="n"/>
      <c r="Z437" s="7">
        <f>IF($D437="","",Y437*AD437/100)</f>
        <v/>
      </c>
      <c r="AA437" s="7">
        <f>IF($D437="","",Y437-Z437)</f>
        <v/>
      </c>
      <c r="AB437" s="7">
        <f>IF($D437="","",AA437-Q437)</f>
        <v/>
      </c>
      <c r="AD437">
        <f>IF($D437="","",IF($AP437=1,0,IF($AO437=1,Settings!$C$6,Settings!$C$7))*100)</f>
        <v/>
      </c>
      <c r="AH437" s="7" t="n"/>
      <c r="AK437" s="11" t="n"/>
      <c r="AM437">
        <f>IF($D437="","",IF(COUNTIF($D$2:$D437,$D437)=1,1,0))</f>
        <v/>
      </c>
      <c r="AN437">
        <f>IF($AM437=1,SUMPRODUCT(--($AQ$2:$AQ$1001&lt;$AQ437))+1,"")</f>
        <v/>
      </c>
      <c r="AO437">
        <f>IF($D437="","",IF(OR($U437=TRUE(),$U437="TRUE"),1,0))</f>
        <v/>
      </c>
      <c r="AP437">
        <f>IF($D437="","",IF($AC437="Yes",1,0))</f>
        <v/>
      </c>
      <c r="AQ437">
        <f>IF($AM437=1,IFERROR(VALUE(MID($D437,2,20)),1000000000)+ROW()/100000,"")</f>
        <v/>
      </c>
    </row>
    <row r="438">
      <c r="G438" s="11" t="n"/>
      <c r="Q438" s="7">
        <f>IF($D438="","",P438*Y438/100)</f>
        <v/>
      </c>
      <c r="R438" s="7" t="n"/>
      <c r="X438" s="7" t="n"/>
      <c r="Y438" s="7" t="n"/>
      <c r="Z438" s="7">
        <f>IF($D438="","",Y438*AD438/100)</f>
        <v/>
      </c>
      <c r="AA438" s="7">
        <f>IF($D438="","",Y438-Z438)</f>
        <v/>
      </c>
      <c r="AB438" s="7">
        <f>IF($D438="","",AA438-Q438)</f>
        <v/>
      </c>
      <c r="AD438">
        <f>IF($D438="","",IF($AP438=1,0,IF($AO438=1,Settings!$C$6,Settings!$C$7))*100)</f>
        <v/>
      </c>
      <c r="AH438" s="7" t="n"/>
      <c r="AK438" s="11" t="n"/>
      <c r="AM438">
        <f>IF($D438="","",IF(COUNTIF($D$2:$D438,$D438)=1,1,0))</f>
        <v/>
      </c>
      <c r="AN438">
        <f>IF($AM438=1,SUMPRODUCT(--($AQ$2:$AQ$1001&lt;$AQ438))+1,"")</f>
        <v/>
      </c>
      <c r="AO438">
        <f>IF($D438="","",IF(OR($U438=TRUE(),$U438="TRUE"),1,0))</f>
        <v/>
      </c>
      <c r="AP438">
        <f>IF($D438="","",IF($AC438="Yes",1,0))</f>
        <v/>
      </c>
      <c r="AQ438">
        <f>IF($AM438=1,IFERROR(VALUE(MID($D438,2,20)),1000000000)+ROW()/100000,"")</f>
        <v/>
      </c>
    </row>
    <row r="439">
      <c r="G439" s="11" t="n"/>
      <c r="Q439" s="7">
        <f>IF($D439="","",P439*Y439/100)</f>
        <v/>
      </c>
      <c r="R439" s="7" t="n"/>
      <c r="X439" s="7" t="n"/>
      <c r="Y439" s="7" t="n"/>
      <c r="Z439" s="7">
        <f>IF($D439="","",Y439*AD439/100)</f>
        <v/>
      </c>
      <c r="AA439" s="7">
        <f>IF($D439="","",Y439-Z439)</f>
        <v/>
      </c>
      <c r="AB439" s="7">
        <f>IF($D439="","",AA439-Q439)</f>
        <v/>
      </c>
      <c r="AD439">
        <f>IF($D439="","",IF($AP439=1,0,IF($AO439=1,Settings!$C$6,Settings!$C$7))*100)</f>
        <v/>
      </c>
      <c r="AH439" s="7" t="n"/>
      <c r="AK439" s="11" t="n"/>
      <c r="AM439">
        <f>IF($D439="","",IF(COUNTIF($D$2:$D439,$D439)=1,1,0))</f>
        <v/>
      </c>
      <c r="AN439">
        <f>IF($AM439=1,SUMPRODUCT(--($AQ$2:$AQ$1001&lt;$AQ439))+1,"")</f>
        <v/>
      </c>
      <c r="AO439">
        <f>IF($D439="","",IF(OR($U439=TRUE(),$U439="TRUE"),1,0))</f>
        <v/>
      </c>
      <c r="AP439">
        <f>IF($D439="","",IF($AC439="Yes",1,0))</f>
        <v/>
      </c>
      <c r="AQ439">
        <f>IF($AM439=1,IFERROR(VALUE(MID($D439,2,20)),1000000000)+ROW()/100000,"")</f>
        <v/>
      </c>
    </row>
    <row r="440">
      <c r="G440" s="11" t="n"/>
      <c r="Q440" s="7">
        <f>IF($D440="","",P440*Y440/100)</f>
        <v/>
      </c>
      <c r="R440" s="7" t="n"/>
      <c r="X440" s="7" t="n"/>
      <c r="Y440" s="7" t="n"/>
      <c r="Z440" s="7">
        <f>IF($D440="","",Y440*AD440/100)</f>
        <v/>
      </c>
      <c r="AA440" s="7">
        <f>IF($D440="","",Y440-Z440)</f>
        <v/>
      </c>
      <c r="AB440" s="7">
        <f>IF($D440="","",AA440-Q440)</f>
        <v/>
      </c>
      <c r="AD440">
        <f>IF($D440="","",IF($AP440=1,0,IF($AO440=1,Settings!$C$6,Settings!$C$7))*100)</f>
        <v/>
      </c>
      <c r="AH440" s="7" t="n"/>
      <c r="AK440" s="11" t="n"/>
      <c r="AM440">
        <f>IF($D440="","",IF(COUNTIF($D$2:$D440,$D440)=1,1,0))</f>
        <v/>
      </c>
      <c r="AN440">
        <f>IF($AM440=1,SUMPRODUCT(--($AQ$2:$AQ$1001&lt;$AQ440))+1,"")</f>
        <v/>
      </c>
      <c r="AO440">
        <f>IF($D440="","",IF(OR($U440=TRUE(),$U440="TRUE"),1,0))</f>
        <v/>
      </c>
      <c r="AP440">
        <f>IF($D440="","",IF($AC440="Yes",1,0))</f>
        <v/>
      </c>
      <c r="AQ440">
        <f>IF($AM440=1,IFERROR(VALUE(MID($D440,2,20)),1000000000)+ROW()/100000,"")</f>
        <v/>
      </c>
    </row>
    <row r="441">
      <c r="G441" s="11" t="n"/>
      <c r="Q441" s="7">
        <f>IF($D441="","",P441*Y441/100)</f>
        <v/>
      </c>
      <c r="R441" s="7" t="n"/>
      <c r="X441" s="7" t="n"/>
      <c r="Y441" s="7" t="n"/>
      <c r="Z441" s="7">
        <f>IF($D441="","",Y441*AD441/100)</f>
        <v/>
      </c>
      <c r="AA441" s="7">
        <f>IF($D441="","",Y441-Z441)</f>
        <v/>
      </c>
      <c r="AB441" s="7">
        <f>IF($D441="","",AA441-Q441)</f>
        <v/>
      </c>
      <c r="AD441">
        <f>IF($D441="","",IF($AP441=1,0,IF($AO441=1,Settings!$C$6,Settings!$C$7))*100)</f>
        <v/>
      </c>
      <c r="AH441" s="7" t="n"/>
      <c r="AK441" s="11" t="n"/>
      <c r="AM441">
        <f>IF($D441="","",IF(COUNTIF($D$2:$D441,$D441)=1,1,0))</f>
        <v/>
      </c>
      <c r="AN441">
        <f>IF($AM441=1,SUMPRODUCT(--($AQ$2:$AQ$1001&lt;$AQ441))+1,"")</f>
        <v/>
      </c>
      <c r="AO441">
        <f>IF($D441="","",IF(OR($U441=TRUE(),$U441="TRUE"),1,0))</f>
        <v/>
      </c>
      <c r="AP441">
        <f>IF($D441="","",IF($AC441="Yes",1,0))</f>
        <v/>
      </c>
      <c r="AQ441">
        <f>IF($AM441=1,IFERROR(VALUE(MID($D441,2,20)),1000000000)+ROW()/100000,"")</f>
        <v/>
      </c>
    </row>
    <row r="442">
      <c r="G442" s="11" t="n"/>
      <c r="Q442" s="7">
        <f>IF($D442="","",P442*Y442/100)</f>
        <v/>
      </c>
      <c r="R442" s="7" t="n"/>
      <c r="X442" s="7" t="n"/>
      <c r="Y442" s="7" t="n"/>
      <c r="Z442" s="7">
        <f>IF($D442="","",Y442*AD442/100)</f>
        <v/>
      </c>
      <c r="AA442" s="7">
        <f>IF($D442="","",Y442-Z442)</f>
        <v/>
      </c>
      <c r="AB442" s="7">
        <f>IF($D442="","",AA442-Q442)</f>
        <v/>
      </c>
      <c r="AD442">
        <f>IF($D442="","",IF($AP442=1,0,IF($AO442=1,Settings!$C$6,Settings!$C$7))*100)</f>
        <v/>
      </c>
      <c r="AH442" s="7" t="n"/>
      <c r="AK442" s="11" t="n"/>
      <c r="AM442">
        <f>IF($D442="","",IF(COUNTIF($D$2:$D442,$D442)=1,1,0))</f>
        <v/>
      </c>
      <c r="AN442">
        <f>IF($AM442=1,SUMPRODUCT(--($AQ$2:$AQ$1001&lt;$AQ442))+1,"")</f>
        <v/>
      </c>
      <c r="AO442">
        <f>IF($D442="","",IF(OR($U442=TRUE(),$U442="TRUE"),1,0))</f>
        <v/>
      </c>
      <c r="AP442">
        <f>IF($D442="","",IF($AC442="Yes",1,0))</f>
        <v/>
      </c>
      <c r="AQ442">
        <f>IF($AM442=1,IFERROR(VALUE(MID($D442,2,20)),1000000000)+ROW()/100000,"")</f>
        <v/>
      </c>
    </row>
    <row r="443">
      <c r="G443" s="11" t="n"/>
      <c r="Q443" s="7">
        <f>IF($D443="","",P443*Y443/100)</f>
        <v/>
      </c>
      <c r="R443" s="7" t="n"/>
      <c r="X443" s="7" t="n"/>
      <c r="Y443" s="7" t="n"/>
      <c r="Z443" s="7">
        <f>IF($D443="","",Y443*AD443/100)</f>
        <v/>
      </c>
      <c r="AA443" s="7">
        <f>IF($D443="","",Y443-Z443)</f>
        <v/>
      </c>
      <c r="AB443" s="7">
        <f>IF($D443="","",AA443-Q443)</f>
        <v/>
      </c>
      <c r="AD443">
        <f>IF($D443="","",IF($AP443=1,0,IF($AO443=1,Settings!$C$6,Settings!$C$7))*100)</f>
        <v/>
      </c>
      <c r="AH443" s="7" t="n"/>
      <c r="AK443" s="11" t="n"/>
      <c r="AM443">
        <f>IF($D443="","",IF(COUNTIF($D$2:$D443,$D443)=1,1,0))</f>
        <v/>
      </c>
      <c r="AN443">
        <f>IF($AM443=1,SUMPRODUCT(--($AQ$2:$AQ$1001&lt;$AQ443))+1,"")</f>
        <v/>
      </c>
      <c r="AO443">
        <f>IF($D443="","",IF(OR($U443=TRUE(),$U443="TRUE"),1,0))</f>
        <v/>
      </c>
      <c r="AP443">
        <f>IF($D443="","",IF($AC443="Yes",1,0))</f>
        <v/>
      </c>
      <c r="AQ443">
        <f>IF($AM443=1,IFERROR(VALUE(MID($D443,2,20)),1000000000)+ROW()/100000,"")</f>
        <v/>
      </c>
    </row>
    <row r="444">
      <c r="G444" s="11" t="n"/>
      <c r="Q444" s="7">
        <f>IF($D444="","",P444*Y444/100)</f>
        <v/>
      </c>
      <c r="R444" s="7" t="n"/>
      <c r="X444" s="7" t="n"/>
      <c r="Y444" s="7" t="n"/>
      <c r="Z444" s="7">
        <f>IF($D444="","",Y444*AD444/100)</f>
        <v/>
      </c>
      <c r="AA444" s="7">
        <f>IF($D444="","",Y444-Z444)</f>
        <v/>
      </c>
      <c r="AB444" s="7">
        <f>IF($D444="","",AA444-Q444)</f>
        <v/>
      </c>
      <c r="AD444">
        <f>IF($D444="","",IF($AP444=1,0,IF($AO444=1,Settings!$C$6,Settings!$C$7))*100)</f>
        <v/>
      </c>
      <c r="AH444" s="7" t="n"/>
      <c r="AK444" s="11" t="n"/>
      <c r="AM444">
        <f>IF($D444="","",IF(COUNTIF($D$2:$D444,$D444)=1,1,0))</f>
        <v/>
      </c>
      <c r="AN444">
        <f>IF($AM444=1,SUMPRODUCT(--($AQ$2:$AQ$1001&lt;$AQ444))+1,"")</f>
        <v/>
      </c>
      <c r="AO444">
        <f>IF($D444="","",IF(OR($U444=TRUE(),$U444="TRUE"),1,0))</f>
        <v/>
      </c>
      <c r="AP444">
        <f>IF($D444="","",IF($AC444="Yes",1,0))</f>
        <v/>
      </c>
      <c r="AQ444">
        <f>IF($AM444=1,IFERROR(VALUE(MID($D444,2,20)),1000000000)+ROW()/100000,"")</f>
        <v/>
      </c>
    </row>
    <row r="445">
      <c r="G445" s="11" t="n"/>
      <c r="Q445" s="7">
        <f>IF($D445="","",P445*Y445/100)</f>
        <v/>
      </c>
      <c r="R445" s="7" t="n"/>
      <c r="X445" s="7" t="n"/>
      <c r="Y445" s="7" t="n"/>
      <c r="Z445" s="7">
        <f>IF($D445="","",Y445*AD445/100)</f>
        <v/>
      </c>
      <c r="AA445" s="7">
        <f>IF($D445="","",Y445-Z445)</f>
        <v/>
      </c>
      <c r="AB445" s="7">
        <f>IF($D445="","",AA445-Q445)</f>
        <v/>
      </c>
      <c r="AD445">
        <f>IF($D445="","",IF($AP445=1,0,IF($AO445=1,Settings!$C$6,Settings!$C$7))*100)</f>
        <v/>
      </c>
      <c r="AH445" s="7" t="n"/>
      <c r="AK445" s="11" t="n"/>
      <c r="AM445">
        <f>IF($D445="","",IF(COUNTIF($D$2:$D445,$D445)=1,1,0))</f>
        <v/>
      </c>
      <c r="AN445">
        <f>IF($AM445=1,SUMPRODUCT(--($AQ$2:$AQ$1001&lt;$AQ445))+1,"")</f>
        <v/>
      </c>
      <c r="AO445">
        <f>IF($D445="","",IF(OR($U445=TRUE(),$U445="TRUE"),1,0))</f>
        <v/>
      </c>
      <c r="AP445">
        <f>IF($D445="","",IF($AC445="Yes",1,0))</f>
        <v/>
      </c>
      <c r="AQ445">
        <f>IF($AM445=1,IFERROR(VALUE(MID($D445,2,20)),1000000000)+ROW()/100000,"")</f>
        <v/>
      </c>
    </row>
    <row r="446">
      <c r="G446" s="11" t="n"/>
      <c r="Q446" s="7">
        <f>IF($D446="","",P446*Y446/100)</f>
        <v/>
      </c>
      <c r="R446" s="7" t="n"/>
      <c r="X446" s="7" t="n"/>
      <c r="Y446" s="7" t="n"/>
      <c r="Z446" s="7">
        <f>IF($D446="","",Y446*AD446/100)</f>
        <v/>
      </c>
      <c r="AA446" s="7">
        <f>IF($D446="","",Y446-Z446)</f>
        <v/>
      </c>
      <c r="AB446" s="7">
        <f>IF($D446="","",AA446-Q446)</f>
        <v/>
      </c>
      <c r="AD446">
        <f>IF($D446="","",IF($AP446=1,0,IF($AO446=1,Settings!$C$6,Settings!$C$7))*100)</f>
        <v/>
      </c>
      <c r="AH446" s="7" t="n"/>
      <c r="AK446" s="11" t="n"/>
      <c r="AM446">
        <f>IF($D446="","",IF(COUNTIF($D$2:$D446,$D446)=1,1,0))</f>
        <v/>
      </c>
      <c r="AN446">
        <f>IF($AM446=1,SUMPRODUCT(--($AQ$2:$AQ$1001&lt;$AQ446))+1,"")</f>
        <v/>
      </c>
      <c r="AO446">
        <f>IF($D446="","",IF(OR($U446=TRUE(),$U446="TRUE"),1,0))</f>
        <v/>
      </c>
      <c r="AP446">
        <f>IF($D446="","",IF($AC446="Yes",1,0))</f>
        <v/>
      </c>
      <c r="AQ446">
        <f>IF($AM446=1,IFERROR(VALUE(MID($D446,2,20)),1000000000)+ROW()/100000,"")</f>
        <v/>
      </c>
    </row>
    <row r="447">
      <c r="G447" s="11" t="n"/>
      <c r="Q447" s="7">
        <f>IF($D447="","",P447*Y447/100)</f>
        <v/>
      </c>
      <c r="R447" s="7" t="n"/>
      <c r="X447" s="7" t="n"/>
      <c r="Y447" s="7" t="n"/>
      <c r="Z447" s="7">
        <f>IF($D447="","",Y447*AD447/100)</f>
        <v/>
      </c>
      <c r="AA447" s="7">
        <f>IF($D447="","",Y447-Z447)</f>
        <v/>
      </c>
      <c r="AB447" s="7">
        <f>IF($D447="","",AA447-Q447)</f>
        <v/>
      </c>
      <c r="AD447">
        <f>IF($D447="","",IF($AP447=1,0,IF($AO447=1,Settings!$C$6,Settings!$C$7))*100)</f>
        <v/>
      </c>
      <c r="AH447" s="7" t="n"/>
      <c r="AK447" s="11" t="n"/>
      <c r="AM447">
        <f>IF($D447="","",IF(COUNTIF($D$2:$D447,$D447)=1,1,0))</f>
        <v/>
      </c>
      <c r="AN447">
        <f>IF($AM447=1,SUMPRODUCT(--($AQ$2:$AQ$1001&lt;$AQ447))+1,"")</f>
        <v/>
      </c>
      <c r="AO447">
        <f>IF($D447="","",IF(OR($U447=TRUE(),$U447="TRUE"),1,0))</f>
        <v/>
      </c>
      <c r="AP447">
        <f>IF($D447="","",IF($AC447="Yes",1,0))</f>
        <v/>
      </c>
      <c r="AQ447">
        <f>IF($AM447=1,IFERROR(VALUE(MID($D447,2,20)),1000000000)+ROW()/100000,"")</f>
        <v/>
      </c>
    </row>
    <row r="448">
      <c r="G448" s="11" t="n"/>
      <c r="Q448" s="7">
        <f>IF($D448="","",P448*Y448/100)</f>
        <v/>
      </c>
      <c r="R448" s="7" t="n"/>
      <c r="X448" s="7" t="n"/>
      <c r="Y448" s="7" t="n"/>
      <c r="Z448" s="7">
        <f>IF($D448="","",Y448*AD448/100)</f>
        <v/>
      </c>
      <c r="AA448" s="7">
        <f>IF($D448="","",Y448-Z448)</f>
        <v/>
      </c>
      <c r="AB448" s="7">
        <f>IF($D448="","",AA448-Q448)</f>
        <v/>
      </c>
      <c r="AD448">
        <f>IF($D448="","",IF($AP448=1,0,IF($AO448=1,Settings!$C$6,Settings!$C$7))*100)</f>
        <v/>
      </c>
      <c r="AH448" s="7" t="n"/>
      <c r="AK448" s="11" t="n"/>
      <c r="AM448">
        <f>IF($D448="","",IF(COUNTIF($D$2:$D448,$D448)=1,1,0))</f>
        <v/>
      </c>
      <c r="AN448">
        <f>IF($AM448=1,SUMPRODUCT(--($AQ$2:$AQ$1001&lt;$AQ448))+1,"")</f>
        <v/>
      </c>
      <c r="AO448">
        <f>IF($D448="","",IF(OR($U448=TRUE(),$U448="TRUE"),1,0))</f>
        <v/>
      </c>
      <c r="AP448">
        <f>IF($D448="","",IF($AC448="Yes",1,0))</f>
        <v/>
      </c>
      <c r="AQ448">
        <f>IF($AM448=1,IFERROR(VALUE(MID($D448,2,20)),1000000000)+ROW()/100000,"")</f>
        <v/>
      </c>
    </row>
    <row r="449">
      <c r="G449" s="11" t="n"/>
      <c r="Q449" s="7">
        <f>IF($D449="","",P449*Y449/100)</f>
        <v/>
      </c>
      <c r="R449" s="7" t="n"/>
      <c r="X449" s="7" t="n"/>
      <c r="Y449" s="7" t="n"/>
      <c r="Z449" s="7">
        <f>IF($D449="","",Y449*AD449/100)</f>
        <v/>
      </c>
      <c r="AA449" s="7">
        <f>IF($D449="","",Y449-Z449)</f>
        <v/>
      </c>
      <c r="AB449" s="7">
        <f>IF($D449="","",AA449-Q449)</f>
        <v/>
      </c>
      <c r="AD449">
        <f>IF($D449="","",IF($AP449=1,0,IF($AO449=1,Settings!$C$6,Settings!$C$7))*100)</f>
        <v/>
      </c>
      <c r="AH449" s="7" t="n"/>
      <c r="AK449" s="11" t="n"/>
      <c r="AM449">
        <f>IF($D449="","",IF(COUNTIF($D$2:$D449,$D449)=1,1,0))</f>
        <v/>
      </c>
      <c r="AN449">
        <f>IF($AM449=1,SUMPRODUCT(--($AQ$2:$AQ$1001&lt;$AQ449))+1,"")</f>
        <v/>
      </c>
      <c r="AO449">
        <f>IF($D449="","",IF(OR($U449=TRUE(),$U449="TRUE"),1,0))</f>
        <v/>
      </c>
      <c r="AP449">
        <f>IF($D449="","",IF($AC449="Yes",1,0))</f>
        <v/>
      </c>
      <c r="AQ449">
        <f>IF($AM449=1,IFERROR(VALUE(MID($D449,2,20)),1000000000)+ROW()/100000,"")</f>
        <v/>
      </c>
    </row>
    <row r="450">
      <c r="G450" s="11" t="n"/>
      <c r="Q450" s="7">
        <f>IF($D450="","",P450*Y450/100)</f>
        <v/>
      </c>
      <c r="R450" s="7" t="n"/>
      <c r="X450" s="7" t="n"/>
      <c r="Y450" s="7" t="n"/>
      <c r="Z450" s="7">
        <f>IF($D450="","",Y450*AD450/100)</f>
        <v/>
      </c>
      <c r="AA450" s="7">
        <f>IF($D450="","",Y450-Z450)</f>
        <v/>
      </c>
      <c r="AB450" s="7">
        <f>IF($D450="","",AA450-Q450)</f>
        <v/>
      </c>
      <c r="AD450">
        <f>IF($D450="","",IF($AP450=1,0,IF($AO450=1,Settings!$C$6,Settings!$C$7))*100)</f>
        <v/>
      </c>
      <c r="AH450" s="7" t="n"/>
      <c r="AK450" s="11" t="n"/>
      <c r="AM450">
        <f>IF($D450="","",IF(COUNTIF($D$2:$D450,$D450)=1,1,0))</f>
        <v/>
      </c>
      <c r="AN450">
        <f>IF($AM450=1,SUMPRODUCT(--($AQ$2:$AQ$1001&lt;$AQ450))+1,"")</f>
        <v/>
      </c>
      <c r="AO450">
        <f>IF($D450="","",IF(OR($U450=TRUE(),$U450="TRUE"),1,0))</f>
        <v/>
      </c>
      <c r="AP450">
        <f>IF($D450="","",IF($AC450="Yes",1,0))</f>
        <v/>
      </c>
      <c r="AQ450">
        <f>IF($AM450=1,IFERROR(VALUE(MID($D450,2,20)),1000000000)+ROW()/100000,"")</f>
        <v/>
      </c>
    </row>
    <row r="451">
      <c r="G451" s="11" t="n"/>
      <c r="Q451" s="7">
        <f>IF($D451="","",P451*Y451/100)</f>
        <v/>
      </c>
      <c r="R451" s="7" t="n"/>
      <c r="X451" s="7" t="n"/>
      <c r="Y451" s="7" t="n"/>
      <c r="Z451" s="7">
        <f>IF($D451="","",Y451*AD451/100)</f>
        <v/>
      </c>
      <c r="AA451" s="7">
        <f>IF($D451="","",Y451-Z451)</f>
        <v/>
      </c>
      <c r="AB451" s="7">
        <f>IF($D451="","",AA451-Q451)</f>
        <v/>
      </c>
      <c r="AD451">
        <f>IF($D451="","",IF($AP451=1,0,IF($AO451=1,Settings!$C$6,Settings!$C$7))*100)</f>
        <v/>
      </c>
      <c r="AH451" s="7" t="n"/>
      <c r="AK451" s="11" t="n"/>
      <c r="AM451">
        <f>IF($D451="","",IF(COUNTIF($D$2:$D451,$D451)=1,1,0))</f>
        <v/>
      </c>
      <c r="AN451">
        <f>IF($AM451=1,SUMPRODUCT(--($AQ$2:$AQ$1001&lt;$AQ451))+1,"")</f>
        <v/>
      </c>
      <c r="AO451">
        <f>IF($D451="","",IF(OR($U451=TRUE(),$U451="TRUE"),1,0))</f>
        <v/>
      </c>
      <c r="AP451">
        <f>IF($D451="","",IF($AC451="Yes",1,0))</f>
        <v/>
      </c>
      <c r="AQ451">
        <f>IF($AM451=1,IFERROR(VALUE(MID($D451,2,20)),1000000000)+ROW()/100000,"")</f>
        <v/>
      </c>
    </row>
    <row r="452">
      <c r="G452" s="11" t="n"/>
      <c r="Q452" s="7">
        <f>IF($D452="","",P452*Y452/100)</f>
        <v/>
      </c>
      <c r="R452" s="7" t="n"/>
      <c r="X452" s="7" t="n"/>
      <c r="Y452" s="7" t="n"/>
      <c r="Z452" s="7">
        <f>IF($D452="","",Y452*AD452/100)</f>
        <v/>
      </c>
      <c r="AA452" s="7">
        <f>IF($D452="","",Y452-Z452)</f>
        <v/>
      </c>
      <c r="AB452" s="7">
        <f>IF($D452="","",AA452-Q452)</f>
        <v/>
      </c>
      <c r="AD452">
        <f>IF($D452="","",IF($AP452=1,0,IF($AO452=1,Settings!$C$6,Settings!$C$7))*100)</f>
        <v/>
      </c>
      <c r="AH452" s="7" t="n"/>
      <c r="AK452" s="11" t="n"/>
      <c r="AM452">
        <f>IF($D452="","",IF(COUNTIF($D$2:$D452,$D452)=1,1,0))</f>
        <v/>
      </c>
      <c r="AN452">
        <f>IF($AM452=1,SUMPRODUCT(--($AQ$2:$AQ$1001&lt;$AQ452))+1,"")</f>
        <v/>
      </c>
      <c r="AO452">
        <f>IF($D452="","",IF(OR($U452=TRUE(),$U452="TRUE"),1,0))</f>
        <v/>
      </c>
      <c r="AP452">
        <f>IF($D452="","",IF($AC452="Yes",1,0))</f>
        <v/>
      </c>
      <c r="AQ452">
        <f>IF($AM452=1,IFERROR(VALUE(MID($D452,2,20)),1000000000)+ROW()/100000,"")</f>
        <v/>
      </c>
    </row>
    <row r="453">
      <c r="G453" s="11" t="n"/>
      <c r="Q453" s="7">
        <f>IF($D453="","",P453*Y453/100)</f>
        <v/>
      </c>
      <c r="R453" s="7" t="n"/>
      <c r="X453" s="7" t="n"/>
      <c r="Y453" s="7" t="n"/>
      <c r="Z453" s="7">
        <f>IF($D453="","",Y453*AD453/100)</f>
        <v/>
      </c>
      <c r="AA453" s="7">
        <f>IF($D453="","",Y453-Z453)</f>
        <v/>
      </c>
      <c r="AB453" s="7">
        <f>IF($D453="","",AA453-Q453)</f>
        <v/>
      </c>
      <c r="AD453">
        <f>IF($D453="","",IF($AP453=1,0,IF($AO453=1,Settings!$C$6,Settings!$C$7))*100)</f>
        <v/>
      </c>
      <c r="AH453" s="7" t="n"/>
      <c r="AK453" s="11" t="n"/>
      <c r="AM453">
        <f>IF($D453="","",IF(COUNTIF($D$2:$D453,$D453)=1,1,0))</f>
        <v/>
      </c>
      <c r="AN453">
        <f>IF($AM453=1,SUMPRODUCT(--($AQ$2:$AQ$1001&lt;$AQ453))+1,"")</f>
        <v/>
      </c>
      <c r="AO453">
        <f>IF($D453="","",IF(OR($U453=TRUE(),$U453="TRUE"),1,0))</f>
        <v/>
      </c>
      <c r="AP453">
        <f>IF($D453="","",IF($AC453="Yes",1,0))</f>
        <v/>
      </c>
      <c r="AQ453">
        <f>IF($AM453=1,IFERROR(VALUE(MID($D453,2,20)),1000000000)+ROW()/100000,"")</f>
        <v/>
      </c>
    </row>
    <row r="454">
      <c r="G454" s="11" t="n"/>
      <c r="Q454" s="7">
        <f>IF($D454="","",P454*Y454/100)</f>
        <v/>
      </c>
      <c r="R454" s="7" t="n"/>
      <c r="X454" s="7" t="n"/>
      <c r="Y454" s="7" t="n"/>
      <c r="Z454" s="7">
        <f>IF($D454="","",Y454*AD454/100)</f>
        <v/>
      </c>
      <c r="AA454" s="7">
        <f>IF($D454="","",Y454-Z454)</f>
        <v/>
      </c>
      <c r="AB454" s="7">
        <f>IF($D454="","",AA454-Q454)</f>
        <v/>
      </c>
      <c r="AD454">
        <f>IF($D454="","",IF($AP454=1,0,IF($AO454=1,Settings!$C$6,Settings!$C$7))*100)</f>
        <v/>
      </c>
      <c r="AH454" s="7" t="n"/>
      <c r="AK454" s="11" t="n"/>
      <c r="AM454">
        <f>IF($D454="","",IF(COUNTIF($D$2:$D454,$D454)=1,1,0))</f>
        <v/>
      </c>
      <c r="AN454">
        <f>IF($AM454=1,SUMPRODUCT(--($AQ$2:$AQ$1001&lt;$AQ454))+1,"")</f>
        <v/>
      </c>
      <c r="AO454">
        <f>IF($D454="","",IF(OR($U454=TRUE(),$U454="TRUE"),1,0))</f>
        <v/>
      </c>
      <c r="AP454">
        <f>IF($D454="","",IF($AC454="Yes",1,0))</f>
        <v/>
      </c>
      <c r="AQ454">
        <f>IF($AM454=1,IFERROR(VALUE(MID($D454,2,20)),1000000000)+ROW()/100000,"")</f>
        <v/>
      </c>
    </row>
    <row r="455">
      <c r="G455" s="11" t="n"/>
      <c r="Q455" s="7">
        <f>IF($D455="","",P455*Y455/100)</f>
        <v/>
      </c>
      <c r="R455" s="7" t="n"/>
      <c r="X455" s="7" t="n"/>
      <c r="Y455" s="7" t="n"/>
      <c r="Z455" s="7">
        <f>IF($D455="","",Y455*AD455/100)</f>
        <v/>
      </c>
      <c r="AA455" s="7">
        <f>IF($D455="","",Y455-Z455)</f>
        <v/>
      </c>
      <c r="AB455" s="7">
        <f>IF($D455="","",AA455-Q455)</f>
        <v/>
      </c>
      <c r="AD455">
        <f>IF($D455="","",IF($AP455=1,0,IF($AO455=1,Settings!$C$6,Settings!$C$7))*100)</f>
        <v/>
      </c>
      <c r="AH455" s="7" t="n"/>
      <c r="AK455" s="11" t="n"/>
      <c r="AM455">
        <f>IF($D455="","",IF(COUNTIF($D$2:$D455,$D455)=1,1,0))</f>
        <v/>
      </c>
      <c r="AN455">
        <f>IF($AM455=1,SUMPRODUCT(--($AQ$2:$AQ$1001&lt;$AQ455))+1,"")</f>
        <v/>
      </c>
      <c r="AO455">
        <f>IF($D455="","",IF(OR($U455=TRUE(),$U455="TRUE"),1,0))</f>
        <v/>
      </c>
      <c r="AP455">
        <f>IF($D455="","",IF($AC455="Yes",1,0))</f>
        <v/>
      </c>
      <c r="AQ455">
        <f>IF($AM455=1,IFERROR(VALUE(MID($D455,2,20)),1000000000)+ROW()/100000,"")</f>
        <v/>
      </c>
    </row>
    <row r="456">
      <c r="G456" s="11" t="n"/>
      <c r="Q456" s="7">
        <f>IF($D456="","",P456*Y456/100)</f>
        <v/>
      </c>
      <c r="R456" s="7" t="n"/>
      <c r="X456" s="7" t="n"/>
      <c r="Y456" s="7" t="n"/>
      <c r="Z456" s="7">
        <f>IF($D456="","",Y456*AD456/100)</f>
        <v/>
      </c>
      <c r="AA456" s="7">
        <f>IF($D456="","",Y456-Z456)</f>
        <v/>
      </c>
      <c r="AB456" s="7">
        <f>IF($D456="","",AA456-Q456)</f>
        <v/>
      </c>
      <c r="AD456">
        <f>IF($D456="","",IF($AP456=1,0,IF($AO456=1,Settings!$C$6,Settings!$C$7))*100)</f>
        <v/>
      </c>
      <c r="AH456" s="7" t="n"/>
      <c r="AK456" s="11" t="n"/>
      <c r="AM456">
        <f>IF($D456="","",IF(COUNTIF($D$2:$D456,$D456)=1,1,0))</f>
        <v/>
      </c>
      <c r="AN456">
        <f>IF($AM456=1,SUMPRODUCT(--($AQ$2:$AQ$1001&lt;$AQ456))+1,"")</f>
        <v/>
      </c>
      <c r="AO456">
        <f>IF($D456="","",IF(OR($U456=TRUE(),$U456="TRUE"),1,0))</f>
        <v/>
      </c>
      <c r="AP456">
        <f>IF($D456="","",IF($AC456="Yes",1,0))</f>
        <v/>
      </c>
      <c r="AQ456">
        <f>IF($AM456=1,IFERROR(VALUE(MID($D456,2,20)),1000000000)+ROW()/100000,"")</f>
        <v/>
      </c>
    </row>
    <row r="457">
      <c r="G457" s="11" t="n"/>
      <c r="Q457" s="7">
        <f>IF($D457="","",P457*Y457/100)</f>
        <v/>
      </c>
      <c r="R457" s="7" t="n"/>
      <c r="X457" s="7" t="n"/>
      <c r="Y457" s="7" t="n"/>
      <c r="Z457" s="7">
        <f>IF($D457="","",Y457*AD457/100)</f>
        <v/>
      </c>
      <c r="AA457" s="7">
        <f>IF($D457="","",Y457-Z457)</f>
        <v/>
      </c>
      <c r="AB457" s="7">
        <f>IF($D457="","",AA457-Q457)</f>
        <v/>
      </c>
      <c r="AD457">
        <f>IF($D457="","",IF($AP457=1,0,IF($AO457=1,Settings!$C$6,Settings!$C$7))*100)</f>
        <v/>
      </c>
      <c r="AH457" s="7" t="n"/>
      <c r="AK457" s="11" t="n"/>
      <c r="AM457">
        <f>IF($D457="","",IF(COUNTIF($D$2:$D457,$D457)=1,1,0))</f>
        <v/>
      </c>
      <c r="AN457">
        <f>IF($AM457=1,SUMPRODUCT(--($AQ$2:$AQ$1001&lt;$AQ457))+1,"")</f>
        <v/>
      </c>
      <c r="AO457">
        <f>IF($D457="","",IF(OR($U457=TRUE(),$U457="TRUE"),1,0))</f>
        <v/>
      </c>
      <c r="AP457">
        <f>IF($D457="","",IF($AC457="Yes",1,0))</f>
        <v/>
      </c>
      <c r="AQ457">
        <f>IF($AM457=1,IFERROR(VALUE(MID($D457,2,20)),1000000000)+ROW()/100000,"")</f>
        <v/>
      </c>
    </row>
    <row r="458">
      <c r="G458" s="11" t="n"/>
      <c r="Q458" s="7">
        <f>IF($D458="","",P458*Y458/100)</f>
        <v/>
      </c>
      <c r="R458" s="7" t="n"/>
      <c r="X458" s="7" t="n"/>
      <c r="Y458" s="7" t="n"/>
      <c r="Z458" s="7">
        <f>IF($D458="","",Y458*AD458/100)</f>
        <v/>
      </c>
      <c r="AA458" s="7">
        <f>IF($D458="","",Y458-Z458)</f>
        <v/>
      </c>
      <c r="AB458" s="7">
        <f>IF($D458="","",AA458-Q458)</f>
        <v/>
      </c>
      <c r="AD458">
        <f>IF($D458="","",IF($AP458=1,0,IF($AO458=1,Settings!$C$6,Settings!$C$7))*100)</f>
        <v/>
      </c>
      <c r="AH458" s="7" t="n"/>
      <c r="AK458" s="11" t="n"/>
      <c r="AM458">
        <f>IF($D458="","",IF(COUNTIF($D$2:$D458,$D458)=1,1,0))</f>
        <v/>
      </c>
      <c r="AN458">
        <f>IF($AM458=1,SUMPRODUCT(--($AQ$2:$AQ$1001&lt;$AQ458))+1,"")</f>
        <v/>
      </c>
      <c r="AO458">
        <f>IF($D458="","",IF(OR($U458=TRUE(),$U458="TRUE"),1,0))</f>
        <v/>
      </c>
      <c r="AP458">
        <f>IF($D458="","",IF($AC458="Yes",1,0))</f>
        <v/>
      </c>
      <c r="AQ458">
        <f>IF($AM458=1,IFERROR(VALUE(MID($D458,2,20)),1000000000)+ROW()/100000,"")</f>
        <v/>
      </c>
    </row>
    <row r="459">
      <c r="G459" s="11" t="n"/>
      <c r="Q459" s="7">
        <f>IF($D459="","",P459*Y459/100)</f>
        <v/>
      </c>
      <c r="R459" s="7" t="n"/>
      <c r="X459" s="7" t="n"/>
      <c r="Y459" s="7" t="n"/>
      <c r="Z459" s="7">
        <f>IF($D459="","",Y459*AD459/100)</f>
        <v/>
      </c>
      <c r="AA459" s="7">
        <f>IF($D459="","",Y459-Z459)</f>
        <v/>
      </c>
      <c r="AB459" s="7">
        <f>IF($D459="","",AA459-Q459)</f>
        <v/>
      </c>
      <c r="AD459">
        <f>IF($D459="","",IF($AP459=1,0,IF($AO459=1,Settings!$C$6,Settings!$C$7))*100)</f>
        <v/>
      </c>
      <c r="AH459" s="7" t="n"/>
      <c r="AK459" s="11" t="n"/>
      <c r="AM459">
        <f>IF($D459="","",IF(COUNTIF($D$2:$D459,$D459)=1,1,0))</f>
        <v/>
      </c>
      <c r="AN459">
        <f>IF($AM459=1,SUMPRODUCT(--($AQ$2:$AQ$1001&lt;$AQ459))+1,"")</f>
        <v/>
      </c>
      <c r="AO459">
        <f>IF($D459="","",IF(OR($U459=TRUE(),$U459="TRUE"),1,0))</f>
        <v/>
      </c>
      <c r="AP459">
        <f>IF($D459="","",IF($AC459="Yes",1,0))</f>
        <v/>
      </c>
      <c r="AQ459">
        <f>IF($AM459=1,IFERROR(VALUE(MID($D459,2,20)),1000000000)+ROW()/100000,"")</f>
        <v/>
      </c>
    </row>
    <row r="460">
      <c r="G460" s="11" t="n"/>
      <c r="Q460" s="7">
        <f>IF($D460="","",P460*Y460/100)</f>
        <v/>
      </c>
      <c r="R460" s="7" t="n"/>
      <c r="X460" s="7" t="n"/>
      <c r="Y460" s="7" t="n"/>
      <c r="Z460" s="7">
        <f>IF($D460="","",Y460*AD460/100)</f>
        <v/>
      </c>
      <c r="AA460" s="7">
        <f>IF($D460="","",Y460-Z460)</f>
        <v/>
      </c>
      <c r="AB460" s="7">
        <f>IF($D460="","",AA460-Q460)</f>
        <v/>
      </c>
      <c r="AD460">
        <f>IF($D460="","",IF($AP460=1,0,IF($AO460=1,Settings!$C$6,Settings!$C$7))*100)</f>
        <v/>
      </c>
      <c r="AH460" s="7" t="n"/>
      <c r="AK460" s="11" t="n"/>
      <c r="AM460">
        <f>IF($D460="","",IF(COUNTIF($D$2:$D460,$D460)=1,1,0))</f>
        <v/>
      </c>
      <c r="AN460">
        <f>IF($AM460=1,SUMPRODUCT(--($AQ$2:$AQ$1001&lt;$AQ460))+1,"")</f>
        <v/>
      </c>
      <c r="AO460">
        <f>IF($D460="","",IF(OR($U460=TRUE(),$U460="TRUE"),1,0))</f>
        <v/>
      </c>
      <c r="AP460">
        <f>IF($D460="","",IF($AC460="Yes",1,0))</f>
        <v/>
      </c>
      <c r="AQ460">
        <f>IF($AM460=1,IFERROR(VALUE(MID($D460,2,20)),1000000000)+ROW()/100000,"")</f>
        <v/>
      </c>
    </row>
    <row r="461">
      <c r="G461" s="11" t="n"/>
      <c r="Q461" s="7">
        <f>IF($D461="","",P461*Y461/100)</f>
        <v/>
      </c>
      <c r="R461" s="7" t="n"/>
      <c r="X461" s="7" t="n"/>
      <c r="Y461" s="7" t="n"/>
      <c r="Z461" s="7">
        <f>IF($D461="","",Y461*AD461/100)</f>
        <v/>
      </c>
      <c r="AA461" s="7">
        <f>IF($D461="","",Y461-Z461)</f>
        <v/>
      </c>
      <c r="AB461" s="7">
        <f>IF($D461="","",AA461-Q461)</f>
        <v/>
      </c>
      <c r="AD461">
        <f>IF($D461="","",IF($AP461=1,0,IF($AO461=1,Settings!$C$6,Settings!$C$7))*100)</f>
        <v/>
      </c>
      <c r="AH461" s="7" t="n"/>
      <c r="AK461" s="11" t="n"/>
      <c r="AM461">
        <f>IF($D461="","",IF(COUNTIF($D$2:$D461,$D461)=1,1,0))</f>
        <v/>
      </c>
      <c r="AN461">
        <f>IF($AM461=1,SUMPRODUCT(--($AQ$2:$AQ$1001&lt;$AQ461))+1,"")</f>
        <v/>
      </c>
      <c r="AO461">
        <f>IF($D461="","",IF(OR($U461=TRUE(),$U461="TRUE"),1,0))</f>
        <v/>
      </c>
      <c r="AP461">
        <f>IF($D461="","",IF($AC461="Yes",1,0))</f>
        <v/>
      </c>
      <c r="AQ461">
        <f>IF($AM461=1,IFERROR(VALUE(MID($D461,2,20)),1000000000)+ROW()/100000,"")</f>
        <v/>
      </c>
    </row>
    <row r="462">
      <c r="G462" s="11" t="n"/>
      <c r="Q462" s="7">
        <f>IF($D462="","",P462*Y462/100)</f>
        <v/>
      </c>
      <c r="R462" s="7" t="n"/>
      <c r="X462" s="7" t="n"/>
      <c r="Y462" s="7" t="n"/>
      <c r="Z462" s="7">
        <f>IF($D462="","",Y462*AD462/100)</f>
        <v/>
      </c>
      <c r="AA462" s="7">
        <f>IF($D462="","",Y462-Z462)</f>
        <v/>
      </c>
      <c r="AB462" s="7">
        <f>IF($D462="","",AA462-Q462)</f>
        <v/>
      </c>
      <c r="AD462">
        <f>IF($D462="","",IF($AP462=1,0,IF($AO462=1,Settings!$C$6,Settings!$C$7))*100)</f>
        <v/>
      </c>
      <c r="AH462" s="7" t="n"/>
      <c r="AK462" s="11" t="n"/>
      <c r="AM462">
        <f>IF($D462="","",IF(COUNTIF($D$2:$D462,$D462)=1,1,0))</f>
        <v/>
      </c>
      <c r="AN462">
        <f>IF($AM462=1,SUMPRODUCT(--($AQ$2:$AQ$1001&lt;$AQ462))+1,"")</f>
        <v/>
      </c>
      <c r="AO462">
        <f>IF($D462="","",IF(OR($U462=TRUE(),$U462="TRUE"),1,0))</f>
        <v/>
      </c>
      <c r="AP462">
        <f>IF($D462="","",IF($AC462="Yes",1,0))</f>
        <v/>
      </c>
      <c r="AQ462">
        <f>IF($AM462=1,IFERROR(VALUE(MID($D462,2,20)),1000000000)+ROW()/100000,"")</f>
        <v/>
      </c>
    </row>
    <row r="463">
      <c r="G463" s="11" t="n"/>
      <c r="Q463" s="7">
        <f>IF($D463="","",P463*Y463/100)</f>
        <v/>
      </c>
      <c r="R463" s="7" t="n"/>
      <c r="X463" s="7" t="n"/>
      <c r="Y463" s="7" t="n"/>
      <c r="Z463" s="7">
        <f>IF($D463="","",Y463*AD463/100)</f>
        <v/>
      </c>
      <c r="AA463" s="7">
        <f>IF($D463="","",Y463-Z463)</f>
        <v/>
      </c>
      <c r="AB463" s="7">
        <f>IF($D463="","",AA463-Q463)</f>
        <v/>
      </c>
      <c r="AD463">
        <f>IF($D463="","",IF($AP463=1,0,IF($AO463=1,Settings!$C$6,Settings!$C$7))*100)</f>
        <v/>
      </c>
      <c r="AH463" s="7" t="n"/>
      <c r="AK463" s="11" t="n"/>
      <c r="AM463">
        <f>IF($D463="","",IF(COUNTIF($D$2:$D463,$D463)=1,1,0))</f>
        <v/>
      </c>
      <c r="AN463">
        <f>IF($AM463=1,SUMPRODUCT(--($AQ$2:$AQ$1001&lt;$AQ463))+1,"")</f>
        <v/>
      </c>
      <c r="AO463">
        <f>IF($D463="","",IF(OR($U463=TRUE(),$U463="TRUE"),1,0))</f>
        <v/>
      </c>
      <c r="AP463">
        <f>IF($D463="","",IF($AC463="Yes",1,0))</f>
        <v/>
      </c>
      <c r="AQ463">
        <f>IF($AM463=1,IFERROR(VALUE(MID($D463,2,20)),1000000000)+ROW()/100000,"")</f>
        <v/>
      </c>
    </row>
    <row r="464">
      <c r="G464" s="11" t="n"/>
      <c r="Q464" s="7">
        <f>IF($D464="","",P464*Y464/100)</f>
        <v/>
      </c>
      <c r="R464" s="7" t="n"/>
      <c r="X464" s="7" t="n"/>
      <c r="Y464" s="7" t="n"/>
      <c r="Z464" s="7">
        <f>IF($D464="","",Y464*AD464/100)</f>
        <v/>
      </c>
      <c r="AA464" s="7">
        <f>IF($D464="","",Y464-Z464)</f>
        <v/>
      </c>
      <c r="AB464" s="7">
        <f>IF($D464="","",AA464-Q464)</f>
        <v/>
      </c>
      <c r="AD464">
        <f>IF($D464="","",IF($AP464=1,0,IF($AO464=1,Settings!$C$6,Settings!$C$7))*100)</f>
        <v/>
      </c>
      <c r="AH464" s="7" t="n"/>
      <c r="AK464" s="11" t="n"/>
      <c r="AM464">
        <f>IF($D464="","",IF(COUNTIF($D$2:$D464,$D464)=1,1,0))</f>
        <v/>
      </c>
      <c r="AN464">
        <f>IF($AM464=1,SUMPRODUCT(--($AQ$2:$AQ$1001&lt;$AQ464))+1,"")</f>
        <v/>
      </c>
      <c r="AO464">
        <f>IF($D464="","",IF(OR($U464=TRUE(),$U464="TRUE"),1,0))</f>
        <v/>
      </c>
      <c r="AP464">
        <f>IF($D464="","",IF($AC464="Yes",1,0))</f>
        <v/>
      </c>
      <c r="AQ464">
        <f>IF($AM464=1,IFERROR(VALUE(MID($D464,2,20)),1000000000)+ROW()/100000,"")</f>
        <v/>
      </c>
    </row>
    <row r="465">
      <c r="G465" s="11" t="n"/>
      <c r="Q465" s="7">
        <f>IF($D465="","",P465*Y465/100)</f>
        <v/>
      </c>
      <c r="R465" s="7" t="n"/>
      <c r="X465" s="7" t="n"/>
      <c r="Y465" s="7" t="n"/>
      <c r="Z465" s="7">
        <f>IF($D465="","",Y465*AD465/100)</f>
        <v/>
      </c>
      <c r="AA465" s="7">
        <f>IF($D465="","",Y465-Z465)</f>
        <v/>
      </c>
      <c r="AB465" s="7">
        <f>IF($D465="","",AA465-Q465)</f>
        <v/>
      </c>
      <c r="AD465">
        <f>IF($D465="","",IF($AP465=1,0,IF($AO465=1,Settings!$C$6,Settings!$C$7))*100)</f>
        <v/>
      </c>
      <c r="AH465" s="7" t="n"/>
      <c r="AK465" s="11" t="n"/>
      <c r="AM465">
        <f>IF($D465="","",IF(COUNTIF($D$2:$D465,$D465)=1,1,0))</f>
        <v/>
      </c>
      <c r="AN465">
        <f>IF($AM465=1,SUMPRODUCT(--($AQ$2:$AQ$1001&lt;$AQ465))+1,"")</f>
        <v/>
      </c>
      <c r="AO465">
        <f>IF($D465="","",IF(OR($U465=TRUE(),$U465="TRUE"),1,0))</f>
        <v/>
      </c>
      <c r="AP465">
        <f>IF($D465="","",IF($AC465="Yes",1,0))</f>
        <v/>
      </c>
      <c r="AQ465">
        <f>IF($AM465=1,IFERROR(VALUE(MID($D465,2,20)),1000000000)+ROW()/100000,"")</f>
        <v/>
      </c>
    </row>
    <row r="466">
      <c r="G466" s="11" t="n"/>
      <c r="Q466" s="7">
        <f>IF($D466="","",P466*Y466/100)</f>
        <v/>
      </c>
      <c r="R466" s="7" t="n"/>
      <c r="X466" s="7" t="n"/>
      <c r="Y466" s="7" t="n"/>
      <c r="Z466" s="7">
        <f>IF($D466="","",Y466*AD466/100)</f>
        <v/>
      </c>
      <c r="AA466" s="7">
        <f>IF($D466="","",Y466-Z466)</f>
        <v/>
      </c>
      <c r="AB466" s="7">
        <f>IF($D466="","",AA466-Q466)</f>
        <v/>
      </c>
      <c r="AD466">
        <f>IF($D466="","",IF($AP466=1,0,IF($AO466=1,Settings!$C$6,Settings!$C$7))*100)</f>
        <v/>
      </c>
      <c r="AH466" s="7" t="n"/>
      <c r="AK466" s="11" t="n"/>
      <c r="AM466">
        <f>IF($D466="","",IF(COUNTIF($D$2:$D466,$D466)=1,1,0))</f>
        <v/>
      </c>
      <c r="AN466">
        <f>IF($AM466=1,SUMPRODUCT(--($AQ$2:$AQ$1001&lt;$AQ466))+1,"")</f>
        <v/>
      </c>
      <c r="AO466">
        <f>IF($D466="","",IF(OR($U466=TRUE(),$U466="TRUE"),1,0))</f>
        <v/>
      </c>
      <c r="AP466">
        <f>IF($D466="","",IF($AC466="Yes",1,0))</f>
        <v/>
      </c>
      <c r="AQ466">
        <f>IF($AM466=1,IFERROR(VALUE(MID($D466,2,20)),1000000000)+ROW()/100000,"")</f>
        <v/>
      </c>
    </row>
    <row r="467">
      <c r="G467" s="11" t="n"/>
      <c r="Q467" s="7">
        <f>IF($D467="","",P467*Y467/100)</f>
        <v/>
      </c>
      <c r="R467" s="7" t="n"/>
      <c r="X467" s="7" t="n"/>
      <c r="Y467" s="7" t="n"/>
      <c r="Z467" s="7">
        <f>IF($D467="","",Y467*AD467/100)</f>
        <v/>
      </c>
      <c r="AA467" s="7">
        <f>IF($D467="","",Y467-Z467)</f>
        <v/>
      </c>
      <c r="AB467" s="7">
        <f>IF($D467="","",AA467-Q467)</f>
        <v/>
      </c>
      <c r="AD467">
        <f>IF($D467="","",IF($AP467=1,0,IF($AO467=1,Settings!$C$6,Settings!$C$7))*100)</f>
        <v/>
      </c>
      <c r="AH467" s="7" t="n"/>
      <c r="AK467" s="11" t="n"/>
      <c r="AM467">
        <f>IF($D467="","",IF(COUNTIF($D$2:$D467,$D467)=1,1,0))</f>
        <v/>
      </c>
      <c r="AN467">
        <f>IF($AM467=1,SUMPRODUCT(--($AQ$2:$AQ$1001&lt;$AQ467))+1,"")</f>
        <v/>
      </c>
      <c r="AO467">
        <f>IF($D467="","",IF(OR($U467=TRUE(),$U467="TRUE"),1,0))</f>
        <v/>
      </c>
      <c r="AP467">
        <f>IF($D467="","",IF($AC467="Yes",1,0))</f>
        <v/>
      </c>
      <c r="AQ467">
        <f>IF($AM467=1,IFERROR(VALUE(MID($D467,2,20)),1000000000)+ROW()/100000,"")</f>
        <v/>
      </c>
    </row>
    <row r="468">
      <c r="G468" s="11" t="n"/>
      <c r="Q468" s="7">
        <f>IF($D468="","",P468*Y468/100)</f>
        <v/>
      </c>
      <c r="R468" s="7" t="n"/>
      <c r="X468" s="7" t="n"/>
      <c r="Y468" s="7" t="n"/>
      <c r="Z468" s="7">
        <f>IF($D468="","",Y468*AD468/100)</f>
        <v/>
      </c>
      <c r="AA468" s="7">
        <f>IF($D468="","",Y468-Z468)</f>
        <v/>
      </c>
      <c r="AB468" s="7">
        <f>IF($D468="","",AA468-Q468)</f>
        <v/>
      </c>
      <c r="AD468">
        <f>IF($D468="","",IF($AP468=1,0,IF($AO468=1,Settings!$C$6,Settings!$C$7))*100)</f>
        <v/>
      </c>
      <c r="AH468" s="7" t="n"/>
      <c r="AK468" s="11" t="n"/>
      <c r="AM468">
        <f>IF($D468="","",IF(COUNTIF($D$2:$D468,$D468)=1,1,0))</f>
        <v/>
      </c>
      <c r="AN468">
        <f>IF($AM468=1,SUMPRODUCT(--($AQ$2:$AQ$1001&lt;$AQ468))+1,"")</f>
        <v/>
      </c>
      <c r="AO468">
        <f>IF($D468="","",IF(OR($U468=TRUE(),$U468="TRUE"),1,0))</f>
        <v/>
      </c>
      <c r="AP468">
        <f>IF($D468="","",IF($AC468="Yes",1,0))</f>
        <v/>
      </c>
      <c r="AQ468">
        <f>IF($AM468=1,IFERROR(VALUE(MID($D468,2,20)),1000000000)+ROW()/100000,"")</f>
        <v/>
      </c>
    </row>
    <row r="469">
      <c r="G469" s="11" t="n"/>
      <c r="Q469" s="7">
        <f>IF($D469="","",P469*Y469/100)</f>
        <v/>
      </c>
      <c r="R469" s="7" t="n"/>
      <c r="X469" s="7" t="n"/>
      <c r="Y469" s="7" t="n"/>
      <c r="Z469" s="7">
        <f>IF($D469="","",Y469*AD469/100)</f>
        <v/>
      </c>
      <c r="AA469" s="7">
        <f>IF($D469="","",Y469-Z469)</f>
        <v/>
      </c>
      <c r="AB469" s="7">
        <f>IF($D469="","",AA469-Q469)</f>
        <v/>
      </c>
      <c r="AD469">
        <f>IF($D469="","",IF($AP469=1,0,IF($AO469=1,Settings!$C$6,Settings!$C$7))*100)</f>
        <v/>
      </c>
      <c r="AH469" s="7" t="n"/>
      <c r="AK469" s="11" t="n"/>
      <c r="AM469">
        <f>IF($D469="","",IF(COUNTIF($D$2:$D469,$D469)=1,1,0))</f>
        <v/>
      </c>
      <c r="AN469">
        <f>IF($AM469=1,SUMPRODUCT(--($AQ$2:$AQ$1001&lt;$AQ469))+1,"")</f>
        <v/>
      </c>
      <c r="AO469">
        <f>IF($D469="","",IF(OR($U469=TRUE(),$U469="TRUE"),1,0))</f>
        <v/>
      </c>
      <c r="AP469">
        <f>IF($D469="","",IF($AC469="Yes",1,0))</f>
        <v/>
      </c>
      <c r="AQ469">
        <f>IF($AM469=1,IFERROR(VALUE(MID($D469,2,20)),1000000000)+ROW()/100000,"")</f>
        <v/>
      </c>
    </row>
    <row r="470">
      <c r="G470" s="11" t="n"/>
      <c r="Q470" s="7">
        <f>IF($D470="","",P470*Y470/100)</f>
        <v/>
      </c>
      <c r="R470" s="7" t="n"/>
      <c r="X470" s="7" t="n"/>
      <c r="Y470" s="7" t="n"/>
      <c r="Z470" s="7">
        <f>IF($D470="","",Y470*AD470/100)</f>
        <v/>
      </c>
      <c r="AA470" s="7">
        <f>IF($D470="","",Y470-Z470)</f>
        <v/>
      </c>
      <c r="AB470" s="7">
        <f>IF($D470="","",AA470-Q470)</f>
        <v/>
      </c>
      <c r="AD470">
        <f>IF($D470="","",IF($AP470=1,0,IF($AO470=1,Settings!$C$6,Settings!$C$7))*100)</f>
        <v/>
      </c>
      <c r="AH470" s="7" t="n"/>
      <c r="AK470" s="11" t="n"/>
      <c r="AM470">
        <f>IF($D470="","",IF(COUNTIF($D$2:$D470,$D470)=1,1,0))</f>
        <v/>
      </c>
      <c r="AN470">
        <f>IF($AM470=1,SUMPRODUCT(--($AQ$2:$AQ$1001&lt;$AQ470))+1,"")</f>
        <v/>
      </c>
      <c r="AO470">
        <f>IF($D470="","",IF(OR($U470=TRUE(),$U470="TRUE"),1,0))</f>
        <v/>
      </c>
      <c r="AP470">
        <f>IF($D470="","",IF($AC470="Yes",1,0))</f>
        <v/>
      </c>
      <c r="AQ470">
        <f>IF($AM470=1,IFERROR(VALUE(MID($D470,2,20)),1000000000)+ROW()/100000,"")</f>
        <v/>
      </c>
    </row>
    <row r="471">
      <c r="G471" s="11" t="n"/>
      <c r="Q471" s="7">
        <f>IF($D471="","",P471*Y471/100)</f>
        <v/>
      </c>
      <c r="R471" s="7" t="n"/>
      <c r="X471" s="7" t="n"/>
      <c r="Y471" s="7" t="n"/>
      <c r="Z471" s="7">
        <f>IF($D471="","",Y471*AD471/100)</f>
        <v/>
      </c>
      <c r="AA471" s="7">
        <f>IF($D471="","",Y471-Z471)</f>
        <v/>
      </c>
      <c r="AB471" s="7">
        <f>IF($D471="","",AA471-Q471)</f>
        <v/>
      </c>
      <c r="AD471">
        <f>IF($D471="","",IF($AP471=1,0,IF($AO471=1,Settings!$C$6,Settings!$C$7))*100)</f>
        <v/>
      </c>
      <c r="AH471" s="7" t="n"/>
      <c r="AK471" s="11" t="n"/>
      <c r="AM471">
        <f>IF($D471="","",IF(COUNTIF($D$2:$D471,$D471)=1,1,0))</f>
        <v/>
      </c>
      <c r="AN471">
        <f>IF($AM471=1,SUMPRODUCT(--($AQ$2:$AQ$1001&lt;$AQ471))+1,"")</f>
        <v/>
      </c>
      <c r="AO471">
        <f>IF($D471="","",IF(OR($U471=TRUE(),$U471="TRUE"),1,0))</f>
        <v/>
      </c>
      <c r="AP471">
        <f>IF($D471="","",IF($AC471="Yes",1,0))</f>
        <v/>
      </c>
      <c r="AQ471">
        <f>IF($AM471=1,IFERROR(VALUE(MID($D471,2,20)),1000000000)+ROW()/100000,"")</f>
        <v/>
      </c>
    </row>
    <row r="472">
      <c r="G472" s="11" t="n"/>
      <c r="Q472" s="7">
        <f>IF($D472="","",P472*Y472/100)</f>
        <v/>
      </c>
      <c r="R472" s="7" t="n"/>
      <c r="X472" s="7" t="n"/>
      <c r="Y472" s="7" t="n"/>
      <c r="Z472" s="7">
        <f>IF($D472="","",Y472*AD472/100)</f>
        <v/>
      </c>
      <c r="AA472" s="7">
        <f>IF($D472="","",Y472-Z472)</f>
        <v/>
      </c>
      <c r="AB472" s="7">
        <f>IF($D472="","",AA472-Q472)</f>
        <v/>
      </c>
      <c r="AD472">
        <f>IF($D472="","",IF($AP472=1,0,IF($AO472=1,Settings!$C$6,Settings!$C$7))*100)</f>
        <v/>
      </c>
      <c r="AH472" s="7" t="n"/>
      <c r="AK472" s="11" t="n"/>
      <c r="AM472">
        <f>IF($D472="","",IF(COUNTIF($D$2:$D472,$D472)=1,1,0))</f>
        <v/>
      </c>
      <c r="AN472">
        <f>IF($AM472=1,SUMPRODUCT(--($AQ$2:$AQ$1001&lt;$AQ472))+1,"")</f>
        <v/>
      </c>
      <c r="AO472">
        <f>IF($D472="","",IF(OR($U472=TRUE(),$U472="TRUE"),1,0))</f>
        <v/>
      </c>
      <c r="AP472">
        <f>IF($D472="","",IF($AC472="Yes",1,0))</f>
        <v/>
      </c>
      <c r="AQ472">
        <f>IF($AM472=1,IFERROR(VALUE(MID($D472,2,20)),1000000000)+ROW()/100000,"")</f>
        <v/>
      </c>
    </row>
    <row r="473">
      <c r="G473" s="11" t="n"/>
      <c r="Q473" s="7">
        <f>IF($D473="","",P473*Y473/100)</f>
        <v/>
      </c>
      <c r="R473" s="7" t="n"/>
      <c r="X473" s="7" t="n"/>
      <c r="Y473" s="7" t="n"/>
      <c r="Z473" s="7">
        <f>IF($D473="","",Y473*AD473/100)</f>
        <v/>
      </c>
      <c r="AA473" s="7">
        <f>IF($D473="","",Y473-Z473)</f>
        <v/>
      </c>
      <c r="AB473" s="7">
        <f>IF($D473="","",AA473-Q473)</f>
        <v/>
      </c>
      <c r="AD473">
        <f>IF($D473="","",IF($AP473=1,0,IF($AO473=1,Settings!$C$6,Settings!$C$7))*100)</f>
        <v/>
      </c>
      <c r="AH473" s="7" t="n"/>
      <c r="AK473" s="11" t="n"/>
      <c r="AM473">
        <f>IF($D473="","",IF(COUNTIF($D$2:$D473,$D473)=1,1,0))</f>
        <v/>
      </c>
      <c r="AN473">
        <f>IF($AM473=1,SUMPRODUCT(--($AQ$2:$AQ$1001&lt;$AQ473))+1,"")</f>
        <v/>
      </c>
      <c r="AO473">
        <f>IF($D473="","",IF(OR($U473=TRUE(),$U473="TRUE"),1,0))</f>
        <v/>
      </c>
      <c r="AP473">
        <f>IF($D473="","",IF($AC473="Yes",1,0))</f>
        <v/>
      </c>
      <c r="AQ473">
        <f>IF($AM473=1,IFERROR(VALUE(MID($D473,2,20)),1000000000)+ROW()/100000,"")</f>
        <v/>
      </c>
    </row>
    <row r="474">
      <c r="G474" s="11" t="n"/>
      <c r="Q474" s="7">
        <f>IF($D474="","",P474*Y474/100)</f>
        <v/>
      </c>
      <c r="R474" s="7" t="n"/>
      <c r="X474" s="7" t="n"/>
      <c r="Y474" s="7" t="n"/>
      <c r="Z474" s="7">
        <f>IF($D474="","",Y474*AD474/100)</f>
        <v/>
      </c>
      <c r="AA474" s="7">
        <f>IF($D474="","",Y474-Z474)</f>
        <v/>
      </c>
      <c r="AB474" s="7">
        <f>IF($D474="","",AA474-Q474)</f>
        <v/>
      </c>
      <c r="AD474">
        <f>IF($D474="","",IF($AP474=1,0,IF($AO474=1,Settings!$C$6,Settings!$C$7))*100)</f>
        <v/>
      </c>
      <c r="AH474" s="7" t="n"/>
      <c r="AK474" s="11" t="n"/>
      <c r="AM474">
        <f>IF($D474="","",IF(COUNTIF($D$2:$D474,$D474)=1,1,0))</f>
        <v/>
      </c>
      <c r="AN474">
        <f>IF($AM474=1,SUMPRODUCT(--($AQ$2:$AQ$1001&lt;$AQ474))+1,"")</f>
        <v/>
      </c>
      <c r="AO474">
        <f>IF($D474="","",IF(OR($U474=TRUE(),$U474="TRUE"),1,0))</f>
        <v/>
      </c>
      <c r="AP474">
        <f>IF($D474="","",IF($AC474="Yes",1,0))</f>
        <v/>
      </c>
      <c r="AQ474">
        <f>IF($AM474=1,IFERROR(VALUE(MID($D474,2,20)),1000000000)+ROW()/100000,"")</f>
        <v/>
      </c>
    </row>
    <row r="475">
      <c r="G475" s="11" t="n"/>
      <c r="Q475" s="7">
        <f>IF($D475="","",P475*Y475/100)</f>
        <v/>
      </c>
      <c r="R475" s="7" t="n"/>
      <c r="X475" s="7" t="n"/>
      <c r="Y475" s="7" t="n"/>
      <c r="Z475" s="7">
        <f>IF($D475="","",Y475*AD475/100)</f>
        <v/>
      </c>
      <c r="AA475" s="7">
        <f>IF($D475="","",Y475-Z475)</f>
        <v/>
      </c>
      <c r="AB475" s="7">
        <f>IF($D475="","",AA475-Q475)</f>
        <v/>
      </c>
      <c r="AD475">
        <f>IF($D475="","",IF($AP475=1,0,IF($AO475=1,Settings!$C$6,Settings!$C$7))*100)</f>
        <v/>
      </c>
      <c r="AH475" s="7" t="n"/>
      <c r="AK475" s="11" t="n"/>
      <c r="AM475">
        <f>IF($D475="","",IF(COUNTIF($D$2:$D475,$D475)=1,1,0))</f>
        <v/>
      </c>
      <c r="AN475">
        <f>IF($AM475=1,SUMPRODUCT(--($AQ$2:$AQ$1001&lt;$AQ475))+1,"")</f>
        <v/>
      </c>
      <c r="AO475">
        <f>IF($D475="","",IF(OR($U475=TRUE(),$U475="TRUE"),1,0))</f>
        <v/>
      </c>
      <c r="AP475">
        <f>IF($D475="","",IF($AC475="Yes",1,0))</f>
        <v/>
      </c>
      <c r="AQ475">
        <f>IF($AM475=1,IFERROR(VALUE(MID($D475,2,20)),1000000000)+ROW()/100000,"")</f>
        <v/>
      </c>
    </row>
    <row r="476">
      <c r="G476" s="11" t="n"/>
      <c r="Q476" s="7">
        <f>IF($D476="","",P476*Y476/100)</f>
        <v/>
      </c>
      <c r="R476" s="7" t="n"/>
      <c r="X476" s="7" t="n"/>
      <c r="Y476" s="7" t="n"/>
      <c r="Z476" s="7">
        <f>IF($D476="","",Y476*AD476/100)</f>
        <v/>
      </c>
      <c r="AA476" s="7">
        <f>IF($D476="","",Y476-Z476)</f>
        <v/>
      </c>
      <c r="AB476" s="7">
        <f>IF($D476="","",AA476-Q476)</f>
        <v/>
      </c>
      <c r="AD476">
        <f>IF($D476="","",IF($AP476=1,0,IF($AO476=1,Settings!$C$6,Settings!$C$7))*100)</f>
        <v/>
      </c>
      <c r="AH476" s="7" t="n"/>
      <c r="AK476" s="11" t="n"/>
      <c r="AM476">
        <f>IF($D476="","",IF(COUNTIF($D$2:$D476,$D476)=1,1,0))</f>
        <v/>
      </c>
      <c r="AN476">
        <f>IF($AM476=1,SUMPRODUCT(--($AQ$2:$AQ$1001&lt;$AQ476))+1,"")</f>
        <v/>
      </c>
      <c r="AO476">
        <f>IF($D476="","",IF(OR($U476=TRUE(),$U476="TRUE"),1,0))</f>
        <v/>
      </c>
      <c r="AP476">
        <f>IF($D476="","",IF($AC476="Yes",1,0))</f>
        <v/>
      </c>
      <c r="AQ476">
        <f>IF($AM476=1,IFERROR(VALUE(MID($D476,2,20)),1000000000)+ROW()/100000,"")</f>
        <v/>
      </c>
    </row>
    <row r="477">
      <c r="G477" s="11" t="n"/>
      <c r="Q477" s="7">
        <f>IF($D477="","",P477*Y477/100)</f>
        <v/>
      </c>
      <c r="R477" s="7" t="n"/>
      <c r="X477" s="7" t="n"/>
      <c r="Y477" s="7" t="n"/>
      <c r="Z477" s="7">
        <f>IF($D477="","",Y477*AD477/100)</f>
        <v/>
      </c>
      <c r="AA477" s="7">
        <f>IF($D477="","",Y477-Z477)</f>
        <v/>
      </c>
      <c r="AB477" s="7">
        <f>IF($D477="","",AA477-Q477)</f>
        <v/>
      </c>
      <c r="AD477">
        <f>IF($D477="","",IF($AP477=1,0,IF($AO477=1,Settings!$C$6,Settings!$C$7))*100)</f>
        <v/>
      </c>
      <c r="AH477" s="7" t="n"/>
      <c r="AK477" s="11" t="n"/>
      <c r="AM477">
        <f>IF($D477="","",IF(COUNTIF($D$2:$D477,$D477)=1,1,0))</f>
        <v/>
      </c>
      <c r="AN477">
        <f>IF($AM477=1,SUMPRODUCT(--($AQ$2:$AQ$1001&lt;$AQ477))+1,"")</f>
        <v/>
      </c>
      <c r="AO477">
        <f>IF($D477="","",IF(OR($U477=TRUE(),$U477="TRUE"),1,0))</f>
        <v/>
      </c>
      <c r="AP477">
        <f>IF($D477="","",IF($AC477="Yes",1,0))</f>
        <v/>
      </c>
      <c r="AQ477">
        <f>IF($AM477=1,IFERROR(VALUE(MID($D477,2,20)),1000000000)+ROW()/100000,"")</f>
        <v/>
      </c>
    </row>
    <row r="478">
      <c r="G478" s="11" t="n"/>
      <c r="Q478" s="7">
        <f>IF($D478="","",P478*Y478/100)</f>
        <v/>
      </c>
      <c r="R478" s="7" t="n"/>
      <c r="X478" s="7" t="n"/>
      <c r="Y478" s="7" t="n"/>
      <c r="Z478" s="7">
        <f>IF($D478="","",Y478*AD478/100)</f>
        <v/>
      </c>
      <c r="AA478" s="7">
        <f>IF($D478="","",Y478-Z478)</f>
        <v/>
      </c>
      <c r="AB478" s="7">
        <f>IF($D478="","",AA478-Q478)</f>
        <v/>
      </c>
      <c r="AD478">
        <f>IF($D478="","",IF($AP478=1,0,IF($AO478=1,Settings!$C$6,Settings!$C$7))*100)</f>
        <v/>
      </c>
      <c r="AH478" s="7" t="n"/>
      <c r="AK478" s="11" t="n"/>
      <c r="AM478">
        <f>IF($D478="","",IF(COUNTIF($D$2:$D478,$D478)=1,1,0))</f>
        <v/>
      </c>
      <c r="AN478">
        <f>IF($AM478=1,SUMPRODUCT(--($AQ$2:$AQ$1001&lt;$AQ478))+1,"")</f>
        <v/>
      </c>
      <c r="AO478">
        <f>IF($D478="","",IF(OR($U478=TRUE(),$U478="TRUE"),1,0))</f>
        <v/>
      </c>
      <c r="AP478">
        <f>IF($D478="","",IF($AC478="Yes",1,0))</f>
        <v/>
      </c>
      <c r="AQ478">
        <f>IF($AM478=1,IFERROR(VALUE(MID($D478,2,20)),1000000000)+ROW()/100000,"")</f>
        <v/>
      </c>
    </row>
    <row r="479">
      <c r="G479" s="11" t="n"/>
      <c r="Q479" s="7">
        <f>IF($D479="","",P479*Y479/100)</f>
        <v/>
      </c>
      <c r="R479" s="7" t="n"/>
      <c r="X479" s="7" t="n"/>
      <c r="Y479" s="7" t="n"/>
      <c r="Z479" s="7">
        <f>IF($D479="","",Y479*AD479/100)</f>
        <v/>
      </c>
      <c r="AA479" s="7">
        <f>IF($D479="","",Y479-Z479)</f>
        <v/>
      </c>
      <c r="AB479" s="7">
        <f>IF($D479="","",AA479-Q479)</f>
        <v/>
      </c>
      <c r="AD479">
        <f>IF($D479="","",IF($AP479=1,0,IF($AO479=1,Settings!$C$6,Settings!$C$7))*100)</f>
        <v/>
      </c>
      <c r="AH479" s="7" t="n"/>
      <c r="AK479" s="11" t="n"/>
      <c r="AM479">
        <f>IF($D479="","",IF(COUNTIF($D$2:$D479,$D479)=1,1,0))</f>
        <v/>
      </c>
      <c r="AN479">
        <f>IF($AM479=1,SUMPRODUCT(--($AQ$2:$AQ$1001&lt;$AQ479))+1,"")</f>
        <v/>
      </c>
      <c r="AO479">
        <f>IF($D479="","",IF(OR($U479=TRUE(),$U479="TRUE"),1,0))</f>
        <v/>
      </c>
      <c r="AP479">
        <f>IF($D479="","",IF($AC479="Yes",1,0))</f>
        <v/>
      </c>
      <c r="AQ479">
        <f>IF($AM479=1,IFERROR(VALUE(MID($D479,2,20)),1000000000)+ROW()/100000,"")</f>
        <v/>
      </c>
    </row>
    <row r="480">
      <c r="G480" s="11" t="n"/>
      <c r="Q480" s="7">
        <f>IF($D480="","",P480*Y480/100)</f>
        <v/>
      </c>
      <c r="R480" s="7" t="n"/>
      <c r="X480" s="7" t="n"/>
      <c r="Y480" s="7" t="n"/>
      <c r="Z480" s="7">
        <f>IF($D480="","",Y480*AD480/100)</f>
        <v/>
      </c>
      <c r="AA480" s="7">
        <f>IF($D480="","",Y480-Z480)</f>
        <v/>
      </c>
      <c r="AB480" s="7">
        <f>IF($D480="","",AA480-Q480)</f>
        <v/>
      </c>
      <c r="AD480">
        <f>IF($D480="","",IF($AP480=1,0,IF($AO480=1,Settings!$C$6,Settings!$C$7))*100)</f>
        <v/>
      </c>
      <c r="AH480" s="7" t="n"/>
      <c r="AK480" s="11" t="n"/>
      <c r="AM480">
        <f>IF($D480="","",IF(COUNTIF($D$2:$D480,$D480)=1,1,0))</f>
        <v/>
      </c>
      <c r="AN480">
        <f>IF($AM480=1,SUMPRODUCT(--($AQ$2:$AQ$1001&lt;$AQ480))+1,"")</f>
        <v/>
      </c>
      <c r="AO480">
        <f>IF($D480="","",IF(OR($U480=TRUE(),$U480="TRUE"),1,0))</f>
        <v/>
      </c>
      <c r="AP480">
        <f>IF($D480="","",IF($AC480="Yes",1,0))</f>
        <v/>
      </c>
      <c r="AQ480">
        <f>IF($AM480=1,IFERROR(VALUE(MID($D480,2,20)),1000000000)+ROW()/100000,"")</f>
        <v/>
      </c>
    </row>
    <row r="481">
      <c r="G481" s="11" t="n"/>
      <c r="Q481" s="7">
        <f>IF($D481="","",P481*Y481/100)</f>
        <v/>
      </c>
      <c r="R481" s="7" t="n"/>
      <c r="X481" s="7" t="n"/>
      <c r="Y481" s="7" t="n"/>
      <c r="Z481" s="7">
        <f>IF($D481="","",Y481*AD481/100)</f>
        <v/>
      </c>
      <c r="AA481" s="7">
        <f>IF($D481="","",Y481-Z481)</f>
        <v/>
      </c>
      <c r="AB481" s="7">
        <f>IF($D481="","",AA481-Q481)</f>
        <v/>
      </c>
      <c r="AD481">
        <f>IF($D481="","",IF($AP481=1,0,IF($AO481=1,Settings!$C$6,Settings!$C$7))*100)</f>
        <v/>
      </c>
      <c r="AH481" s="7" t="n"/>
      <c r="AK481" s="11" t="n"/>
      <c r="AM481">
        <f>IF($D481="","",IF(COUNTIF($D$2:$D481,$D481)=1,1,0))</f>
        <v/>
      </c>
      <c r="AN481">
        <f>IF($AM481=1,SUMPRODUCT(--($AQ$2:$AQ$1001&lt;$AQ481))+1,"")</f>
        <v/>
      </c>
      <c r="AO481">
        <f>IF($D481="","",IF(OR($U481=TRUE(),$U481="TRUE"),1,0))</f>
        <v/>
      </c>
      <c r="AP481">
        <f>IF($D481="","",IF($AC481="Yes",1,0))</f>
        <v/>
      </c>
      <c r="AQ481">
        <f>IF($AM481=1,IFERROR(VALUE(MID($D481,2,20)),1000000000)+ROW()/100000,"")</f>
        <v/>
      </c>
    </row>
    <row r="482">
      <c r="G482" s="11" t="n"/>
      <c r="Q482" s="7">
        <f>IF($D482="","",P482*Y482/100)</f>
        <v/>
      </c>
      <c r="R482" s="7" t="n"/>
      <c r="X482" s="7" t="n"/>
      <c r="Y482" s="7" t="n"/>
      <c r="Z482" s="7">
        <f>IF($D482="","",Y482*AD482/100)</f>
        <v/>
      </c>
      <c r="AA482" s="7">
        <f>IF($D482="","",Y482-Z482)</f>
        <v/>
      </c>
      <c r="AB482" s="7">
        <f>IF($D482="","",AA482-Q482)</f>
        <v/>
      </c>
      <c r="AD482">
        <f>IF($D482="","",IF($AP482=1,0,IF($AO482=1,Settings!$C$6,Settings!$C$7))*100)</f>
        <v/>
      </c>
      <c r="AH482" s="7" t="n"/>
      <c r="AK482" s="11" t="n"/>
      <c r="AM482">
        <f>IF($D482="","",IF(COUNTIF($D$2:$D482,$D482)=1,1,0))</f>
        <v/>
      </c>
      <c r="AN482">
        <f>IF($AM482=1,SUMPRODUCT(--($AQ$2:$AQ$1001&lt;$AQ482))+1,"")</f>
        <v/>
      </c>
      <c r="AO482">
        <f>IF($D482="","",IF(OR($U482=TRUE(),$U482="TRUE"),1,0))</f>
        <v/>
      </c>
      <c r="AP482">
        <f>IF($D482="","",IF($AC482="Yes",1,0))</f>
        <v/>
      </c>
      <c r="AQ482">
        <f>IF($AM482=1,IFERROR(VALUE(MID($D482,2,20)),1000000000)+ROW()/100000,"")</f>
        <v/>
      </c>
    </row>
    <row r="483">
      <c r="G483" s="11" t="n"/>
      <c r="Q483" s="7">
        <f>IF($D483="","",P483*Y483/100)</f>
        <v/>
      </c>
      <c r="R483" s="7" t="n"/>
      <c r="X483" s="7" t="n"/>
      <c r="Y483" s="7" t="n"/>
      <c r="Z483" s="7">
        <f>IF($D483="","",Y483*AD483/100)</f>
        <v/>
      </c>
      <c r="AA483" s="7">
        <f>IF($D483="","",Y483-Z483)</f>
        <v/>
      </c>
      <c r="AB483" s="7">
        <f>IF($D483="","",AA483-Q483)</f>
        <v/>
      </c>
      <c r="AD483">
        <f>IF($D483="","",IF($AP483=1,0,IF($AO483=1,Settings!$C$6,Settings!$C$7))*100)</f>
        <v/>
      </c>
      <c r="AH483" s="7" t="n"/>
      <c r="AK483" s="11" t="n"/>
      <c r="AM483">
        <f>IF($D483="","",IF(COUNTIF($D$2:$D483,$D483)=1,1,0))</f>
        <v/>
      </c>
      <c r="AN483">
        <f>IF($AM483=1,SUMPRODUCT(--($AQ$2:$AQ$1001&lt;$AQ483))+1,"")</f>
        <v/>
      </c>
      <c r="AO483">
        <f>IF($D483="","",IF(OR($U483=TRUE(),$U483="TRUE"),1,0))</f>
        <v/>
      </c>
      <c r="AP483">
        <f>IF($D483="","",IF($AC483="Yes",1,0))</f>
        <v/>
      </c>
      <c r="AQ483">
        <f>IF($AM483=1,IFERROR(VALUE(MID($D483,2,20)),1000000000)+ROW()/100000,"")</f>
        <v/>
      </c>
    </row>
    <row r="484">
      <c r="G484" s="11" t="n"/>
      <c r="Q484" s="7">
        <f>IF($D484="","",P484*Y484/100)</f>
        <v/>
      </c>
      <c r="R484" s="7" t="n"/>
      <c r="X484" s="7" t="n"/>
      <c r="Y484" s="7" t="n"/>
      <c r="Z484" s="7">
        <f>IF($D484="","",Y484*AD484/100)</f>
        <v/>
      </c>
      <c r="AA484" s="7">
        <f>IF($D484="","",Y484-Z484)</f>
        <v/>
      </c>
      <c r="AB484" s="7">
        <f>IF($D484="","",AA484-Q484)</f>
        <v/>
      </c>
      <c r="AD484">
        <f>IF($D484="","",IF($AP484=1,0,IF($AO484=1,Settings!$C$6,Settings!$C$7))*100)</f>
        <v/>
      </c>
      <c r="AH484" s="7" t="n"/>
      <c r="AK484" s="11" t="n"/>
      <c r="AM484">
        <f>IF($D484="","",IF(COUNTIF($D$2:$D484,$D484)=1,1,0))</f>
        <v/>
      </c>
      <c r="AN484">
        <f>IF($AM484=1,SUMPRODUCT(--($AQ$2:$AQ$1001&lt;$AQ484))+1,"")</f>
        <v/>
      </c>
      <c r="AO484">
        <f>IF($D484="","",IF(OR($U484=TRUE(),$U484="TRUE"),1,0))</f>
        <v/>
      </c>
      <c r="AP484">
        <f>IF($D484="","",IF($AC484="Yes",1,0))</f>
        <v/>
      </c>
      <c r="AQ484">
        <f>IF($AM484=1,IFERROR(VALUE(MID($D484,2,20)),1000000000)+ROW()/100000,"")</f>
        <v/>
      </c>
    </row>
    <row r="485">
      <c r="G485" s="11" t="n"/>
      <c r="Q485" s="7">
        <f>IF($D485="","",P485*Y485/100)</f>
        <v/>
      </c>
      <c r="R485" s="7" t="n"/>
      <c r="X485" s="7" t="n"/>
      <c r="Y485" s="7" t="n"/>
      <c r="Z485" s="7">
        <f>IF($D485="","",Y485*AD485/100)</f>
        <v/>
      </c>
      <c r="AA485" s="7">
        <f>IF($D485="","",Y485-Z485)</f>
        <v/>
      </c>
      <c r="AB485" s="7">
        <f>IF($D485="","",AA485-Q485)</f>
        <v/>
      </c>
      <c r="AD485">
        <f>IF($D485="","",IF($AP485=1,0,IF($AO485=1,Settings!$C$6,Settings!$C$7))*100)</f>
        <v/>
      </c>
      <c r="AH485" s="7" t="n"/>
      <c r="AK485" s="11" t="n"/>
      <c r="AM485">
        <f>IF($D485="","",IF(COUNTIF($D$2:$D485,$D485)=1,1,0))</f>
        <v/>
      </c>
      <c r="AN485">
        <f>IF($AM485=1,SUMPRODUCT(--($AQ$2:$AQ$1001&lt;$AQ485))+1,"")</f>
        <v/>
      </c>
      <c r="AO485">
        <f>IF($D485="","",IF(OR($U485=TRUE(),$U485="TRUE"),1,0))</f>
        <v/>
      </c>
      <c r="AP485">
        <f>IF($D485="","",IF($AC485="Yes",1,0))</f>
        <v/>
      </c>
      <c r="AQ485">
        <f>IF($AM485=1,IFERROR(VALUE(MID($D485,2,20)),1000000000)+ROW()/100000,"")</f>
        <v/>
      </c>
    </row>
    <row r="486">
      <c r="G486" s="11" t="n"/>
      <c r="Q486" s="7">
        <f>IF($D486="","",P486*Y486/100)</f>
        <v/>
      </c>
      <c r="R486" s="7" t="n"/>
      <c r="X486" s="7" t="n"/>
      <c r="Y486" s="7" t="n"/>
      <c r="Z486" s="7">
        <f>IF($D486="","",Y486*AD486/100)</f>
        <v/>
      </c>
      <c r="AA486" s="7">
        <f>IF($D486="","",Y486-Z486)</f>
        <v/>
      </c>
      <c r="AB486" s="7">
        <f>IF($D486="","",AA486-Q486)</f>
        <v/>
      </c>
      <c r="AD486">
        <f>IF($D486="","",IF($AP486=1,0,IF($AO486=1,Settings!$C$6,Settings!$C$7))*100)</f>
        <v/>
      </c>
      <c r="AH486" s="7" t="n"/>
      <c r="AK486" s="11" t="n"/>
      <c r="AM486">
        <f>IF($D486="","",IF(COUNTIF($D$2:$D486,$D486)=1,1,0))</f>
        <v/>
      </c>
      <c r="AN486">
        <f>IF($AM486=1,SUMPRODUCT(--($AQ$2:$AQ$1001&lt;$AQ486))+1,"")</f>
        <v/>
      </c>
      <c r="AO486">
        <f>IF($D486="","",IF(OR($U486=TRUE(),$U486="TRUE"),1,0))</f>
        <v/>
      </c>
      <c r="AP486">
        <f>IF($D486="","",IF($AC486="Yes",1,0))</f>
        <v/>
      </c>
      <c r="AQ486">
        <f>IF($AM486=1,IFERROR(VALUE(MID($D486,2,20)),1000000000)+ROW()/100000,"")</f>
        <v/>
      </c>
    </row>
    <row r="487">
      <c r="G487" s="11" t="n"/>
      <c r="Q487" s="7">
        <f>IF($D487="","",P487*Y487/100)</f>
        <v/>
      </c>
      <c r="R487" s="7" t="n"/>
      <c r="X487" s="7" t="n"/>
      <c r="Y487" s="7" t="n"/>
      <c r="Z487" s="7">
        <f>IF($D487="","",Y487*AD487/100)</f>
        <v/>
      </c>
      <c r="AA487" s="7">
        <f>IF($D487="","",Y487-Z487)</f>
        <v/>
      </c>
      <c r="AB487" s="7">
        <f>IF($D487="","",AA487-Q487)</f>
        <v/>
      </c>
      <c r="AD487">
        <f>IF($D487="","",IF($AP487=1,0,IF($AO487=1,Settings!$C$6,Settings!$C$7))*100)</f>
        <v/>
      </c>
      <c r="AH487" s="7" t="n"/>
      <c r="AK487" s="11" t="n"/>
      <c r="AM487">
        <f>IF($D487="","",IF(COUNTIF($D$2:$D487,$D487)=1,1,0))</f>
        <v/>
      </c>
      <c r="AN487">
        <f>IF($AM487=1,SUMPRODUCT(--($AQ$2:$AQ$1001&lt;$AQ487))+1,"")</f>
        <v/>
      </c>
      <c r="AO487">
        <f>IF($D487="","",IF(OR($U487=TRUE(),$U487="TRUE"),1,0))</f>
        <v/>
      </c>
      <c r="AP487">
        <f>IF($D487="","",IF($AC487="Yes",1,0))</f>
        <v/>
      </c>
      <c r="AQ487">
        <f>IF($AM487=1,IFERROR(VALUE(MID($D487,2,20)),1000000000)+ROW()/100000,"")</f>
        <v/>
      </c>
    </row>
    <row r="488">
      <c r="G488" s="11" t="n"/>
      <c r="Q488" s="7">
        <f>IF($D488="","",P488*Y488/100)</f>
        <v/>
      </c>
      <c r="R488" s="7" t="n"/>
      <c r="X488" s="7" t="n"/>
      <c r="Y488" s="7" t="n"/>
      <c r="Z488" s="7">
        <f>IF($D488="","",Y488*AD488/100)</f>
        <v/>
      </c>
      <c r="AA488" s="7">
        <f>IF($D488="","",Y488-Z488)</f>
        <v/>
      </c>
      <c r="AB488" s="7">
        <f>IF($D488="","",AA488-Q488)</f>
        <v/>
      </c>
      <c r="AD488">
        <f>IF($D488="","",IF($AP488=1,0,IF($AO488=1,Settings!$C$6,Settings!$C$7))*100)</f>
        <v/>
      </c>
      <c r="AH488" s="7" t="n"/>
      <c r="AK488" s="11" t="n"/>
      <c r="AM488">
        <f>IF($D488="","",IF(COUNTIF($D$2:$D488,$D488)=1,1,0))</f>
        <v/>
      </c>
      <c r="AN488">
        <f>IF($AM488=1,SUMPRODUCT(--($AQ$2:$AQ$1001&lt;$AQ488))+1,"")</f>
        <v/>
      </c>
      <c r="AO488">
        <f>IF($D488="","",IF(OR($U488=TRUE(),$U488="TRUE"),1,0))</f>
        <v/>
      </c>
      <c r="AP488">
        <f>IF($D488="","",IF($AC488="Yes",1,0))</f>
        <v/>
      </c>
      <c r="AQ488">
        <f>IF($AM488=1,IFERROR(VALUE(MID($D488,2,20)),1000000000)+ROW()/100000,"")</f>
        <v/>
      </c>
    </row>
    <row r="489">
      <c r="G489" s="11" t="n"/>
      <c r="Q489" s="7">
        <f>IF($D489="","",P489*Y489/100)</f>
        <v/>
      </c>
      <c r="R489" s="7" t="n"/>
      <c r="X489" s="7" t="n"/>
      <c r="Y489" s="7" t="n"/>
      <c r="Z489" s="7">
        <f>IF($D489="","",Y489*AD489/100)</f>
        <v/>
      </c>
      <c r="AA489" s="7">
        <f>IF($D489="","",Y489-Z489)</f>
        <v/>
      </c>
      <c r="AB489" s="7">
        <f>IF($D489="","",AA489-Q489)</f>
        <v/>
      </c>
      <c r="AD489">
        <f>IF($D489="","",IF($AP489=1,0,IF($AO489=1,Settings!$C$6,Settings!$C$7))*100)</f>
        <v/>
      </c>
      <c r="AH489" s="7" t="n"/>
      <c r="AK489" s="11" t="n"/>
      <c r="AM489">
        <f>IF($D489="","",IF(COUNTIF($D$2:$D489,$D489)=1,1,0))</f>
        <v/>
      </c>
      <c r="AN489">
        <f>IF($AM489=1,SUMPRODUCT(--($AQ$2:$AQ$1001&lt;$AQ489))+1,"")</f>
        <v/>
      </c>
      <c r="AO489">
        <f>IF($D489="","",IF(OR($U489=TRUE(),$U489="TRUE"),1,0))</f>
        <v/>
      </c>
      <c r="AP489">
        <f>IF($D489="","",IF($AC489="Yes",1,0))</f>
        <v/>
      </c>
      <c r="AQ489">
        <f>IF($AM489=1,IFERROR(VALUE(MID($D489,2,20)),1000000000)+ROW()/100000,"")</f>
        <v/>
      </c>
    </row>
    <row r="490">
      <c r="G490" s="11" t="n"/>
      <c r="Q490" s="7">
        <f>IF($D490="","",P490*Y490/100)</f>
        <v/>
      </c>
      <c r="R490" s="7" t="n"/>
      <c r="X490" s="7" t="n"/>
      <c r="Y490" s="7" t="n"/>
      <c r="Z490" s="7">
        <f>IF($D490="","",Y490*AD490/100)</f>
        <v/>
      </c>
      <c r="AA490" s="7">
        <f>IF($D490="","",Y490-Z490)</f>
        <v/>
      </c>
      <c r="AB490" s="7">
        <f>IF($D490="","",AA490-Q490)</f>
        <v/>
      </c>
      <c r="AD490">
        <f>IF($D490="","",IF($AP490=1,0,IF($AO490=1,Settings!$C$6,Settings!$C$7))*100)</f>
        <v/>
      </c>
      <c r="AH490" s="7" t="n"/>
      <c r="AK490" s="11" t="n"/>
      <c r="AM490">
        <f>IF($D490="","",IF(COUNTIF($D$2:$D490,$D490)=1,1,0))</f>
        <v/>
      </c>
      <c r="AN490">
        <f>IF($AM490=1,SUMPRODUCT(--($AQ$2:$AQ$1001&lt;$AQ490))+1,"")</f>
        <v/>
      </c>
      <c r="AO490">
        <f>IF($D490="","",IF(OR($U490=TRUE(),$U490="TRUE"),1,0))</f>
        <v/>
      </c>
      <c r="AP490">
        <f>IF($D490="","",IF($AC490="Yes",1,0))</f>
        <v/>
      </c>
      <c r="AQ490">
        <f>IF($AM490=1,IFERROR(VALUE(MID($D490,2,20)),1000000000)+ROW()/100000,"")</f>
        <v/>
      </c>
    </row>
    <row r="491">
      <c r="G491" s="11" t="n"/>
      <c r="Q491" s="7">
        <f>IF($D491="","",P491*Y491/100)</f>
        <v/>
      </c>
      <c r="R491" s="7" t="n"/>
      <c r="X491" s="7" t="n"/>
      <c r="Y491" s="7" t="n"/>
      <c r="Z491" s="7">
        <f>IF($D491="","",Y491*AD491/100)</f>
        <v/>
      </c>
      <c r="AA491" s="7">
        <f>IF($D491="","",Y491-Z491)</f>
        <v/>
      </c>
      <c r="AB491" s="7">
        <f>IF($D491="","",AA491-Q491)</f>
        <v/>
      </c>
      <c r="AD491">
        <f>IF($D491="","",IF($AP491=1,0,IF($AO491=1,Settings!$C$6,Settings!$C$7))*100)</f>
        <v/>
      </c>
      <c r="AH491" s="7" t="n"/>
      <c r="AK491" s="11" t="n"/>
      <c r="AM491">
        <f>IF($D491="","",IF(COUNTIF($D$2:$D491,$D491)=1,1,0))</f>
        <v/>
      </c>
      <c r="AN491">
        <f>IF($AM491=1,SUMPRODUCT(--($AQ$2:$AQ$1001&lt;$AQ491))+1,"")</f>
        <v/>
      </c>
      <c r="AO491">
        <f>IF($D491="","",IF(OR($U491=TRUE(),$U491="TRUE"),1,0))</f>
        <v/>
      </c>
      <c r="AP491">
        <f>IF($D491="","",IF($AC491="Yes",1,0))</f>
        <v/>
      </c>
      <c r="AQ491">
        <f>IF($AM491=1,IFERROR(VALUE(MID($D491,2,20)),1000000000)+ROW()/100000,"")</f>
        <v/>
      </c>
    </row>
    <row r="492">
      <c r="G492" s="11" t="n"/>
      <c r="Q492" s="7">
        <f>IF($D492="","",P492*Y492/100)</f>
        <v/>
      </c>
      <c r="R492" s="7" t="n"/>
      <c r="X492" s="7" t="n"/>
      <c r="Y492" s="7" t="n"/>
      <c r="Z492" s="7">
        <f>IF($D492="","",Y492*AD492/100)</f>
        <v/>
      </c>
      <c r="AA492" s="7">
        <f>IF($D492="","",Y492-Z492)</f>
        <v/>
      </c>
      <c r="AB492" s="7">
        <f>IF($D492="","",AA492-Q492)</f>
        <v/>
      </c>
      <c r="AD492">
        <f>IF($D492="","",IF($AP492=1,0,IF($AO492=1,Settings!$C$6,Settings!$C$7))*100)</f>
        <v/>
      </c>
      <c r="AH492" s="7" t="n"/>
      <c r="AK492" s="11" t="n"/>
      <c r="AM492">
        <f>IF($D492="","",IF(COUNTIF($D$2:$D492,$D492)=1,1,0))</f>
        <v/>
      </c>
      <c r="AN492">
        <f>IF($AM492=1,SUMPRODUCT(--($AQ$2:$AQ$1001&lt;$AQ492))+1,"")</f>
        <v/>
      </c>
      <c r="AO492">
        <f>IF($D492="","",IF(OR($U492=TRUE(),$U492="TRUE"),1,0))</f>
        <v/>
      </c>
      <c r="AP492">
        <f>IF($D492="","",IF($AC492="Yes",1,0))</f>
        <v/>
      </c>
      <c r="AQ492">
        <f>IF($AM492=1,IFERROR(VALUE(MID($D492,2,20)),1000000000)+ROW()/100000,"")</f>
        <v/>
      </c>
    </row>
    <row r="493">
      <c r="G493" s="11" t="n"/>
      <c r="Q493" s="7">
        <f>IF($D493="","",P493*Y493/100)</f>
        <v/>
      </c>
      <c r="R493" s="7" t="n"/>
      <c r="X493" s="7" t="n"/>
      <c r="Y493" s="7" t="n"/>
      <c r="Z493" s="7">
        <f>IF($D493="","",Y493*AD493/100)</f>
        <v/>
      </c>
      <c r="AA493" s="7">
        <f>IF($D493="","",Y493-Z493)</f>
        <v/>
      </c>
      <c r="AB493" s="7">
        <f>IF($D493="","",AA493-Q493)</f>
        <v/>
      </c>
      <c r="AD493">
        <f>IF($D493="","",IF($AP493=1,0,IF($AO493=1,Settings!$C$6,Settings!$C$7))*100)</f>
        <v/>
      </c>
      <c r="AH493" s="7" t="n"/>
      <c r="AK493" s="11" t="n"/>
      <c r="AM493">
        <f>IF($D493="","",IF(COUNTIF($D$2:$D493,$D493)=1,1,0))</f>
        <v/>
      </c>
      <c r="AN493">
        <f>IF($AM493=1,SUMPRODUCT(--($AQ$2:$AQ$1001&lt;$AQ493))+1,"")</f>
        <v/>
      </c>
      <c r="AO493">
        <f>IF($D493="","",IF(OR($U493=TRUE(),$U493="TRUE"),1,0))</f>
        <v/>
      </c>
      <c r="AP493">
        <f>IF($D493="","",IF($AC493="Yes",1,0))</f>
        <v/>
      </c>
      <c r="AQ493">
        <f>IF($AM493=1,IFERROR(VALUE(MID($D493,2,20)),1000000000)+ROW()/100000,"")</f>
        <v/>
      </c>
    </row>
    <row r="494">
      <c r="G494" s="11" t="n"/>
      <c r="Q494" s="7">
        <f>IF($D494="","",P494*Y494/100)</f>
        <v/>
      </c>
      <c r="R494" s="7" t="n"/>
      <c r="X494" s="7" t="n"/>
      <c r="Y494" s="7" t="n"/>
      <c r="Z494" s="7">
        <f>IF($D494="","",Y494*AD494/100)</f>
        <v/>
      </c>
      <c r="AA494" s="7">
        <f>IF($D494="","",Y494-Z494)</f>
        <v/>
      </c>
      <c r="AB494" s="7">
        <f>IF($D494="","",AA494-Q494)</f>
        <v/>
      </c>
      <c r="AD494">
        <f>IF($D494="","",IF($AP494=1,0,IF($AO494=1,Settings!$C$6,Settings!$C$7))*100)</f>
        <v/>
      </c>
      <c r="AH494" s="7" t="n"/>
      <c r="AK494" s="11" t="n"/>
      <c r="AM494">
        <f>IF($D494="","",IF(COUNTIF($D$2:$D494,$D494)=1,1,0))</f>
        <v/>
      </c>
      <c r="AN494">
        <f>IF($AM494=1,SUMPRODUCT(--($AQ$2:$AQ$1001&lt;$AQ494))+1,"")</f>
        <v/>
      </c>
      <c r="AO494">
        <f>IF($D494="","",IF(OR($U494=TRUE(),$U494="TRUE"),1,0))</f>
        <v/>
      </c>
      <c r="AP494">
        <f>IF($D494="","",IF($AC494="Yes",1,0))</f>
        <v/>
      </c>
      <c r="AQ494">
        <f>IF($AM494=1,IFERROR(VALUE(MID($D494,2,20)),1000000000)+ROW()/100000,"")</f>
        <v/>
      </c>
    </row>
    <row r="495">
      <c r="G495" s="11" t="n"/>
      <c r="Q495" s="7">
        <f>IF($D495="","",P495*Y495/100)</f>
        <v/>
      </c>
      <c r="R495" s="7" t="n"/>
      <c r="X495" s="7" t="n"/>
      <c r="Y495" s="7" t="n"/>
      <c r="Z495" s="7">
        <f>IF($D495="","",Y495*AD495/100)</f>
        <v/>
      </c>
      <c r="AA495" s="7">
        <f>IF($D495="","",Y495-Z495)</f>
        <v/>
      </c>
      <c r="AB495" s="7">
        <f>IF($D495="","",AA495-Q495)</f>
        <v/>
      </c>
      <c r="AD495">
        <f>IF($D495="","",IF($AP495=1,0,IF($AO495=1,Settings!$C$6,Settings!$C$7))*100)</f>
        <v/>
      </c>
      <c r="AH495" s="7" t="n"/>
      <c r="AK495" s="11" t="n"/>
      <c r="AM495">
        <f>IF($D495="","",IF(COUNTIF($D$2:$D495,$D495)=1,1,0))</f>
        <v/>
      </c>
      <c r="AN495">
        <f>IF($AM495=1,SUMPRODUCT(--($AQ$2:$AQ$1001&lt;$AQ495))+1,"")</f>
        <v/>
      </c>
      <c r="AO495">
        <f>IF($D495="","",IF(OR($U495=TRUE(),$U495="TRUE"),1,0))</f>
        <v/>
      </c>
      <c r="AP495">
        <f>IF($D495="","",IF($AC495="Yes",1,0))</f>
        <v/>
      </c>
      <c r="AQ495">
        <f>IF($AM495=1,IFERROR(VALUE(MID($D495,2,20)),1000000000)+ROW()/100000,"")</f>
        <v/>
      </c>
    </row>
    <row r="496">
      <c r="G496" s="11" t="n"/>
      <c r="Q496" s="7">
        <f>IF($D496="","",P496*Y496/100)</f>
        <v/>
      </c>
      <c r="R496" s="7" t="n"/>
      <c r="X496" s="7" t="n"/>
      <c r="Y496" s="7" t="n"/>
      <c r="Z496" s="7">
        <f>IF($D496="","",Y496*AD496/100)</f>
        <v/>
      </c>
      <c r="AA496" s="7">
        <f>IF($D496="","",Y496-Z496)</f>
        <v/>
      </c>
      <c r="AB496" s="7">
        <f>IF($D496="","",AA496-Q496)</f>
        <v/>
      </c>
      <c r="AD496">
        <f>IF($D496="","",IF($AP496=1,0,IF($AO496=1,Settings!$C$6,Settings!$C$7))*100)</f>
        <v/>
      </c>
      <c r="AH496" s="7" t="n"/>
      <c r="AK496" s="11" t="n"/>
      <c r="AM496">
        <f>IF($D496="","",IF(COUNTIF($D$2:$D496,$D496)=1,1,0))</f>
        <v/>
      </c>
      <c r="AN496">
        <f>IF($AM496=1,SUMPRODUCT(--($AQ$2:$AQ$1001&lt;$AQ496))+1,"")</f>
        <v/>
      </c>
      <c r="AO496">
        <f>IF($D496="","",IF(OR($U496=TRUE(),$U496="TRUE"),1,0))</f>
        <v/>
      </c>
      <c r="AP496">
        <f>IF($D496="","",IF($AC496="Yes",1,0))</f>
        <v/>
      </c>
      <c r="AQ496">
        <f>IF($AM496=1,IFERROR(VALUE(MID($D496,2,20)),1000000000)+ROW()/100000,"")</f>
        <v/>
      </c>
    </row>
    <row r="497">
      <c r="G497" s="11" t="n"/>
      <c r="Q497" s="7">
        <f>IF($D497="","",P497*Y497/100)</f>
        <v/>
      </c>
      <c r="R497" s="7" t="n"/>
      <c r="X497" s="7" t="n"/>
      <c r="Y497" s="7" t="n"/>
      <c r="Z497" s="7">
        <f>IF($D497="","",Y497*AD497/100)</f>
        <v/>
      </c>
      <c r="AA497" s="7">
        <f>IF($D497="","",Y497-Z497)</f>
        <v/>
      </c>
      <c r="AB497" s="7">
        <f>IF($D497="","",AA497-Q497)</f>
        <v/>
      </c>
      <c r="AD497">
        <f>IF($D497="","",IF($AP497=1,0,IF($AO497=1,Settings!$C$6,Settings!$C$7))*100)</f>
        <v/>
      </c>
      <c r="AH497" s="7" t="n"/>
      <c r="AK497" s="11" t="n"/>
      <c r="AM497">
        <f>IF($D497="","",IF(COUNTIF($D$2:$D497,$D497)=1,1,0))</f>
        <v/>
      </c>
      <c r="AN497">
        <f>IF($AM497=1,SUMPRODUCT(--($AQ$2:$AQ$1001&lt;$AQ497))+1,"")</f>
        <v/>
      </c>
      <c r="AO497">
        <f>IF($D497="","",IF(OR($U497=TRUE(),$U497="TRUE"),1,0))</f>
        <v/>
      </c>
      <c r="AP497">
        <f>IF($D497="","",IF($AC497="Yes",1,0))</f>
        <v/>
      </c>
      <c r="AQ497">
        <f>IF($AM497=1,IFERROR(VALUE(MID($D497,2,20)),1000000000)+ROW()/100000,"")</f>
        <v/>
      </c>
    </row>
    <row r="498">
      <c r="G498" s="11" t="n"/>
      <c r="Q498" s="7">
        <f>IF($D498="","",P498*Y498/100)</f>
        <v/>
      </c>
      <c r="R498" s="7" t="n"/>
      <c r="X498" s="7" t="n"/>
      <c r="Y498" s="7" t="n"/>
      <c r="Z498" s="7">
        <f>IF($D498="","",Y498*AD498/100)</f>
        <v/>
      </c>
      <c r="AA498" s="7">
        <f>IF($D498="","",Y498-Z498)</f>
        <v/>
      </c>
      <c r="AB498" s="7">
        <f>IF($D498="","",AA498-Q498)</f>
        <v/>
      </c>
      <c r="AD498">
        <f>IF($D498="","",IF($AP498=1,0,IF($AO498=1,Settings!$C$6,Settings!$C$7))*100)</f>
        <v/>
      </c>
      <c r="AH498" s="7" t="n"/>
      <c r="AK498" s="11" t="n"/>
      <c r="AM498">
        <f>IF($D498="","",IF(COUNTIF($D$2:$D498,$D498)=1,1,0))</f>
        <v/>
      </c>
      <c r="AN498">
        <f>IF($AM498=1,SUMPRODUCT(--($AQ$2:$AQ$1001&lt;$AQ498))+1,"")</f>
        <v/>
      </c>
      <c r="AO498">
        <f>IF($D498="","",IF(OR($U498=TRUE(),$U498="TRUE"),1,0))</f>
        <v/>
      </c>
      <c r="AP498">
        <f>IF($D498="","",IF($AC498="Yes",1,0))</f>
        <v/>
      </c>
      <c r="AQ498">
        <f>IF($AM498=1,IFERROR(VALUE(MID($D498,2,20)),1000000000)+ROW()/100000,"")</f>
        <v/>
      </c>
    </row>
    <row r="499">
      <c r="G499" s="11" t="n"/>
      <c r="Q499" s="7">
        <f>IF($D499="","",P499*Y499/100)</f>
        <v/>
      </c>
      <c r="R499" s="7" t="n"/>
      <c r="X499" s="7" t="n"/>
      <c r="Y499" s="7" t="n"/>
      <c r="Z499" s="7">
        <f>IF($D499="","",Y499*AD499/100)</f>
        <v/>
      </c>
      <c r="AA499" s="7">
        <f>IF($D499="","",Y499-Z499)</f>
        <v/>
      </c>
      <c r="AB499" s="7">
        <f>IF($D499="","",AA499-Q499)</f>
        <v/>
      </c>
      <c r="AD499">
        <f>IF($D499="","",IF($AP499=1,0,IF($AO499=1,Settings!$C$6,Settings!$C$7))*100)</f>
        <v/>
      </c>
      <c r="AH499" s="7" t="n"/>
      <c r="AK499" s="11" t="n"/>
      <c r="AM499">
        <f>IF($D499="","",IF(COUNTIF($D$2:$D499,$D499)=1,1,0))</f>
        <v/>
      </c>
      <c r="AN499">
        <f>IF($AM499=1,SUMPRODUCT(--($AQ$2:$AQ$1001&lt;$AQ499))+1,"")</f>
        <v/>
      </c>
      <c r="AO499">
        <f>IF($D499="","",IF(OR($U499=TRUE(),$U499="TRUE"),1,0))</f>
        <v/>
      </c>
      <c r="AP499">
        <f>IF($D499="","",IF($AC499="Yes",1,0))</f>
        <v/>
      </c>
      <c r="AQ499">
        <f>IF($AM499=1,IFERROR(VALUE(MID($D499,2,20)),1000000000)+ROW()/100000,"")</f>
        <v/>
      </c>
    </row>
    <row r="500">
      <c r="G500" s="11" t="n"/>
      <c r="Q500" s="7">
        <f>IF($D500="","",P500*Y500/100)</f>
        <v/>
      </c>
      <c r="R500" s="7" t="n"/>
      <c r="X500" s="7" t="n"/>
      <c r="Y500" s="7" t="n"/>
      <c r="Z500" s="7">
        <f>IF($D500="","",Y500*AD500/100)</f>
        <v/>
      </c>
      <c r="AA500" s="7">
        <f>IF($D500="","",Y500-Z500)</f>
        <v/>
      </c>
      <c r="AB500" s="7">
        <f>IF($D500="","",AA500-Q500)</f>
        <v/>
      </c>
      <c r="AD500">
        <f>IF($D500="","",IF($AP500=1,0,IF($AO500=1,Settings!$C$6,Settings!$C$7))*100)</f>
        <v/>
      </c>
      <c r="AH500" s="7" t="n"/>
      <c r="AK500" s="11" t="n"/>
      <c r="AM500">
        <f>IF($D500="","",IF(COUNTIF($D$2:$D500,$D500)=1,1,0))</f>
        <v/>
      </c>
      <c r="AN500">
        <f>IF($AM500=1,SUMPRODUCT(--($AQ$2:$AQ$1001&lt;$AQ500))+1,"")</f>
        <v/>
      </c>
      <c r="AO500">
        <f>IF($D500="","",IF(OR($U500=TRUE(),$U500="TRUE"),1,0))</f>
        <v/>
      </c>
      <c r="AP500">
        <f>IF($D500="","",IF($AC500="Yes",1,0))</f>
        <v/>
      </c>
      <c r="AQ500">
        <f>IF($AM500=1,IFERROR(VALUE(MID($D500,2,20)),1000000000)+ROW()/100000,"")</f>
        <v/>
      </c>
    </row>
    <row r="501">
      <c r="G501" s="11" t="n"/>
      <c r="Q501" s="7">
        <f>IF($D501="","",P501*Y501/100)</f>
        <v/>
      </c>
      <c r="R501" s="7" t="n"/>
      <c r="X501" s="7" t="n"/>
      <c r="Y501" s="7" t="n"/>
      <c r="Z501" s="7">
        <f>IF($D501="","",Y501*AD501/100)</f>
        <v/>
      </c>
      <c r="AA501" s="7">
        <f>IF($D501="","",Y501-Z501)</f>
        <v/>
      </c>
      <c r="AB501" s="7">
        <f>IF($D501="","",AA501-Q501)</f>
        <v/>
      </c>
      <c r="AD501">
        <f>IF($D501="","",IF($AP501=1,0,IF($AO501=1,Settings!$C$6,Settings!$C$7))*100)</f>
        <v/>
      </c>
      <c r="AH501" s="7" t="n"/>
      <c r="AK501" s="11" t="n"/>
      <c r="AM501">
        <f>IF($D501="","",IF(COUNTIF($D$2:$D501,$D501)=1,1,0))</f>
        <v/>
      </c>
      <c r="AN501">
        <f>IF($AM501=1,SUMPRODUCT(--($AQ$2:$AQ$1001&lt;$AQ501))+1,"")</f>
        <v/>
      </c>
      <c r="AO501">
        <f>IF($D501="","",IF(OR($U501=TRUE(),$U501="TRUE"),1,0))</f>
        <v/>
      </c>
      <c r="AP501">
        <f>IF($D501="","",IF($AC501="Yes",1,0))</f>
        <v/>
      </c>
      <c r="AQ501">
        <f>IF($AM501=1,IFERROR(VALUE(MID($D501,2,20)),1000000000)+ROW()/100000,"")</f>
        <v/>
      </c>
    </row>
    <row r="502">
      <c r="G502" s="11" t="n"/>
      <c r="Q502" s="7">
        <f>IF($D502="","",P502*Y502/100)</f>
        <v/>
      </c>
      <c r="R502" s="7" t="n"/>
      <c r="X502" s="7" t="n"/>
      <c r="Y502" s="7" t="n"/>
      <c r="Z502" s="7">
        <f>IF($D502="","",Y502*AD502/100)</f>
        <v/>
      </c>
      <c r="AA502" s="7">
        <f>IF($D502="","",Y502-Z502)</f>
        <v/>
      </c>
      <c r="AB502" s="7">
        <f>IF($D502="","",AA502-Q502)</f>
        <v/>
      </c>
      <c r="AD502">
        <f>IF($D502="","",IF($AP502=1,0,IF($AO502=1,Settings!$C$6,Settings!$C$7))*100)</f>
        <v/>
      </c>
      <c r="AH502" s="7" t="n"/>
      <c r="AK502" s="11" t="n"/>
      <c r="AM502">
        <f>IF($D502="","",IF(COUNTIF($D$2:$D502,$D502)=1,1,0))</f>
        <v/>
      </c>
      <c r="AN502">
        <f>IF($AM502=1,SUMPRODUCT(--($AQ$2:$AQ$1001&lt;$AQ502))+1,"")</f>
        <v/>
      </c>
      <c r="AO502">
        <f>IF($D502="","",IF(OR($U502=TRUE(),$U502="TRUE"),1,0))</f>
        <v/>
      </c>
      <c r="AP502">
        <f>IF($D502="","",IF($AC502="Yes",1,0))</f>
        <v/>
      </c>
      <c r="AQ502">
        <f>IF($AM502=1,IFERROR(VALUE(MID($D502,2,20)),1000000000)+ROW()/100000,"")</f>
        <v/>
      </c>
    </row>
    <row r="503">
      <c r="G503" s="11" t="n"/>
      <c r="Q503" s="7">
        <f>IF($D503="","",P503*Y503/100)</f>
        <v/>
      </c>
      <c r="R503" s="7" t="n"/>
      <c r="X503" s="7" t="n"/>
      <c r="Y503" s="7" t="n"/>
      <c r="Z503" s="7">
        <f>IF($D503="","",Y503*AD503/100)</f>
        <v/>
      </c>
      <c r="AA503" s="7">
        <f>IF($D503="","",Y503-Z503)</f>
        <v/>
      </c>
      <c r="AB503" s="7">
        <f>IF($D503="","",AA503-Q503)</f>
        <v/>
      </c>
      <c r="AD503">
        <f>IF($D503="","",IF($AP503=1,0,IF($AO503=1,Settings!$C$6,Settings!$C$7))*100)</f>
        <v/>
      </c>
      <c r="AH503" s="7" t="n"/>
      <c r="AK503" s="11" t="n"/>
      <c r="AM503">
        <f>IF($D503="","",IF(COUNTIF($D$2:$D503,$D503)=1,1,0))</f>
        <v/>
      </c>
      <c r="AN503">
        <f>IF($AM503=1,SUMPRODUCT(--($AQ$2:$AQ$1001&lt;$AQ503))+1,"")</f>
        <v/>
      </c>
      <c r="AO503">
        <f>IF($D503="","",IF(OR($U503=TRUE(),$U503="TRUE"),1,0))</f>
        <v/>
      </c>
      <c r="AP503">
        <f>IF($D503="","",IF($AC503="Yes",1,0))</f>
        <v/>
      </c>
      <c r="AQ503">
        <f>IF($AM503=1,IFERROR(VALUE(MID($D503,2,20)),1000000000)+ROW()/100000,"")</f>
        <v/>
      </c>
    </row>
    <row r="504">
      <c r="G504" s="11" t="n"/>
      <c r="Q504" s="7">
        <f>IF($D504="","",P504*Y504/100)</f>
        <v/>
      </c>
      <c r="R504" s="7" t="n"/>
      <c r="X504" s="7" t="n"/>
      <c r="Y504" s="7" t="n"/>
      <c r="Z504" s="7">
        <f>IF($D504="","",Y504*AD504/100)</f>
        <v/>
      </c>
      <c r="AA504" s="7">
        <f>IF($D504="","",Y504-Z504)</f>
        <v/>
      </c>
      <c r="AB504" s="7">
        <f>IF($D504="","",AA504-Q504)</f>
        <v/>
      </c>
      <c r="AD504">
        <f>IF($D504="","",IF($AP504=1,0,IF($AO504=1,Settings!$C$6,Settings!$C$7))*100)</f>
        <v/>
      </c>
      <c r="AH504" s="7" t="n"/>
      <c r="AK504" s="11" t="n"/>
      <c r="AM504">
        <f>IF($D504="","",IF(COUNTIF($D$2:$D504,$D504)=1,1,0))</f>
        <v/>
      </c>
      <c r="AN504">
        <f>IF($AM504=1,SUMPRODUCT(--($AQ$2:$AQ$1001&lt;$AQ504))+1,"")</f>
        <v/>
      </c>
      <c r="AO504">
        <f>IF($D504="","",IF(OR($U504=TRUE(),$U504="TRUE"),1,0))</f>
        <v/>
      </c>
      <c r="AP504">
        <f>IF($D504="","",IF($AC504="Yes",1,0))</f>
        <v/>
      </c>
      <c r="AQ504">
        <f>IF($AM504=1,IFERROR(VALUE(MID($D504,2,20)),1000000000)+ROW()/100000,"")</f>
        <v/>
      </c>
    </row>
    <row r="505">
      <c r="G505" s="11" t="n"/>
      <c r="Q505" s="7">
        <f>IF($D505="","",P505*Y505/100)</f>
        <v/>
      </c>
      <c r="R505" s="7" t="n"/>
      <c r="X505" s="7" t="n"/>
      <c r="Y505" s="7" t="n"/>
      <c r="Z505" s="7">
        <f>IF($D505="","",Y505*AD505/100)</f>
        <v/>
      </c>
      <c r="AA505" s="7">
        <f>IF($D505="","",Y505-Z505)</f>
        <v/>
      </c>
      <c r="AB505" s="7">
        <f>IF($D505="","",AA505-Q505)</f>
        <v/>
      </c>
      <c r="AD505">
        <f>IF($D505="","",IF($AP505=1,0,IF($AO505=1,Settings!$C$6,Settings!$C$7))*100)</f>
        <v/>
      </c>
      <c r="AH505" s="7" t="n"/>
      <c r="AK505" s="11" t="n"/>
      <c r="AM505">
        <f>IF($D505="","",IF(COUNTIF($D$2:$D505,$D505)=1,1,0))</f>
        <v/>
      </c>
      <c r="AN505">
        <f>IF($AM505=1,SUMPRODUCT(--($AQ$2:$AQ$1001&lt;$AQ505))+1,"")</f>
        <v/>
      </c>
      <c r="AO505">
        <f>IF($D505="","",IF(OR($U505=TRUE(),$U505="TRUE"),1,0))</f>
        <v/>
      </c>
      <c r="AP505">
        <f>IF($D505="","",IF($AC505="Yes",1,0))</f>
        <v/>
      </c>
      <c r="AQ505">
        <f>IF($AM505=1,IFERROR(VALUE(MID($D505,2,20)),1000000000)+ROW()/100000,"")</f>
        <v/>
      </c>
    </row>
    <row r="506">
      <c r="G506" s="11" t="n"/>
      <c r="Q506" s="7">
        <f>IF($D506="","",P506*Y506/100)</f>
        <v/>
      </c>
      <c r="R506" s="7" t="n"/>
      <c r="X506" s="7" t="n"/>
      <c r="Y506" s="7" t="n"/>
      <c r="Z506" s="7">
        <f>IF($D506="","",Y506*AD506/100)</f>
        <v/>
      </c>
      <c r="AA506" s="7">
        <f>IF($D506="","",Y506-Z506)</f>
        <v/>
      </c>
      <c r="AB506" s="7">
        <f>IF($D506="","",AA506-Q506)</f>
        <v/>
      </c>
      <c r="AD506">
        <f>IF($D506="","",IF($AP506=1,0,IF($AO506=1,Settings!$C$6,Settings!$C$7))*100)</f>
        <v/>
      </c>
      <c r="AH506" s="7" t="n"/>
      <c r="AK506" s="11" t="n"/>
      <c r="AM506">
        <f>IF($D506="","",IF(COUNTIF($D$2:$D506,$D506)=1,1,0))</f>
        <v/>
      </c>
      <c r="AN506">
        <f>IF($AM506=1,SUMPRODUCT(--($AQ$2:$AQ$1001&lt;$AQ506))+1,"")</f>
        <v/>
      </c>
      <c r="AO506">
        <f>IF($D506="","",IF(OR($U506=TRUE(),$U506="TRUE"),1,0))</f>
        <v/>
      </c>
      <c r="AP506">
        <f>IF($D506="","",IF($AC506="Yes",1,0))</f>
        <v/>
      </c>
      <c r="AQ506">
        <f>IF($AM506=1,IFERROR(VALUE(MID($D506,2,20)),1000000000)+ROW()/100000,"")</f>
        <v/>
      </c>
    </row>
    <row r="507">
      <c r="G507" s="11" t="n"/>
      <c r="Q507" s="7">
        <f>IF($D507="","",P507*Y507/100)</f>
        <v/>
      </c>
      <c r="R507" s="7" t="n"/>
      <c r="X507" s="7" t="n"/>
      <c r="Y507" s="7" t="n"/>
      <c r="Z507" s="7">
        <f>IF($D507="","",Y507*AD507/100)</f>
        <v/>
      </c>
      <c r="AA507" s="7">
        <f>IF($D507="","",Y507-Z507)</f>
        <v/>
      </c>
      <c r="AB507" s="7">
        <f>IF($D507="","",AA507-Q507)</f>
        <v/>
      </c>
      <c r="AD507">
        <f>IF($D507="","",IF($AP507=1,0,IF($AO507=1,Settings!$C$6,Settings!$C$7))*100)</f>
        <v/>
      </c>
      <c r="AH507" s="7" t="n"/>
      <c r="AK507" s="11" t="n"/>
      <c r="AM507">
        <f>IF($D507="","",IF(COUNTIF($D$2:$D507,$D507)=1,1,0))</f>
        <v/>
      </c>
      <c r="AN507">
        <f>IF($AM507=1,SUMPRODUCT(--($AQ$2:$AQ$1001&lt;$AQ507))+1,"")</f>
        <v/>
      </c>
      <c r="AO507">
        <f>IF($D507="","",IF(OR($U507=TRUE(),$U507="TRUE"),1,0))</f>
        <v/>
      </c>
      <c r="AP507">
        <f>IF($D507="","",IF($AC507="Yes",1,0))</f>
        <v/>
      </c>
      <c r="AQ507">
        <f>IF($AM507=1,IFERROR(VALUE(MID($D507,2,20)),1000000000)+ROW()/100000,"")</f>
        <v/>
      </c>
    </row>
    <row r="508">
      <c r="G508" s="11" t="n"/>
      <c r="Q508" s="7">
        <f>IF($D508="","",P508*Y508/100)</f>
        <v/>
      </c>
      <c r="R508" s="7" t="n"/>
      <c r="X508" s="7" t="n"/>
      <c r="Y508" s="7" t="n"/>
      <c r="Z508" s="7">
        <f>IF($D508="","",Y508*AD508/100)</f>
        <v/>
      </c>
      <c r="AA508" s="7">
        <f>IF($D508="","",Y508-Z508)</f>
        <v/>
      </c>
      <c r="AB508" s="7">
        <f>IF($D508="","",AA508-Q508)</f>
        <v/>
      </c>
      <c r="AD508">
        <f>IF($D508="","",IF($AP508=1,0,IF($AO508=1,Settings!$C$6,Settings!$C$7))*100)</f>
        <v/>
      </c>
      <c r="AH508" s="7" t="n"/>
      <c r="AK508" s="11" t="n"/>
      <c r="AM508">
        <f>IF($D508="","",IF(COUNTIF($D$2:$D508,$D508)=1,1,0))</f>
        <v/>
      </c>
      <c r="AN508">
        <f>IF($AM508=1,SUMPRODUCT(--($AQ$2:$AQ$1001&lt;$AQ508))+1,"")</f>
        <v/>
      </c>
      <c r="AO508">
        <f>IF($D508="","",IF(OR($U508=TRUE(),$U508="TRUE"),1,0))</f>
        <v/>
      </c>
      <c r="AP508">
        <f>IF($D508="","",IF($AC508="Yes",1,0))</f>
        <v/>
      </c>
      <c r="AQ508">
        <f>IF($AM508=1,IFERROR(VALUE(MID($D508,2,20)),1000000000)+ROW()/100000,"")</f>
        <v/>
      </c>
    </row>
    <row r="509">
      <c r="G509" s="11" t="n"/>
      <c r="Q509" s="7">
        <f>IF($D509="","",P509*Y509/100)</f>
        <v/>
      </c>
      <c r="R509" s="7" t="n"/>
      <c r="X509" s="7" t="n"/>
      <c r="Y509" s="7" t="n"/>
      <c r="Z509" s="7">
        <f>IF($D509="","",Y509*AD509/100)</f>
        <v/>
      </c>
      <c r="AA509" s="7">
        <f>IF($D509="","",Y509-Z509)</f>
        <v/>
      </c>
      <c r="AB509" s="7">
        <f>IF($D509="","",AA509-Q509)</f>
        <v/>
      </c>
      <c r="AD509">
        <f>IF($D509="","",IF($AP509=1,0,IF($AO509=1,Settings!$C$6,Settings!$C$7))*100)</f>
        <v/>
      </c>
      <c r="AH509" s="7" t="n"/>
      <c r="AK509" s="11" t="n"/>
      <c r="AM509">
        <f>IF($D509="","",IF(COUNTIF($D$2:$D509,$D509)=1,1,0))</f>
        <v/>
      </c>
      <c r="AN509">
        <f>IF($AM509=1,SUMPRODUCT(--($AQ$2:$AQ$1001&lt;$AQ509))+1,"")</f>
        <v/>
      </c>
      <c r="AO509">
        <f>IF($D509="","",IF(OR($U509=TRUE(),$U509="TRUE"),1,0))</f>
        <v/>
      </c>
      <c r="AP509">
        <f>IF($D509="","",IF($AC509="Yes",1,0))</f>
        <v/>
      </c>
      <c r="AQ509">
        <f>IF($AM509=1,IFERROR(VALUE(MID($D509,2,20)),1000000000)+ROW()/100000,"")</f>
        <v/>
      </c>
    </row>
    <row r="510">
      <c r="G510" s="11" t="n"/>
      <c r="Q510" s="7">
        <f>IF($D510="","",P510*Y510/100)</f>
        <v/>
      </c>
      <c r="R510" s="7" t="n"/>
      <c r="X510" s="7" t="n"/>
      <c r="Y510" s="7" t="n"/>
      <c r="Z510" s="7">
        <f>IF($D510="","",Y510*AD510/100)</f>
        <v/>
      </c>
      <c r="AA510" s="7">
        <f>IF($D510="","",Y510-Z510)</f>
        <v/>
      </c>
      <c r="AB510" s="7">
        <f>IF($D510="","",AA510-Q510)</f>
        <v/>
      </c>
      <c r="AD510">
        <f>IF($D510="","",IF($AP510=1,0,IF($AO510=1,Settings!$C$6,Settings!$C$7))*100)</f>
        <v/>
      </c>
      <c r="AH510" s="7" t="n"/>
      <c r="AK510" s="11" t="n"/>
      <c r="AM510">
        <f>IF($D510="","",IF(COUNTIF($D$2:$D510,$D510)=1,1,0))</f>
        <v/>
      </c>
      <c r="AN510">
        <f>IF($AM510=1,SUMPRODUCT(--($AQ$2:$AQ$1001&lt;$AQ510))+1,"")</f>
        <v/>
      </c>
      <c r="AO510">
        <f>IF($D510="","",IF(OR($U510=TRUE(),$U510="TRUE"),1,0))</f>
        <v/>
      </c>
      <c r="AP510">
        <f>IF($D510="","",IF($AC510="Yes",1,0))</f>
        <v/>
      </c>
      <c r="AQ510">
        <f>IF($AM510=1,IFERROR(VALUE(MID($D510,2,20)),1000000000)+ROW()/100000,"")</f>
        <v/>
      </c>
    </row>
    <row r="511">
      <c r="G511" s="11" t="n"/>
      <c r="Q511" s="7">
        <f>IF($D511="","",P511*Y511/100)</f>
        <v/>
      </c>
      <c r="R511" s="7" t="n"/>
      <c r="X511" s="7" t="n"/>
      <c r="Y511" s="7" t="n"/>
      <c r="Z511" s="7">
        <f>IF($D511="","",Y511*AD511/100)</f>
        <v/>
      </c>
      <c r="AA511" s="7">
        <f>IF($D511="","",Y511-Z511)</f>
        <v/>
      </c>
      <c r="AB511" s="7">
        <f>IF($D511="","",AA511-Q511)</f>
        <v/>
      </c>
      <c r="AD511">
        <f>IF($D511="","",IF($AP511=1,0,IF($AO511=1,Settings!$C$6,Settings!$C$7))*100)</f>
        <v/>
      </c>
      <c r="AH511" s="7" t="n"/>
      <c r="AK511" s="11" t="n"/>
      <c r="AM511">
        <f>IF($D511="","",IF(COUNTIF($D$2:$D511,$D511)=1,1,0))</f>
        <v/>
      </c>
      <c r="AN511">
        <f>IF($AM511=1,SUMPRODUCT(--($AQ$2:$AQ$1001&lt;$AQ511))+1,"")</f>
        <v/>
      </c>
      <c r="AO511">
        <f>IF($D511="","",IF(OR($U511=TRUE(),$U511="TRUE"),1,0))</f>
        <v/>
      </c>
      <c r="AP511">
        <f>IF($D511="","",IF($AC511="Yes",1,0))</f>
        <v/>
      </c>
      <c r="AQ511">
        <f>IF($AM511=1,IFERROR(VALUE(MID($D511,2,20)),1000000000)+ROW()/100000,"")</f>
        <v/>
      </c>
    </row>
    <row r="512">
      <c r="G512" s="11" t="n"/>
      <c r="Q512" s="7">
        <f>IF($D512="","",P512*Y512/100)</f>
        <v/>
      </c>
      <c r="R512" s="7" t="n"/>
      <c r="X512" s="7" t="n"/>
      <c r="Y512" s="7" t="n"/>
      <c r="Z512" s="7">
        <f>IF($D512="","",Y512*AD512/100)</f>
        <v/>
      </c>
      <c r="AA512" s="7">
        <f>IF($D512="","",Y512-Z512)</f>
        <v/>
      </c>
      <c r="AB512" s="7">
        <f>IF($D512="","",AA512-Q512)</f>
        <v/>
      </c>
      <c r="AD512">
        <f>IF($D512="","",IF($AP512=1,0,IF($AO512=1,Settings!$C$6,Settings!$C$7))*100)</f>
        <v/>
      </c>
      <c r="AH512" s="7" t="n"/>
      <c r="AK512" s="11" t="n"/>
      <c r="AM512">
        <f>IF($D512="","",IF(COUNTIF($D$2:$D512,$D512)=1,1,0))</f>
        <v/>
      </c>
      <c r="AN512">
        <f>IF($AM512=1,SUMPRODUCT(--($AQ$2:$AQ$1001&lt;$AQ512))+1,"")</f>
        <v/>
      </c>
      <c r="AO512">
        <f>IF($D512="","",IF(OR($U512=TRUE(),$U512="TRUE"),1,0))</f>
        <v/>
      </c>
      <c r="AP512">
        <f>IF($D512="","",IF($AC512="Yes",1,0))</f>
        <v/>
      </c>
      <c r="AQ512">
        <f>IF($AM512=1,IFERROR(VALUE(MID($D512,2,20)),1000000000)+ROW()/100000,"")</f>
        <v/>
      </c>
    </row>
    <row r="513">
      <c r="G513" s="11" t="n"/>
      <c r="Q513" s="7">
        <f>IF($D513="","",P513*Y513/100)</f>
        <v/>
      </c>
      <c r="R513" s="7" t="n"/>
      <c r="X513" s="7" t="n"/>
      <c r="Y513" s="7" t="n"/>
      <c r="Z513" s="7">
        <f>IF($D513="","",Y513*AD513/100)</f>
        <v/>
      </c>
      <c r="AA513" s="7">
        <f>IF($D513="","",Y513-Z513)</f>
        <v/>
      </c>
      <c r="AB513" s="7">
        <f>IF($D513="","",AA513-Q513)</f>
        <v/>
      </c>
      <c r="AD513">
        <f>IF($D513="","",IF($AP513=1,0,IF($AO513=1,Settings!$C$6,Settings!$C$7))*100)</f>
        <v/>
      </c>
      <c r="AH513" s="7" t="n"/>
      <c r="AK513" s="11" t="n"/>
      <c r="AM513">
        <f>IF($D513="","",IF(COUNTIF($D$2:$D513,$D513)=1,1,0))</f>
        <v/>
      </c>
      <c r="AN513">
        <f>IF($AM513=1,SUMPRODUCT(--($AQ$2:$AQ$1001&lt;$AQ513))+1,"")</f>
        <v/>
      </c>
      <c r="AO513">
        <f>IF($D513="","",IF(OR($U513=TRUE(),$U513="TRUE"),1,0))</f>
        <v/>
      </c>
      <c r="AP513">
        <f>IF($D513="","",IF($AC513="Yes",1,0))</f>
        <v/>
      </c>
      <c r="AQ513">
        <f>IF($AM513=1,IFERROR(VALUE(MID($D513,2,20)),1000000000)+ROW()/100000,"")</f>
        <v/>
      </c>
    </row>
    <row r="514">
      <c r="G514" s="11" t="n"/>
      <c r="Q514" s="7">
        <f>IF($D514="","",P514*Y514/100)</f>
        <v/>
      </c>
      <c r="R514" s="7" t="n"/>
      <c r="X514" s="7" t="n"/>
      <c r="Y514" s="7" t="n"/>
      <c r="Z514" s="7">
        <f>IF($D514="","",Y514*AD514/100)</f>
        <v/>
      </c>
      <c r="AA514" s="7">
        <f>IF($D514="","",Y514-Z514)</f>
        <v/>
      </c>
      <c r="AB514" s="7">
        <f>IF($D514="","",AA514-Q514)</f>
        <v/>
      </c>
      <c r="AD514">
        <f>IF($D514="","",IF($AP514=1,0,IF($AO514=1,Settings!$C$6,Settings!$C$7))*100)</f>
        <v/>
      </c>
      <c r="AH514" s="7" t="n"/>
      <c r="AK514" s="11" t="n"/>
      <c r="AM514">
        <f>IF($D514="","",IF(COUNTIF($D$2:$D514,$D514)=1,1,0))</f>
        <v/>
      </c>
      <c r="AN514">
        <f>IF($AM514=1,SUMPRODUCT(--($AQ$2:$AQ$1001&lt;$AQ514))+1,"")</f>
        <v/>
      </c>
      <c r="AO514">
        <f>IF($D514="","",IF(OR($U514=TRUE(),$U514="TRUE"),1,0))</f>
        <v/>
      </c>
      <c r="AP514">
        <f>IF($D514="","",IF($AC514="Yes",1,0))</f>
        <v/>
      </c>
      <c r="AQ514">
        <f>IF($AM514=1,IFERROR(VALUE(MID($D514,2,20)),1000000000)+ROW()/100000,"")</f>
        <v/>
      </c>
    </row>
    <row r="515">
      <c r="G515" s="11" t="n"/>
      <c r="Q515" s="7">
        <f>IF($D515="","",P515*Y515/100)</f>
        <v/>
      </c>
      <c r="R515" s="7" t="n"/>
      <c r="X515" s="7" t="n"/>
      <c r="Y515" s="7" t="n"/>
      <c r="Z515" s="7">
        <f>IF($D515="","",Y515*AD515/100)</f>
        <v/>
      </c>
      <c r="AA515" s="7">
        <f>IF($D515="","",Y515-Z515)</f>
        <v/>
      </c>
      <c r="AB515" s="7">
        <f>IF($D515="","",AA515-Q515)</f>
        <v/>
      </c>
      <c r="AD515">
        <f>IF($D515="","",IF($AP515=1,0,IF($AO515=1,Settings!$C$6,Settings!$C$7))*100)</f>
        <v/>
      </c>
      <c r="AH515" s="7" t="n"/>
      <c r="AK515" s="11" t="n"/>
      <c r="AM515">
        <f>IF($D515="","",IF(COUNTIF($D$2:$D515,$D515)=1,1,0))</f>
        <v/>
      </c>
      <c r="AN515">
        <f>IF($AM515=1,SUMPRODUCT(--($AQ$2:$AQ$1001&lt;$AQ515))+1,"")</f>
        <v/>
      </c>
      <c r="AO515">
        <f>IF($D515="","",IF(OR($U515=TRUE(),$U515="TRUE"),1,0))</f>
        <v/>
      </c>
      <c r="AP515">
        <f>IF($D515="","",IF($AC515="Yes",1,0))</f>
        <v/>
      </c>
      <c r="AQ515">
        <f>IF($AM515=1,IFERROR(VALUE(MID($D515,2,20)),1000000000)+ROW()/100000,"")</f>
        <v/>
      </c>
    </row>
    <row r="516">
      <c r="G516" s="11" t="n"/>
      <c r="Q516" s="7">
        <f>IF($D516="","",P516*Y516/100)</f>
        <v/>
      </c>
      <c r="R516" s="7" t="n"/>
      <c r="X516" s="7" t="n"/>
      <c r="Y516" s="7" t="n"/>
      <c r="Z516" s="7">
        <f>IF($D516="","",Y516*AD516/100)</f>
        <v/>
      </c>
      <c r="AA516" s="7">
        <f>IF($D516="","",Y516-Z516)</f>
        <v/>
      </c>
      <c r="AB516" s="7">
        <f>IF($D516="","",AA516-Q516)</f>
        <v/>
      </c>
      <c r="AD516">
        <f>IF($D516="","",IF($AP516=1,0,IF($AO516=1,Settings!$C$6,Settings!$C$7))*100)</f>
        <v/>
      </c>
      <c r="AH516" s="7" t="n"/>
      <c r="AK516" s="11" t="n"/>
      <c r="AM516">
        <f>IF($D516="","",IF(COUNTIF($D$2:$D516,$D516)=1,1,0))</f>
        <v/>
      </c>
      <c r="AN516">
        <f>IF($AM516=1,SUMPRODUCT(--($AQ$2:$AQ$1001&lt;$AQ516))+1,"")</f>
        <v/>
      </c>
      <c r="AO516">
        <f>IF($D516="","",IF(OR($U516=TRUE(),$U516="TRUE"),1,0))</f>
        <v/>
      </c>
      <c r="AP516">
        <f>IF($D516="","",IF($AC516="Yes",1,0))</f>
        <v/>
      </c>
      <c r="AQ516">
        <f>IF($AM516=1,IFERROR(VALUE(MID($D516,2,20)),1000000000)+ROW()/100000,"")</f>
        <v/>
      </c>
    </row>
    <row r="517">
      <c r="G517" s="11" t="n"/>
      <c r="Q517" s="7">
        <f>IF($D517="","",P517*Y517/100)</f>
        <v/>
      </c>
      <c r="R517" s="7" t="n"/>
      <c r="X517" s="7" t="n"/>
      <c r="Y517" s="7" t="n"/>
      <c r="Z517" s="7">
        <f>IF($D517="","",Y517*AD517/100)</f>
        <v/>
      </c>
      <c r="AA517" s="7">
        <f>IF($D517="","",Y517-Z517)</f>
        <v/>
      </c>
      <c r="AB517" s="7">
        <f>IF($D517="","",AA517-Q517)</f>
        <v/>
      </c>
      <c r="AD517">
        <f>IF($D517="","",IF($AP517=1,0,IF($AO517=1,Settings!$C$6,Settings!$C$7))*100)</f>
        <v/>
      </c>
      <c r="AH517" s="7" t="n"/>
      <c r="AK517" s="11" t="n"/>
      <c r="AM517">
        <f>IF($D517="","",IF(COUNTIF($D$2:$D517,$D517)=1,1,0))</f>
        <v/>
      </c>
      <c r="AN517">
        <f>IF($AM517=1,SUMPRODUCT(--($AQ$2:$AQ$1001&lt;$AQ517))+1,"")</f>
        <v/>
      </c>
      <c r="AO517">
        <f>IF($D517="","",IF(OR($U517=TRUE(),$U517="TRUE"),1,0))</f>
        <v/>
      </c>
      <c r="AP517">
        <f>IF($D517="","",IF($AC517="Yes",1,0))</f>
        <v/>
      </c>
      <c r="AQ517">
        <f>IF($AM517=1,IFERROR(VALUE(MID($D517,2,20)),1000000000)+ROW()/100000,"")</f>
        <v/>
      </c>
    </row>
    <row r="518">
      <c r="G518" s="11" t="n"/>
      <c r="Q518" s="7">
        <f>IF($D518="","",P518*Y518/100)</f>
        <v/>
      </c>
      <c r="R518" s="7" t="n"/>
      <c r="X518" s="7" t="n"/>
      <c r="Y518" s="7" t="n"/>
      <c r="Z518" s="7">
        <f>IF($D518="","",Y518*AD518/100)</f>
        <v/>
      </c>
      <c r="AA518" s="7">
        <f>IF($D518="","",Y518-Z518)</f>
        <v/>
      </c>
      <c r="AB518" s="7">
        <f>IF($D518="","",AA518-Q518)</f>
        <v/>
      </c>
      <c r="AD518">
        <f>IF($D518="","",IF($AP518=1,0,IF($AO518=1,Settings!$C$6,Settings!$C$7))*100)</f>
        <v/>
      </c>
      <c r="AH518" s="7" t="n"/>
      <c r="AK518" s="11" t="n"/>
      <c r="AM518">
        <f>IF($D518="","",IF(COUNTIF($D$2:$D518,$D518)=1,1,0))</f>
        <v/>
      </c>
      <c r="AN518">
        <f>IF($AM518=1,SUMPRODUCT(--($AQ$2:$AQ$1001&lt;$AQ518))+1,"")</f>
        <v/>
      </c>
      <c r="AO518">
        <f>IF($D518="","",IF(OR($U518=TRUE(),$U518="TRUE"),1,0))</f>
        <v/>
      </c>
      <c r="AP518">
        <f>IF($D518="","",IF($AC518="Yes",1,0))</f>
        <v/>
      </c>
      <c r="AQ518">
        <f>IF($AM518=1,IFERROR(VALUE(MID($D518,2,20)),1000000000)+ROW()/100000,"")</f>
        <v/>
      </c>
    </row>
    <row r="519">
      <c r="G519" s="11" t="n"/>
      <c r="Q519" s="7">
        <f>IF($D519="","",P519*Y519/100)</f>
        <v/>
      </c>
      <c r="R519" s="7" t="n"/>
      <c r="X519" s="7" t="n"/>
      <c r="Y519" s="7" t="n"/>
      <c r="Z519" s="7">
        <f>IF($D519="","",Y519*AD519/100)</f>
        <v/>
      </c>
      <c r="AA519" s="7">
        <f>IF($D519="","",Y519-Z519)</f>
        <v/>
      </c>
      <c r="AB519" s="7">
        <f>IF($D519="","",AA519-Q519)</f>
        <v/>
      </c>
      <c r="AD519">
        <f>IF($D519="","",IF($AP519=1,0,IF($AO519=1,Settings!$C$6,Settings!$C$7))*100)</f>
        <v/>
      </c>
      <c r="AH519" s="7" t="n"/>
      <c r="AK519" s="11" t="n"/>
      <c r="AM519">
        <f>IF($D519="","",IF(COUNTIF($D$2:$D519,$D519)=1,1,0))</f>
        <v/>
      </c>
      <c r="AN519">
        <f>IF($AM519=1,SUMPRODUCT(--($AQ$2:$AQ$1001&lt;$AQ519))+1,"")</f>
        <v/>
      </c>
      <c r="AO519">
        <f>IF($D519="","",IF(OR($U519=TRUE(),$U519="TRUE"),1,0))</f>
        <v/>
      </c>
      <c r="AP519">
        <f>IF($D519="","",IF($AC519="Yes",1,0))</f>
        <v/>
      </c>
      <c r="AQ519">
        <f>IF($AM519=1,IFERROR(VALUE(MID($D519,2,20)),1000000000)+ROW()/100000,"")</f>
        <v/>
      </c>
    </row>
    <row r="520">
      <c r="G520" s="11" t="n"/>
      <c r="Q520" s="7">
        <f>IF($D520="","",P520*Y520/100)</f>
        <v/>
      </c>
      <c r="R520" s="7" t="n"/>
      <c r="X520" s="7" t="n"/>
      <c r="Y520" s="7" t="n"/>
      <c r="Z520" s="7">
        <f>IF($D520="","",Y520*AD520/100)</f>
        <v/>
      </c>
      <c r="AA520" s="7">
        <f>IF($D520="","",Y520-Z520)</f>
        <v/>
      </c>
      <c r="AB520" s="7">
        <f>IF($D520="","",AA520-Q520)</f>
        <v/>
      </c>
      <c r="AD520">
        <f>IF($D520="","",IF($AP520=1,0,IF($AO520=1,Settings!$C$6,Settings!$C$7))*100)</f>
        <v/>
      </c>
      <c r="AH520" s="7" t="n"/>
      <c r="AK520" s="11" t="n"/>
      <c r="AM520">
        <f>IF($D520="","",IF(COUNTIF($D$2:$D520,$D520)=1,1,0))</f>
        <v/>
      </c>
      <c r="AN520">
        <f>IF($AM520=1,SUMPRODUCT(--($AQ$2:$AQ$1001&lt;$AQ520))+1,"")</f>
        <v/>
      </c>
      <c r="AO520">
        <f>IF($D520="","",IF(OR($U520=TRUE(),$U520="TRUE"),1,0))</f>
        <v/>
      </c>
      <c r="AP520">
        <f>IF($D520="","",IF($AC520="Yes",1,0))</f>
        <v/>
      </c>
      <c r="AQ520">
        <f>IF($AM520=1,IFERROR(VALUE(MID($D520,2,20)),1000000000)+ROW()/100000,"")</f>
        <v/>
      </c>
    </row>
    <row r="521">
      <c r="G521" s="11" t="n"/>
      <c r="Q521" s="7">
        <f>IF($D521="","",P521*Y521/100)</f>
        <v/>
      </c>
      <c r="R521" s="7" t="n"/>
      <c r="X521" s="7" t="n"/>
      <c r="Y521" s="7" t="n"/>
      <c r="Z521" s="7">
        <f>IF($D521="","",Y521*AD521/100)</f>
        <v/>
      </c>
      <c r="AA521" s="7">
        <f>IF($D521="","",Y521-Z521)</f>
        <v/>
      </c>
      <c r="AB521" s="7">
        <f>IF($D521="","",AA521-Q521)</f>
        <v/>
      </c>
      <c r="AD521">
        <f>IF($D521="","",IF($AP521=1,0,IF($AO521=1,Settings!$C$6,Settings!$C$7))*100)</f>
        <v/>
      </c>
      <c r="AH521" s="7" t="n"/>
      <c r="AK521" s="11" t="n"/>
      <c r="AM521">
        <f>IF($D521="","",IF(COUNTIF($D$2:$D521,$D521)=1,1,0))</f>
        <v/>
      </c>
      <c r="AN521">
        <f>IF($AM521=1,SUMPRODUCT(--($AQ$2:$AQ$1001&lt;$AQ521))+1,"")</f>
        <v/>
      </c>
      <c r="AO521">
        <f>IF($D521="","",IF(OR($U521=TRUE(),$U521="TRUE"),1,0))</f>
        <v/>
      </c>
      <c r="AP521">
        <f>IF($D521="","",IF($AC521="Yes",1,0))</f>
        <v/>
      </c>
      <c r="AQ521">
        <f>IF($AM521=1,IFERROR(VALUE(MID($D521,2,20)),1000000000)+ROW()/100000,"")</f>
        <v/>
      </c>
    </row>
    <row r="522">
      <c r="G522" s="11" t="n"/>
      <c r="Q522" s="7">
        <f>IF($D522="","",P522*Y522/100)</f>
        <v/>
      </c>
      <c r="R522" s="7" t="n"/>
      <c r="X522" s="7" t="n"/>
      <c r="Y522" s="7" t="n"/>
      <c r="Z522" s="7">
        <f>IF($D522="","",Y522*AD522/100)</f>
        <v/>
      </c>
      <c r="AA522" s="7">
        <f>IF($D522="","",Y522-Z522)</f>
        <v/>
      </c>
      <c r="AB522" s="7">
        <f>IF($D522="","",AA522-Q522)</f>
        <v/>
      </c>
      <c r="AD522">
        <f>IF($D522="","",IF($AP522=1,0,IF($AO522=1,Settings!$C$6,Settings!$C$7))*100)</f>
        <v/>
      </c>
      <c r="AH522" s="7" t="n"/>
      <c r="AK522" s="11" t="n"/>
      <c r="AM522">
        <f>IF($D522="","",IF(COUNTIF($D$2:$D522,$D522)=1,1,0))</f>
        <v/>
      </c>
      <c r="AN522">
        <f>IF($AM522=1,SUMPRODUCT(--($AQ$2:$AQ$1001&lt;$AQ522))+1,"")</f>
        <v/>
      </c>
      <c r="AO522">
        <f>IF($D522="","",IF(OR($U522=TRUE(),$U522="TRUE"),1,0))</f>
        <v/>
      </c>
      <c r="AP522">
        <f>IF($D522="","",IF($AC522="Yes",1,0))</f>
        <v/>
      </c>
      <c r="AQ522">
        <f>IF($AM522=1,IFERROR(VALUE(MID($D522,2,20)),1000000000)+ROW()/100000,"")</f>
        <v/>
      </c>
    </row>
    <row r="523">
      <c r="G523" s="11" t="n"/>
      <c r="Q523" s="7">
        <f>IF($D523="","",P523*Y523/100)</f>
        <v/>
      </c>
      <c r="R523" s="7" t="n"/>
      <c r="X523" s="7" t="n"/>
      <c r="Y523" s="7" t="n"/>
      <c r="Z523" s="7">
        <f>IF($D523="","",Y523*AD523/100)</f>
        <v/>
      </c>
      <c r="AA523" s="7">
        <f>IF($D523="","",Y523-Z523)</f>
        <v/>
      </c>
      <c r="AB523" s="7">
        <f>IF($D523="","",AA523-Q523)</f>
        <v/>
      </c>
      <c r="AD523">
        <f>IF($D523="","",IF($AP523=1,0,IF($AO523=1,Settings!$C$6,Settings!$C$7))*100)</f>
        <v/>
      </c>
      <c r="AH523" s="7" t="n"/>
      <c r="AK523" s="11" t="n"/>
      <c r="AM523">
        <f>IF($D523="","",IF(COUNTIF($D$2:$D523,$D523)=1,1,0))</f>
        <v/>
      </c>
      <c r="AN523">
        <f>IF($AM523=1,SUMPRODUCT(--($AQ$2:$AQ$1001&lt;$AQ523))+1,"")</f>
        <v/>
      </c>
      <c r="AO523">
        <f>IF($D523="","",IF(OR($U523=TRUE(),$U523="TRUE"),1,0))</f>
        <v/>
      </c>
      <c r="AP523">
        <f>IF($D523="","",IF($AC523="Yes",1,0))</f>
        <v/>
      </c>
      <c r="AQ523">
        <f>IF($AM523=1,IFERROR(VALUE(MID($D523,2,20)),1000000000)+ROW()/100000,"")</f>
        <v/>
      </c>
    </row>
    <row r="524">
      <c r="G524" s="11" t="n"/>
      <c r="Q524" s="7">
        <f>IF($D524="","",P524*Y524/100)</f>
        <v/>
      </c>
      <c r="R524" s="7" t="n"/>
      <c r="X524" s="7" t="n"/>
      <c r="Y524" s="7" t="n"/>
      <c r="Z524" s="7">
        <f>IF($D524="","",Y524*AD524/100)</f>
        <v/>
      </c>
      <c r="AA524" s="7">
        <f>IF($D524="","",Y524-Z524)</f>
        <v/>
      </c>
      <c r="AB524" s="7">
        <f>IF($D524="","",AA524-Q524)</f>
        <v/>
      </c>
      <c r="AD524">
        <f>IF($D524="","",IF($AP524=1,0,IF($AO524=1,Settings!$C$6,Settings!$C$7))*100)</f>
        <v/>
      </c>
      <c r="AH524" s="7" t="n"/>
      <c r="AK524" s="11" t="n"/>
      <c r="AM524">
        <f>IF($D524="","",IF(COUNTIF($D$2:$D524,$D524)=1,1,0))</f>
        <v/>
      </c>
      <c r="AN524">
        <f>IF($AM524=1,SUMPRODUCT(--($AQ$2:$AQ$1001&lt;$AQ524))+1,"")</f>
        <v/>
      </c>
      <c r="AO524">
        <f>IF($D524="","",IF(OR($U524=TRUE(),$U524="TRUE"),1,0))</f>
        <v/>
      </c>
      <c r="AP524">
        <f>IF($D524="","",IF($AC524="Yes",1,0))</f>
        <v/>
      </c>
      <c r="AQ524">
        <f>IF($AM524=1,IFERROR(VALUE(MID($D524,2,20)),1000000000)+ROW()/100000,"")</f>
        <v/>
      </c>
    </row>
    <row r="525">
      <c r="G525" s="11" t="n"/>
      <c r="Q525" s="7">
        <f>IF($D525="","",P525*Y525/100)</f>
        <v/>
      </c>
      <c r="R525" s="7" t="n"/>
      <c r="X525" s="7" t="n"/>
      <c r="Y525" s="7" t="n"/>
      <c r="Z525" s="7">
        <f>IF($D525="","",Y525*AD525/100)</f>
        <v/>
      </c>
      <c r="AA525" s="7">
        <f>IF($D525="","",Y525-Z525)</f>
        <v/>
      </c>
      <c r="AB525" s="7">
        <f>IF($D525="","",AA525-Q525)</f>
        <v/>
      </c>
      <c r="AD525">
        <f>IF($D525="","",IF($AP525=1,0,IF($AO525=1,Settings!$C$6,Settings!$C$7))*100)</f>
        <v/>
      </c>
      <c r="AH525" s="7" t="n"/>
      <c r="AK525" s="11" t="n"/>
      <c r="AM525">
        <f>IF($D525="","",IF(COUNTIF($D$2:$D525,$D525)=1,1,0))</f>
        <v/>
      </c>
      <c r="AN525">
        <f>IF($AM525=1,SUMPRODUCT(--($AQ$2:$AQ$1001&lt;$AQ525))+1,"")</f>
        <v/>
      </c>
      <c r="AO525">
        <f>IF($D525="","",IF(OR($U525=TRUE(),$U525="TRUE"),1,0))</f>
        <v/>
      </c>
      <c r="AP525">
        <f>IF($D525="","",IF($AC525="Yes",1,0))</f>
        <v/>
      </c>
      <c r="AQ525">
        <f>IF($AM525=1,IFERROR(VALUE(MID($D525,2,20)),1000000000)+ROW()/100000,"")</f>
        <v/>
      </c>
    </row>
    <row r="526">
      <c r="G526" s="11" t="n"/>
      <c r="Q526" s="7">
        <f>IF($D526="","",P526*Y526/100)</f>
        <v/>
      </c>
      <c r="R526" s="7" t="n"/>
      <c r="X526" s="7" t="n"/>
      <c r="Y526" s="7" t="n"/>
      <c r="Z526" s="7">
        <f>IF($D526="","",Y526*AD526/100)</f>
        <v/>
      </c>
      <c r="AA526" s="7">
        <f>IF($D526="","",Y526-Z526)</f>
        <v/>
      </c>
      <c r="AB526" s="7">
        <f>IF($D526="","",AA526-Q526)</f>
        <v/>
      </c>
      <c r="AD526">
        <f>IF($D526="","",IF($AP526=1,0,IF($AO526=1,Settings!$C$6,Settings!$C$7))*100)</f>
        <v/>
      </c>
      <c r="AH526" s="7" t="n"/>
      <c r="AK526" s="11" t="n"/>
      <c r="AM526">
        <f>IF($D526="","",IF(COUNTIF($D$2:$D526,$D526)=1,1,0))</f>
        <v/>
      </c>
      <c r="AN526">
        <f>IF($AM526=1,SUMPRODUCT(--($AQ$2:$AQ$1001&lt;$AQ526))+1,"")</f>
        <v/>
      </c>
      <c r="AO526">
        <f>IF($D526="","",IF(OR($U526=TRUE(),$U526="TRUE"),1,0))</f>
        <v/>
      </c>
      <c r="AP526">
        <f>IF($D526="","",IF($AC526="Yes",1,0))</f>
        <v/>
      </c>
      <c r="AQ526">
        <f>IF($AM526=1,IFERROR(VALUE(MID($D526,2,20)),1000000000)+ROW()/100000,"")</f>
        <v/>
      </c>
    </row>
    <row r="527">
      <c r="G527" s="11" t="n"/>
      <c r="Q527" s="7">
        <f>IF($D527="","",P527*Y527/100)</f>
        <v/>
      </c>
      <c r="R527" s="7" t="n"/>
      <c r="X527" s="7" t="n"/>
      <c r="Y527" s="7" t="n"/>
      <c r="Z527" s="7">
        <f>IF($D527="","",Y527*AD527/100)</f>
        <v/>
      </c>
      <c r="AA527" s="7">
        <f>IF($D527="","",Y527-Z527)</f>
        <v/>
      </c>
      <c r="AB527" s="7">
        <f>IF($D527="","",AA527-Q527)</f>
        <v/>
      </c>
      <c r="AD527">
        <f>IF($D527="","",IF($AP527=1,0,IF($AO527=1,Settings!$C$6,Settings!$C$7))*100)</f>
        <v/>
      </c>
      <c r="AH527" s="7" t="n"/>
      <c r="AK527" s="11" t="n"/>
      <c r="AM527">
        <f>IF($D527="","",IF(COUNTIF($D$2:$D527,$D527)=1,1,0))</f>
        <v/>
      </c>
      <c r="AN527">
        <f>IF($AM527=1,SUMPRODUCT(--($AQ$2:$AQ$1001&lt;$AQ527))+1,"")</f>
        <v/>
      </c>
      <c r="AO527">
        <f>IF($D527="","",IF(OR($U527=TRUE(),$U527="TRUE"),1,0))</f>
        <v/>
      </c>
      <c r="AP527">
        <f>IF($D527="","",IF($AC527="Yes",1,0))</f>
        <v/>
      </c>
      <c r="AQ527">
        <f>IF($AM527=1,IFERROR(VALUE(MID($D527,2,20)),1000000000)+ROW()/100000,"")</f>
        <v/>
      </c>
    </row>
    <row r="528">
      <c r="G528" s="11" t="n"/>
      <c r="Q528" s="7">
        <f>IF($D528="","",P528*Y528/100)</f>
        <v/>
      </c>
      <c r="R528" s="7" t="n"/>
      <c r="X528" s="7" t="n"/>
      <c r="Y528" s="7" t="n"/>
      <c r="Z528" s="7">
        <f>IF($D528="","",Y528*AD528/100)</f>
        <v/>
      </c>
      <c r="AA528" s="7">
        <f>IF($D528="","",Y528-Z528)</f>
        <v/>
      </c>
      <c r="AB528" s="7">
        <f>IF($D528="","",AA528-Q528)</f>
        <v/>
      </c>
      <c r="AD528">
        <f>IF($D528="","",IF($AP528=1,0,IF($AO528=1,Settings!$C$6,Settings!$C$7))*100)</f>
        <v/>
      </c>
      <c r="AH528" s="7" t="n"/>
      <c r="AK528" s="11" t="n"/>
      <c r="AM528">
        <f>IF($D528="","",IF(COUNTIF($D$2:$D528,$D528)=1,1,0))</f>
        <v/>
      </c>
      <c r="AN528">
        <f>IF($AM528=1,SUMPRODUCT(--($AQ$2:$AQ$1001&lt;$AQ528))+1,"")</f>
        <v/>
      </c>
      <c r="AO528">
        <f>IF($D528="","",IF(OR($U528=TRUE(),$U528="TRUE"),1,0))</f>
        <v/>
      </c>
      <c r="AP528">
        <f>IF($D528="","",IF($AC528="Yes",1,0))</f>
        <v/>
      </c>
      <c r="AQ528">
        <f>IF($AM528=1,IFERROR(VALUE(MID($D528,2,20)),1000000000)+ROW()/100000,"")</f>
        <v/>
      </c>
    </row>
    <row r="529">
      <c r="G529" s="11" t="n"/>
      <c r="Q529" s="7">
        <f>IF($D529="","",P529*Y529/100)</f>
        <v/>
      </c>
      <c r="R529" s="7" t="n"/>
      <c r="X529" s="7" t="n"/>
      <c r="Y529" s="7" t="n"/>
      <c r="Z529" s="7">
        <f>IF($D529="","",Y529*AD529/100)</f>
        <v/>
      </c>
      <c r="AA529" s="7">
        <f>IF($D529="","",Y529-Z529)</f>
        <v/>
      </c>
      <c r="AB529" s="7">
        <f>IF($D529="","",AA529-Q529)</f>
        <v/>
      </c>
      <c r="AD529">
        <f>IF($D529="","",IF($AP529=1,0,IF($AO529=1,Settings!$C$6,Settings!$C$7))*100)</f>
        <v/>
      </c>
      <c r="AH529" s="7" t="n"/>
      <c r="AK529" s="11" t="n"/>
      <c r="AM529">
        <f>IF($D529="","",IF(COUNTIF($D$2:$D529,$D529)=1,1,0))</f>
        <v/>
      </c>
      <c r="AN529">
        <f>IF($AM529=1,SUMPRODUCT(--($AQ$2:$AQ$1001&lt;$AQ529))+1,"")</f>
        <v/>
      </c>
      <c r="AO529">
        <f>IF($D529="","",IF(OR($U529=TRUE(),$U529="TRUE"),1,0))</f>
        <v/>
      </c>
      <c r="AP529">
        <f>IF($D529="","",IF($AC529="Yes",1,0))</f>
        <v/>
      </c>
      <c r="AQ529">
        <f>IF($AM529=1,IFERROR(VALUE(MID($D529,2,20)),1000000000)+ROW()/100000,"")</f>
        <v/>
      </c>
    </row>
    <row r="530">
      <c r="G530" s="11" t="n"/>
      <c r="Q530" s="7">
        <f>IF($D530="","",P530*Y530/100)</f>
        <v/>
      </c>
      <c r="R530" s="7" t="n"/>
      <c r="X530" s="7" t="n"/>
      <c r="Y530" s="7" t="n"/>
      <c r="Z530" s="7">
        <f>IF($D530="","",Y530*AD530/100)</f>
        <v/>
      </c>
      <c r="AA530" s="7">
        <f>IF($D530="","",Y530-Z530)</f>
        <v/>
      </c>
      <c r="AB530" s="7">
        <f>IF($D530="","",AA530-Q530)</f>
        <v/>
      </c>
      <c r="AD530">
        <f>IF($D530="","",IF($AP530=1,0,IF($AO530=1,Settings!$C$6,Settings!$C$7))*100)</f>
        <v/>
      </c>
      <c r="AH530" s="7" t="n"/>
      <c r="AK530" s="11" t="n"/>
      <c r="AM530">
        <f>IF($D530="","",IF(COUNTIF($D$2:$D530,$D530)=1,1,0))</f>
        <v/>
      </c>
      <c r="AN530">
        <f>IF($AM530=1,SUMPRODUCT(--($AQ$2:$AQ$1001&lt;$AQ530))+1,"")</f>
        <v/>
      </c>
      <c r="AO530">
        <f>IF($D530="","",IF(OR($U530=TRUE(),$U530="TRUE"),1,0))</f>
        <v/>
      </c>
      <c r="AP530">
        <f>IF($D530="","",IF($AC530="Yes",1,0))</f>
        <v/>
      </c>
      <c r="AQ530">
        <f>IF($AM530=1,IFERROR(VALUE(MID($D530,2,20)),1000000000)+ROW()/100000,"")</f>
        <v/>
      </c>
    </row>
    <row r="531">
      <c r="G531" s="11" t="n"/>
      <c r="Q531" s="7">
        <f>IF($D531="","",P531*Y531/100)</f>
        <v/>
      </c>
      <c r="R531" s="7" t="n"/>
      <c r="X531" s="7" t="n"/>
      <c r="Y531" s="7" t="n"/>
      <c r="Z531" s="7">
        <f>IF($D531="","",Y531*AD531/100)</f>
        <v/>
      </c>
      <c r="AA531" s="7">
        <f>IF($D531="","",Y531-Z531)</f>
        <v/>
      </c>
      <c r="AB531" s="7">
        <f>IF($D531="","",AA531-Q531)</f>
        <v/>
      </c>
      <c r="AD531">
        <f>IF($D531="","",IF($AP531=1,0,IF($AO531=1,Settings!$C$6,Settings!$C$7))*100)</f>
        <v/>
      </c>
      <c r="AH531" s="7" t="n"/>
      <c r="AK531" s="11" t="n"/>
      <c r="AM531">
        <f>IF($D531="","",IF(COUNTIF($D$2:$D531,$D531)=1,1,0))</f>
        <v/>
      </c>
      <c r="AN531">
        <f>IF($AM531=1,SUMPRODUCT(--($AQ$2:$AQ$1001&lt;$AQ531))+1,"")</f>
        <v/>
      </c>
      <c r="AO531">
        <f>IF($D531="","",IF(OR($U531=TRUE(),$U531="TRUE"),1,0))</f>
        <v/>
      </c>
      <c r="AP531">
        <f>IF($D531="","",IF($AC531="Yes",1,0))</f>
        <v/>
      </c>
      <c r="AQ531">
        <f>IF($AM531=1,IFERROR(VALUE(MID($D531,2,20)),1000000000)+ROW()/100000,"")</f>
        <v/>
      </c>
    </row>
    <row r="532">
      <c r="G532" s="11" t="n"/>
      <c r="Q532" s="7">
        <f>IF($D532="","",P532*Y532/100)</f>
        <v/>
      </c>
      <c r="R532" s="7" t="n"/>
      <c r="X532" s="7" t="n"/>
      <c r="Y532" s="7" t="n"/>
      <c r="Z532" s="7">
        <f>IF($D532="","",Y532*AD532/100)</f>
        <v/>
      </c>
      <c r="AA532" s="7">
        <f>IF($D532="","",Y532-Z532)</f>
        <v/>
      </c>
      <c r="AB532" s="7">
        <f>IF($D532="","",AA532-Q532)</f>
        <v/>
      </c>
      <c r="AD532">
        <f>IF($D532="","",IF($AP532=1,0,IF($AO532=1,Settings!$C$6,Settings!$C$7))*100)</f>
        <v/>
      </c>
      <c r="AH532" s="7" t="n"/>
      <c r="AK532" s="11" t="n"/>
      <c r="AM532">
        <f>IF($D532="","",IF(COUNTIF($D$2:$D532,$D532)=1,1,0))</f>
        <v/>
      </c>
      <c r="AN532">
        <f>IF($AM532=1,SUMPRODUCT(--($AQ$2:$AQ$1001&lt;$AQ532))+1,"")</f>
        <v/>
      </c>
      <c r="AO532">
        <f>IF($D532="","",IF(OR($U532=TRUE(),$U532="TRUE"),1,0))</f>
        <v/>
      </c>
      <c r="AP532">
        <f>IF($D532="","",IF($AC532="Yes",1,0))</f>
        <v/>
      </c>
      <c r="AQ532">
        <f>IF($AM532=1,IFERROR(VALUE(MID($D532,2,20)),1000000000)+ROW()/100000,"")</f>
        <v/>
      </c>
    </row>
    <row r="533">
      <c r="G533" s="11" t="n"/>
      <c r="Q533" s="7">
        <f>IF($D533="","",P533*Y533/100)</f>
        <v/>
      </c>
      <c r="R533" s="7" t="n"/>
      <c r="X533" s="7" t="n"/>
      <c r="Y533" s="7" t="n"/>
      <c r="Z533" s="7">
        <f>IF($D533="","",Y533*AD533/100)</f>
        <v/>
      </c>
      <c r="AA533" s="7">
        <f>IF($D533="","",Y533-Z533)</f>
        <v/>
      </c>
      <c r="AB533" s="7">
        <f>IF($D533="","",AA533-Q533)</f>
        <v/>
      </c>
      <c r="AD533">
        <f>IF($D533="","",IF($AP533=1,0,IF($AO533=1,Settings!$C$6,Settings!$C$7))*100)</f>
        <v/>
      </c>
      <c r="AH533" s="7" t="n"/>
      <c r="AK533" s="11" t="n"/>
      <c r="AM533">
        <f>IF($D533="","",IF(COUNTIF($D$2:$D533,$D533)=1,1,0))</f>
        <v/>
      </c>
      <c r="AN533">
        <f>IF($AM533=1,SUMPRODUCT(--($AQ$2:$AQ$1001&lt;$AQ533))+1,"")</f>
        <v/>
      </c>
      <c r="AO533">
        <f>IF($D533="","",IF(OR($U533=TRUE(),$U533="TRUE"),1,0))</f>
        <v/>
      </c>
      <c r="AP533">
        <f>IF($D533="","",IF($AC533="Yes",1,0))</f>
        <v/>
      </c>
      <c r="AQ533">
        <f>IF($AM533=1,IFERROR(VALUE(MID($D533,2,20)),1000000000)+ROW()/100000,"")</f>
        <v/>
      </c>
    </row>
    <row r="534">
      <c r="G534" s="11" t="n"/>
      <c r="Q534" s="7">
        <f>IF($D534="","",P534*Y534/100)</f>
        <v/>
      </c>
      <c r="R534" s="7" t="n"/>
      <c r="X534" s="7" t="n"/>
      <c r="Y534" s="7" t="n"/>
      <c r="Z534" s="7">
        <f>IF($D534="","",Y534*AD534/100)</f>
        <v/>
      </c>
      <c r="AA534" s="7">
        <f>IF($D534="","",Y534-Z534)</f>
        <v/>
      </c>
      <c r="AB534" s="7">
        <f>IF($D534="","",AA534-Q534)</f>
        <v/>
      </c>
      <c r="AD534">
        <f>IF($D534="","",IF($AP534=1,0,IF($AO534=1,Settings!$C$6,Settings!$C$7))*100)</f>
        <v/>
      </c>
      <c r="AH534" s="7" t="n"/>
      <c r="AK534" s="11" t="n"/>
      <c r="AM534">
        <f>IF($D534="","",IF(COUNTIF($D$2:$D534,$D534)=1,1,0))</f>
        <v/>
      </c>
      <c r="AN534">
        <f>IF($AM534=1,SUMPRODUCT(--($AQ$2:$AQ$1001&lt;$AQ534))+1,"")</f>
        <v/>
      </c>
      <c r="AO534">
        <f>IF($D534="","",IF(OR($U534=TRUE(),$U534="TRUE"),1,0))</f>
        <v/>
      </c>
      <c r="AP534">
        <f>IF($D534="","",IF($AC534="Yes",1,0))</f>
        <v/>
      </c>
      <c r="AQ534">
        <f>IF($AM534=1,IFERROR(VALUE(MID($D534,2,20)),1000000000)+ROW()/100000,"")</f>
        <v/>
      </c>
    </row>
    <row r="535">
      <c r="G535" s="11" t="n"/>
      <c r="Q535" s="7">
        <f>IF($D535="","",P535*Y535/100)</f>
        <v/>
      </c>
      <c r="R535" s="7" t="n"/>
      <c r="X535" s="7" t="n"/>
      <c r="Y535" s="7" t="n"/>
      <c r="Z535" s="7">
        <f>IF($D535="","",Y535*AD535/100)</f>
        <v/>
      </c>
      <c r="AA535" s="7">
        <f>IF($D535="","",Y535-Z535)</f>
        <v/>
      </c>
      <c r="AB535" s="7">
        <f>IF($D535="","",AA535-Q535)</f>
        <v/>
      </c>
      <c r="AD535">
        <f>IF($D535="","",IF($AP535=1,0,IF($AO535=1,Settings!$C$6,Settings!$C$7))*100)</f>
        <v/>
      </c>
      <c r="AH535" s="7" t="n"/>
      <c r="AK535" s="11" t="n"/>
      <c r="AM535">
        <f>IF($D535="","",IF(COUNTIF($D$2:$D535,$D535)=1,1,0))</f>
        <v/>
      </c>
      <c r="AN535">
        <f>IF($AM535=1,SUMPRODUCT(--($AQ$2:$AQ$1001&lt;$AQ535))+1,"")</f>
        <v/>
      </c>
      <c r="AO535">
        <f>IF($D535="","",IF(OR($U535=TRUE(),$U535="TRUE"),1,0))</f>
        <v/>
      </c>
      <c r="AP535">
        <f>IF($D535="","",IF($AC535="Yes",1,0))</f>
        <v/>
      </c>
      <c r="AQ535">
        <f>IF($AM535=1,IFERROR(VALUE(MID($D535,2,20)),1000000000)+ROW()/100000,"")</f>
        <v/>
      </c>
    </row>
    <row r="536">
      <c r="G536" s="11" t="n"/>
      <c r="Q536" s="7">
        <f>IF($D536="","",P536*Y536/100)</f>
        <v/>
      </c>
      <c r="R536" s="7" t="n"/>
      <c r="X536" s="7" t="n"/>
      <c r="Y536" s="7" t="n"/>
      <c r="Z536" s="7">
        <f>IF($D536="","",Y536*AD536/100)</f>
        <v/>
      </c>
      <c r="AA536" s="7">
        <f>IF($D536="","",Y536-Z536)</f>
        <v/>
      </c>
      <c r="AB536" s="7">
        <f>IF($D536="","",AA536-Q536)</f>
        <v/>
      </c>
      <c r="AD536">
        <f>IF($D536="","",IF($AP536=1,0,IF($AO536=1,Settings!$C$6,Settings!$C$7))*100)</f>
        <v/>
      </c>
      <c r="AH536" s="7" t="n"/>
      <c r="AK536" s="11" t="n"/>
      <c r="AM536">
        <f>IF($D536="","",IF(COUNTIF($D$2:$D536,$D536)=1,1,0))</f>
        <v/>
      </c>
      <c r="AN536">
        <f>IF($AM536=1,SUMPRODUCT(--($AQ$2:$AQ$1001&lt;$AQ536))+1,"")</f>
        <v/>
      </c>
      <c r="AO536">
        <f>IF($D536="","",IF(OR($U536=TRUE(),$U536="TRUE"),1,0))</f>
        <v/>
      </c>
      <c r="AP536">
        <f>IF($D536="","",IF($AC536="Yes",1,0))</f>
        <v/>
      </c>
      <c r="AQ536">
        <f>IF($AM536=1,IFERROR(VALUE(MID($D536,2,20)),1000000000)+ROW()/100000,"")</f>
        <v/>
      </c>
    </row>
    <row r="537">
      <c r="G537" s="11" t="n"/>
      <c r="Q537" s="7">
        <f>IF($D537="","",P537*Y537/100)</f>
        <v/>
      </c>
      <c r="R537" s="7" t="n"/>
      <c r="X537" s="7" t="n"/>
      <c r="Y537" s="7" t="n"/>
      <c r="Z537" s="7">
        <f>IF($D537="","",Y537*AD537/100)</f>
        <v/>
      </c>
      <c r="AA537" s="7">
        <f>IF($D537="","",Y537-Z537)</f>
        <v/>
      </c>
      <c r="AB537" s="7">
        <f>IF($D537="","",AA537-Q537)</f>
        <v/>
      </c>
      <c r="AD537">
        <f>IF($D537="","",IF($AP537=1,0,IF($AO537=1,Settings!$C$6,Settings!$C$7))*100)</f>
        <v/>
      </c>
      <c r="AH537" s="7" t="n"/>
      <c r="AK537" s="11" t="n"/>
      <c r="AM537">
        <f>IF($D537="","",IF(COUNTIF($D$2:$D537,$D537)=1,1,0))</f>
        <v/>
      </c>
      <c r="AN537">
        <f>IF($AM537=1,SUMPRODUCT(--($AQ$2:$AQ$1001&lt;$AQ537))+1,"")</f>
        <v/>
      </c>
      <c r="AO537">
        <f>IF($D537="","",IF(OR($U537=TRUE(),$U537="TRUE"),1,0))</f>
        <v/>
      </c>
      <c r="AP537">
        <f>IF($D537="","",IF($AC537="Yes",1,0))</f>
        <v/>
      </c>
      <c r="AQ537">
        <f>IF($AM537=1,IFERROR(VALUE(MID($D537,2,20)),1000000000)+ROW()/100000,"")</f>
        <v/>
      </c>
    </row>
    <row r="538">
      <c r="G538" s="11" t="n"/>
      <c r="Q538" s="7">
        <f>IF($D538="","",P538*Y538/100)</f>
        <v/>
      </c>
      <c r="R538" s="7" t="n"/>
      <c r="X538" s="7" t="n"/>
      <c r="Y538" s="7" t="n"/>
      <c r="Z538" s="7">
        <f>IF($D538="","",Y538*AD538/100)</f>
        <v/>
      </c>
      <c r="AA538" s="7">
        <f>IF($D538="","",Y538-Z538)</f>
        <v/>
      </c>
      <c r="AB538" s="7">
        <f>IF($D538="","",AA538-Q538)</f>
        <v/>
      </c>
      <c r="AD538">
        <f>IF($D538="","",IF($AP538=1,0,IF($AO538=1,Settings!$C$6,Settings!$C$7))*100)</f>
        <v/>
      </c>
      <c r="AH538" s="7" t="n"/>
      <c r="AK538" s="11" t="n"/>
      <c r="AM538">
        <f>IF($D538="","",IF(COUNTIF($D$2:$D538,$D538)=1,1,0))</f>
        <v/>
      </c>
      <c r="AN538">
        <f>IF($AM538=1,SUMPRODUCT(--($AQ$2:$AQ$1001&lt;$AQ538))+1,"")</f>
        <v/>
      </c>
      <c r="AO538">
        <f>IF($D538="","",IF(OR($U538=TRUE(),$U538="TRUE"),1,0))</f>
        <v/>
      </c>
      <c r="AP538">
        <f>IF($D538="","",IF($AC538="Yes",1,0))</f>
        <v/>
      </c>
      <c r="AQ538">
        <f>IF($AM538=1,IFERROR(VALUE(MID($D538,2,20)),1000000000)+ROW()/100000,"")</f>
        <v/>
      </c>
    </row>
    <row r="539">
      <c r="G539" s="11" t="n"/>
      <c r="Q539" s="7">
        <f>IF($D539="","",P539*Y539/100)</f>
        <v/>
      </c>
      <c r="R539" s="7" t="n"/>
      <c r="X539" s="7" t="n"/>
      <c r="Y539" s="7" t="n"/>
      <c r="Z539" s="7">
        <f>IF($D539="","",Y539*AD539/100)</f>
        <v/>
      </c>
      <c r="AA539" s="7">
        <f>IF($D539="","",Y539-Z539)</f>
        <v/>
      </c>
      <c r="AB539" s="7">
        <f>IF($D539="","",AA539-Q539)</f>
        <v/>
      </c>
      <c r="AD539">
        <f>IF($D539="","",IF($AP539=1,0,IF($AO539=1,Settings!$C$6,Settings!$C$7))*100)</f>
        <v/>
      </c>
      <c r="AH539" s="7" t="n"/>
      <c r="AK539" s="11" t="n"/>
      <c r="AM539">
        <f>IF($D539="","",IF(COUNTIF($D$2:$D539,$D539)=1,1,0))</f>
        <v/>
      </c>
      <c r="AN539">
        <f>IF($AM539=1,SUMPRODUCT(--($AQ$2:$AQ$1001&lt;$AQ539))+1,"")</f>
        <v/>
      </c>
      <c r="AO539">
        <f>IF($D539="","",IF(OR($U539=TRUE(),$U539="TRUE"),1,0))</f>
        <v/>
      </c>
      <c r="AP539">
        <f>IF($D539="","",IF($AC539="Yes",1,0))</f>
        <v/>
      </c>
      <c r="AQ539">
        <f>IF($AM539=1,IFERROR(VALUE(MID($D539,2,20)),1000000000)+ROW()/100000,"")</f>
        <v/>
      </c>
    </row>
    <row r="540">
      <c r="G540" s="11" t="n"/>
      <c r="Q540" s="7">
        <f>IF($D540="","",P540*Y540/100)</f>
        <v/>
      </c>
      <c r="R540" s="7" t="n"/>
      <c r="X540" s="7" t="n"/>
      <c r="Y540" s="7" t="n"/>
      <c r="Z540" s="7">
        <f>IF($D540="","",Y540*AD540/100)</f>
        <v/>
      </c>
      <c r="AA540" s="7">
        <f>IF($D540="","",Y540-Z540)</f>
        <v/>
      </c>
      <c r="AB540" s="7">
        <f>IF($D540="","",AA540-Q540)</f>
        <v/>
      </c>
      <c r="AD540">
        <f>IF($D540="","",IF($AP540=1,0,IF($AO540=1,Settings!$C$6,Settings!$C$7))*100)</f>
        <v/>
      </c>
      <c r="AH540" s="7" t="n"/>
      <c r="AK540" s="11" t="n"/>
      <c r="AM540">
        <f>IF($D540="","",IF(COUNTIF($D$2:$D540,$D540)=1,1,0))</f>
        <v/>
      </c>
      <c r="AN540">
        <f>IF($AM540=1,SUMPRODUCT(--($AQ$2:$AQ$1001&lt;$AQ540))+1,"")</f>
        <v/>
      </c>
      <c r="AO540">
        <f>IF($D540="","",IF(OR($U540=TRUE(),$U540="TRUE"),1,0))</f>
        <v/>
      </c>
      <c r="AP540">
        <f>IF($D540="","",IF($AC540="Yes",1,0))</f>
        <v/>
      </c>
      <c r="AQ540">
        <f>IF($AM540=1,IFERROR(VALUE(MID($D540,2,20)),1000000000)+ROW()/100000,"")</f>
        <v/>
      </c>
    </row>
    <row r="541">
      <c r="G541" s="11" t="n"/>
      <c r="Q541" s="7">
        <f>IF($D541="","",P541*Y541/100)</f>
        <v/>
      </c>
      <c r="R541" s="7" t="n"/>
      <c r="X541" s="7" t="n"/>
      <c r="Y541" s="7" t="n"/>
      <c r="Z541" s="7">
        <f>IF($D541="","",Y541*AD541/100)</f>
        <v/>
      </c>
      <c r="AA541" s="7">
        <f>IF($D541="","",Y541-Z541)</f>
        <v/>
      </c>
      <c r="AB541" s="7">
        <f>IF($D541="","",AA541-Q541)</f>
        <v/>
      </c>
      <c r="AD541">
        <f>IF($D541="","",IF($AP541=1,0,IF($AO541=1,Settings!$C$6,Settings!$C$7))*100)</f>
        <v/>
      </c>
      <c r="AH541" s="7" t="n"/>
      <c r="AK541" s="11" t="n"/>
      <c r="AM541">
        <f>IF($D541="","",IF(COUNTIF($D$2:$D541,$D541)=1,1,0))</f>
        <v/>
      </c>
      <c r="AN541">
        <f>IF($AM541=1,SUMPRODUCT(--($AQ$2:$AQ$1001&lt;$AQ541))+1,"")</f>
        <v/>
      </c>
      <c r="AO541">
        <f>IF($D541="","",IF(OR($U541=TRUE(),$U541="TRUE"),1,0))</f>
        <v/>
      </c>
      <c r="AP541">
        <f>IF($D541="","",IF($AC541="Yes",1,0))</f>
        <v/>
      </c>
      <c r="AQ541">
        <f>IF($AM541=1,IFERROR(VALUE(MID($D541,2,20)),1000000000)+ROW()/100000,"")</f>
        <v/>
      </c>
    </row>
    <row r="542">
      <c r="G542" s="11" t="n"/>
      <c r="Q542" s="7">
        <f>IF($D542="","",P542*Y542/100)</f>
        <v/>
      </c>
      <c r="R542" s="7" t="n"/>
      <c r="X542" s="7" t="n"/>
      <c r="Y542" s="7" t="n"/>
      <c r="Z542" s="7">
        <f>IF($D542="","",Y542*AD542/100)</f>
        <v/>
      </c>
      <c r="AA542" s="7">
        <f>IF($D542="","",Y542-Z542)</f>
        <v/>
      </c>
      <c r="AB542" s="7">
        <f>IF($D542="","",AA542-Q542)</f>
        <v/>
      </c>
      <c r="AD542">
        <f>IF($D542="","",IF($AP542=1,0,IF($AO542=1,Settings!$C$6,Settings!$C$7))*100)</f>
        <v/>
      </c>
      <c r="AH542" s="7" t="n"/>
      <c r="AK542" s="11" t="n"/>
      <c r="AM542">
        <f>IF($D542="","",IF(COUNTIF($D$2:$D542,$D542)=1,1,0))</f>
        <v/>
      </c>
      <c r="AN542">
        <f>IF($AM542=1,SUMPRODUCT(--($AQ$2:$AQ$1001&lt;$AQ542))+1,"")</f>
        <v/>
      </c>
      <c r="AO542">
        <f>IF($D542="","",IF(OR($U542=TRUE(),$U542="TRUE"),1,0))</f>
        <v/>
      </c>
      <c r="AP542">
        <f>IF($D542="","",IF($AC542="Yes",1,0))</f>
        <v/>
      </c>
      <c r="AQ542">
        <f>IF($AM542=1,IFERROR(VALUE(MID($D542,2,20)),1000000000)+ROW()/100000,"")</f>
        <v/>
      </c>
    </row>
    <row r="543">
      <c r="G543" s="11" t="n"/>
      <c r="Q543" s="7">
        <f>IF($D543="","",P543*Y543/100)</f>
        <v/>
      </c>
      <c r="R543" s="7" t="n"/>
      <c r="X543" s="7" t="n"/>
      <c r="Y543" s="7" t="n"/>
      <c r="Z543" s="7">
        <f>IF($D543="","",Y543*AD543/100)</f>
        <v/>
      </c>
      <c r="AA543" s="7">
        <f>IF($D543="","",Y543-Z543)</f>
        <v/>
      </c>
      <c r="AB543" s="7">
        <f>IF($D543="","",AA543-Q543)</f>
        <v/>
      </c>
      <c r="AD543">
        <f>IF($D543="","",IF($AP543=1,0,IF($AO543=1,Settings!$C$6,Settings!$C$7))*100)</f>
        <v/>
      </c>
      <c r="AH543" s="7" t="n"/>
      <c r="AK543" s="11" t="n"/>
      <c r="AM543">
        <f>IF($D543="","",IF(COUNTIF($D$2:$D543,$D543)=1,1,0))</f>
        <v/>
      </c>
      <c r="AN543">
        <f>IF($AM543=1,SUMPRODUCT(--($AQ$2:$AQ$1001&lt;$AQ543))+1,"")</f>
        <v/>
      </c>
      <c r="AO543">
        <f>IF($D543="","",IF(OR($U543=TRUE(),$U543="TRUE"),1,0))</f>
        <v/>
      </c>
      <c r="AP543">
        <f>IF($D543="","",IF($AC543="Yes",1,0))</f>
        <v/>
      </c>
      <c r="AQ543">
        <f>IF($AM543=1,IFERROR(VALUE(MID($D543,2,20)),1000000000)+ROW()/100000,"")</f>
        <v/>
      </c>
    </row>
    <row r="544">
      <c r="G544" s="11" t="n"/>
      <c r="Q544" s="7">
        <f>IF($D544="","",P544*Y544/100)</f>
        <v/>
      </c>
      <c r="R544" s="7" t="n"/>
      <c r="X544" s="7" t="n"/>
      <c r="Y544" s="7" t="n"/>
      <c r="Z544" s="7">
        <f>IF($D544="","",Y544*AD544/100)</f>
        <v/>
      </c>
      <c r="AA544" s="7">
        <f>IF($D544="","",Y544-Z544)</f>
        <v/>
      </c>
      <c r="AB544" s="7">
        <f>IF($D544="","",AA544-Q544)</f>
        <v/>
      </c>
      <c r="AD544">
        <f>IF($D544="","",IF($AP544=1,0,IF($AO544=1,Settings!$C$6,Settings!$C$7))*100)</f>
        <v/>
      </c>
      <c r="AH544" s="7" t="n"/>
      <c r="AK544" s="11" t="n"/>
      <c r="AM544">
        <f>IF($D544="","",IF(COUNTIF($D$2:$D544,$D544)=1,1,0))</f>
        <v/>
      </c>
      <c r="AN544">
        <f>IF($AM544=1,SUMPRODUCT(--($AQ$2:$AQ$1001&lt;$AQ544))+1,"")</f>
        <v/>
      </c>
      <c r="AO544">
        <f>IF($D544="","",IF(OR($U544=TRUE(),$U544="TRUE"),1,0))</f>
        <v/>
      </c>
      <c r="AP544">
        <f>IF($D544="","",IF($AC544="Yes",1,0))</f>
        <v/>
      </c>
      <c r="AQ544">
        <f>IF($AM544=1,IFERROR(VALUE(MID($D544,2,20)),1000000000)+ROW()/100000,"")</f>
        <v/>
      </c>
    </row>
    <row r="545">
      <c r="G545" s="11" t="n"/>
      <c r="Q545" s="7">
        <f>IF($D545="","",P545*Y545/100)</f>
        <v/>
      </c>
      <c r="R545" s="7" t="n"/>
      <c r="X545" s="7" t="n"/>
      <c r="Y545" s="7" t="n"/>
      <c r="Z545" s="7">
        <f>IF($D545="","",Y545*AD545/100)</f>
        <v/>
      </c>
      <c r="AA545" s="7">
        <f>IF($D545="","",Y545-Z545)</f>
        <v/>
      </c>
      <c r="AB545" s="7">
        <f>IF($D545="","",AA545-Q545)</f>
        <v/>
      </c>
      <c r="AD545">
        <f>IF($D545="","",IF($AP545=1,0,IF($AO545=1,Settings!$C$6,Settings!$C$7))*100)</f>
        <v/>
      </c>
      <c r="AH545" s="7" t="n"/>
      <c r="AK545" s="11" t="n"/>
      <c r="AM545">
        <f>IF($D545="","",IF(COUNTIF($D$2:$D545,$D545)=1,1,0))</f>
        <v/>
      </c>
      <c r="AN545">
        <f>IF($AM545=1,SUMPRODUCT(--($AQ$2:$AQ$1001&lt;$AQ545))+1,"")</f>
        <v/>
      </c>
      <c r="AO545">
        <f>IF($D545="","",IF(OR($U545=TRUE(),$U545="TRUE"),1,0))</f>
        <v/>
      </c>
      <c r="AP545">
        <f>IF($D545="","",IF($AC545="Yes",1,0))</f>
        <v/>
      </c>
      <c r="AQ545">
        <f>IF($AM545=1,IFERROR(VALUE(MID($D545,2,20)),1000000000)+ROW()/100000,"")</f>
        <v/>
      </c>
    </row>
    <row r="546">
      <c r="G546" s="11" t="n"/>
      <c r="Q546" s="7">
        <f>IF($D546="","",P546*Y546/100)</f>
        <v/>
      </c>
      <c r="R546" s="7" t="n"/>
      <c r="X546" s="7" t="n"/>
      <c r="Y546" s="7" t="n"/>
      <c r="Z546" s="7">
        <f>IF($D546="","",Y546*AD546/100)</f>
        <v/>
      </c>
      <c r="AA546" s="7">
        <f>IF($D546="","",Y546-Z546)</f>
        <v/>
      </c>
      <c r="AB546" s="7">
        <f>IF($D546="","",AA546-Q546)</f>
        <v/>
      </c>
      <c r="AD546">
        <f>IF($D546="","",IF($AP546=1,0,IF($AO546=1,Settings!$C$6,Settings!$C$7))*100)</f>
        <v/>
      </c>
      <c r="AH546" s="7" t="n"/>
      <c r="AK546" s="11" t="n"/>
      <c r="AM546">
        <f>IF($D546="","",IF(COUNTIF($D$2:$D546,$D546)=1,1,0))</f>
        <v/>
      </c>
      <c r="AN546">
        <f>IF($AM546=1,SUMPRODUCT(--($AQ$2:$AQ$1001&lt;$AQ546))+1,"")</f>
        <v/>
      </c>
      <c r="AO546">
        <f>IF($D546="","",IF(OR($U546=TRUE(),$U546="TRUE"),1,0))</f>
        <v/>
      </c>
      <c r="AP546">
        <f>IF($D546="","",IF($AC546="Yes",1,0))</f>
        <v/>
      </c>
      <c r="AQ546">
        <f>IF($AM546=1,IFERROR(VALUE(MID($D546,2,20)),1000000000)+ROW()/100000,"")</f>
        <v/>
      </c>
    </row>
    <row r="547">
      <c r="G547" s="11" t="n"/>
      <c r="Q547" s="7">
        <f>IF($D547="","",P547*Y547/100)</f>
        <v/>
      </c>
      <c r="R547" s="7" t="n"/>
      <c r="X547" s="7" t="n"/>
      <c r="Y547" s="7" t="n"/>
      <c r="Z547" s="7">
        <f>IF($D547="","",Y547*AD547/100)</f>
        <v/>
      </c>
      <c r="AA547" s="7">
        <f>IF($D547="","",Y547-Z547)</f>
        <v/>
      </c>
      <c r="AB547" s="7">
        <f>IF($D547="","",AA547-Q547)</f>
        <v/>
      </c>
      <c r="AD547">
        <f>IF($D547="","",IF($AP547=1,0,IF($AO547=1,Settings!$C$6,Settings!$C$7))*100)</f>
        <v/>
      </c>
      <c r="AH547" s="7" t="n"/>
      <c r="AK547" s="11" t="n"/>
      <c r="AM547">
        <f>IF($D547="","",IF(COUNTIF($D$2:$D547,$D547)=1,1,0))</f>
        <v/>
      </c>
      <c r="AN547">
        <f>IF($AM547=1,SUMPRODUCT(--($AQ$2:$AQ$1001&lt;$AQ547))+1,"")</f>
        <v/>
      </c>
      <c r="AO547">
        <f>IF($D547="","",IF(OR($U547=TRUE(),$U547="TRUE"),1,0))</f>
        <v/>
      </c>
      <c r="AP547">
        <f>IF($D547="","",IF($AC547="Yes",1,0))</f>
        <v/>
      </c>
      <c r="AQ547">
        <f>IF($AM547=1,IFERROR(VALUE(MID($D547,2,20)),1000000000)+ROW()/100000,"")</f>
        <v/>
      </c>
    </row>
    <row r="548">
      <c r="G548" s="11" t="n"/>
      <c r="Q548" s="7">
        <f>IF($D548="","",P548*Y548/100)</f>
        <v/>
      </c>
      <c r="R548" s="7" t="n"/>
      <c r="X548" s="7" t="n"/>
      <c r="Y548" s="7" t="n"/>
      <c r="Z548" s="7">
        <f>IF($D548="","",Y548*AD548/100)</f>
        <v/>
      </c>
      <c r="AA548" s="7">
        <f>IF($D548="","",Y548-Z548)</f>
        <v/>
      </c>
      <c r="AB548" s="7">
        <f>IF($D548="","",AA548-Q548)</f>
        <v/>
      </c>
      <c r="AD548">
        <f>IF($D548="","",IF($AP548=1,0,IF($AO548=1,Settings!$C$6,Settings!$C$7))*100)</f>
        <v/>
      </c>
      <c r="AH548" s="7" t="n"/>
      <c r="AK548" s="11" t="n"/>
      <c r="AM548">
        <f>IF($D548="","",IF(COUNTIF($D$2:$D548,$D548)=1,1,0))</f>
        <v/>
      </c>
      <c r="AN548">
        <f>IF($AM548=1,SUMPRODUCT(--($AQ$2:$AQ$1001&lt;$AQ548))+1,"")</f>
        <v/>
      </c>
      <c r="AO548">
        <f>IF($D548="","",IF(OR($U548=TRUE(),$U548="TRUE"),1,0))</f>
        <v/>
      </c>
      <c r="AP548">
        <f>IF($D548="","",IF($AC548="Yes",1,0))</f>
        <v/>
      </c>
      <c r="AQ548">
        <f>IF($AM548=1,IFERROR(VALUE(MID($D548,2,20)),1000000000)+ROW()/100000,"")</f>
        <v/>
      </c>
    </row>
    <row r="549">
      <c r="G549" s="11" t="n"/>
      <c r="Q549" s="7">
        <f>IF($D549="","",P549*Y549/100)</f>
        <v/>
      </c>
      <c r="R549" s="7" t="n"/>
      <c r="X549" s="7" t="n"/>
      <c r="Y549" s="7" t="n"/>
      <c r="Z549" s="7">
        <f>IF($D549="","",Y549*AD549/100)</f>
        <v/>
      </c>
      <c r="AA549" s="7">
        <f>IF($D549="","",Y549-Z549)</f>
        <v/>
      </c>
      <c r="AB549" s="7">
        <f>IF($D549="","",AA549-Q549)</f>
        <v/>
      </c>
      <c r="AD549">
        <f>IF($D549="","",IF($AP549=1,0,IF($AO549=1,Settings!$C$6,Settings!$C$7))*100)</f>
        <v/>
      </c>
      <c r="AH549" s="7" t="n"/>
      <c r="AK549" s="11" t="n"/>
      <c r="AM549">
        <f>IF($D549="","",IF(COUNTIF($D$2:$D549,$D549)=1,1,0))</f>
        <v/>
      </c>
      <c r="AN549">
        <f>IF($AM549=1,SUMPRODUCT(--($AQ$2:$AQ$1001&lt;$AQ549))+1,"")</f>
        <v/>
      </c>
      <c r="AO549">
        <f>IF($D549="","",IF(OR($U549=TRUE(),$U549="TRUE"),1,0))</f>
        <v/>
      </c>
      <c r="AP549">
        <f>IF($D549="","",IF($AC549="Yes",1,0))</f>
        <v/>
      </c>
      <c r="AQ549">
        <f>IF($AM549=1,IFERROR(VALUE(MID($D549,2,20)),1000000000)+ROW()/100000,"")</f>
        <v/>
      </c>
    </row>
    <row r="550">
      <c r="G550" s="11" t="n"/>
      <c r="Q550" s="7">
        <f>IF($D550="","",P550*Y550/100)</f>
        <v/>
      </c>
      <c r="R550" s="7" t="n"/>
      <c r="X550" s="7" t="n"/>
      <c r="Y550" s="7" t="n"/>
      <c r="Z550" s="7">
        <f>IF($D550="","",Y550*AD550/100)</f>
        <v/>
      </c>
      <c r="AA550" s="7">
        <f>IF($D550="","",Y550-Z550)</f>
        <v/>
      </c>
      <c r="AB550" s="7">
        <f>IF($D550="","",AA550-Q550)</f>
        <v/>
      </c>
      <c r="AD550">
        <f>IF($D550="","",IF($AP550=1,0,IF($AO550=1,Settings!$C$6,Settings!$C$7))*100)</f>
        <v/>
      </c>
      <c r="AH550" s="7" t="n"/>
      <c r="AK550" s="11" t="n"/>
      <c r="AM550">
        <f>IF($D550="","",IF(COUNTIF($D$2:$D550,$D550)=1,1,0))</f>
        <v/>
      </c>
      <c r="AN550">
        <f>IF($AM550=1,SUMPRODUCT(--($AQ$2:$AQ$1001&lt;$AQ550))+1,"")</f>
        <v/>
      </c>
      <c r="AO550">
        <f>IF($D550="","",IF(OR($U550=TRUE(),$U550="TRUE"),1,0))</f>
        <v/>
      </c>
      <c r="AP550">
        <f>IF($D550="","",IF($AC550="Yes",1,0))</f>
        <v/>
      </c>
      <c r="AQ550">
        <f>IF($AM550=1,IFERROR(VALUE(MID($D550,2,20)),1000000000)+ROW()/100000,"")</f>
        <v/>
      </c>
    </row>
    <row r="551">
      <c r="G551" s="11" t="n"/>
      <c r="Q551" s="7">
        <f>IF($D551="","",P551*Y551/100)</f>
        <v/>
      </c>
      <c r="R551" s="7" t="n"/>
      <c r="X551" s="7" t="n"/>
      <c r="Y551" s="7" t="n"/>
      <c r="Z551" s="7">
        <f>IF($D551="","",Y551*AD551/100)</f>
        <v/>
      </c>
      <c r="AA551" s="7">
        <f>IF($D551="","",Y551-Z551)</f>
        <v/>
      </c>
      <c r="AB551" s="7">
        <f>IF($D551="","",AA551-Q551)</f>
        <v/>
      </c>
      <c r="AD551">
        <f>IF($D551="","",IF($AP551=1,0,IF($AO551=1,Settings!$C$6,Settings!$C$7))*100)</f>
        <v/>
      </c>
      <c r="AH551" s="7" t="n"/>
      <c r="AK551" s="11" t="n"/>
      <c r="AM551">
        <f>IF($D551="","",IF(COUNTIF($D$2:$D551,$D551)=1,1,0))</f>
        <v/>
      </c>
      <c r="AN551">
        <f>IF($AM551=1,SUMPRODUCT(--($AQ$2:$AQ$1001&lt;$AQ551))+1,"")</f>
        <v/>
      </c>
      <c r="AO551">
        <f>IF($D551="","",IF(OR($U551=TRUE(),$U551="TRUE"),1,0))</f>
        <v/>
      </c>
      <c r="AP551">
        <f>IF($D551="","",IF($AC551="Yes",1,0))</f>
        <v/>
      </c>
      <c r="AQ551">
        <f>IF($AM551=1,IFERROR(VALUE(MID($D551,2,20)),1000000000)+ROW()/100000,"")</f>
        <v/>
      </c>
    </row>
    <row r="552">
      <c r="G552" s="11" t="n"/>
      <c r="Q552" s="7">
        <f>IF($D552="","",P552*Y552/100)</f>
        <v/>
      </c>
      <c r="R552" s="7" t="n"/>
      <c r="X552" s="7" t="n"/>
      <c r="Y552" s="7" t="n"/>
      <c r="Z552" s="7">
        <f>IF($D552="","",Y552*AD552/100)</f>
        <v/>
      </c>
      <c r="AA552" s="7">
        <f>IF($D552="","",Y552-Z552)</f>
        <v/>
      </c>
      <c r="AB552" s="7">
        <f>IF($D552="","",AA552-Q552)</f>
        <v/>
      </c>
      <c r="AD552">
        <f>IF($D552="","",IF($AP552=1,0,IF($AO552=1,Settings!$C$6,Settings!$C$7))*100)</f>
        <v/>
      </c>
      <c r="AH552" s="7" t="n"/>
      <c r="AK552" s="11" t="n"/>
      <c r="AM552">
        <f>IF($D552="","",IF(COUNTIF($D$2:$D552,$D552)=1,1,0))</f>
        <v/>
      </c>
      <c r="AN552">
        <f>IF($AM552=1,SUMPRODUCT(--($AQ$2:$AQ$1001&lt;$AQ552))+1,"")</f>
        <v/>
      </c>
      <c r="AO552">
        <f>IF($D552="","",IF(OR($U552=TRUE(),$U552="TRUE"),1,0))</f>
        <v/>
      </c>
      <c r="AP552">
        <f>IF($D552="","",IF($AC552="Yes",1,0))</f>
        <v/>
      </c>
      <c r="AQ552">
        <f>IF($AM552=1,IFERROR(VALUE(MID($D552,2,20)),1000000000)+ROW()/100000,"")</f>
        <v/>
      </c>
    </row>
    <row r="553">
      <c r="G553" s="11" t="n"/>
      <c r="Q553" s="7">
        <f>IF($D553="","",P553*Y553/100)</f>
        <v/>
      </c>
      <c r="R553" s="7" t="n"/>
      <c r="X553" s="7" t="n"/>
      <c r="Y553" s="7" t="n"/>
      <c r="Z553" s="7">
        <f>IF($D553="","",Y553*AD553/100)</f>
        <v/>
      </c>
      <c r="AA553" s="7">
        <f>IF($D553="","",Y553-Z553)</f>
        <v/>
      </c>
      <c r="AB553" s="7">
        <f>IF($D553="","",AA553-Q553)</f>
        <v/>
      </c>
      <c r="AD553">
        <f>IF($D553="","",IF($AP553=1,0,IF($AO553=1,Settings!$C$6,Settings!$C$7))*100)</f>
        <v/>
      </c>
      <c r="AH553" s="7" t="n"/>
      <c r="AK553" s="11" t="n"/>
      <c r="AM553">
        <f>IF($D553="","",IF(COUNTIF($D$2:$D553,$D553)=1,1,0))</f>
        <v/>
      </c>
      <c r="AN553">
        <f>IF($AM553=1,SUMPRODUCT(--($AQ$2:$AQ$1001&lt;$AQ553))+1,"")</f>
        <v/>
      </c>
      <c r="AO553">
        <f>IF($D553="","",IF(OR($U553=TRUE(),$U553="TRUE"),1,0))</f>
        <v/>
      </c>
      <c r="AP553">
        <f>IF($D553="","",IF($AC553="Yes",1,0))</f>
        <v/>
      </c>
      <c r="AQ553">
        <f>IF($AM553=1,IFERROR(VALUE(MID($D553,2,20)),1000000000)+ROW()/100000,"")</f>
        <v/>
      </c>
    </row>
    <row r="554">
      <c r="G554" s="11" t="n"/>
      <c r="Q554" s="7">
        <f>IF($D554="","",P554*Y554/100)</f>
        <v/>
      </c>
      <c r="R554" s="7" t="n"/>
      <c r="X554" s="7" t="n"/>
      <c r="Y554" s="7" t="n"/>
      <c r="Z554" s="7">
        <f>IF($D554="","",Y554*AD554/100)</f>
        <v/>
      </c>
      <c r="AA554" s="7">
        <f>IF($D554="","",Y554-Z554)</f>
        <v/>
      </c>
      <c r="AB554" s="7">
        <f>IF($D554="","",AA554-Q554)</f>
        <v/>
      </c>
      <c r="AD554">
        <f>IF($D554="","",IF($AP554=1,0,IF($AO554=1,Settings!$C$6,Settings!$C$7))*100)</f>
        <v/>
      </c>
      <c r="AH554" s="7" t="n"/>
      <c r="AK554" s="11" t="n"/>
      <c r="AM554">
        <f>IF($D554="","",IF(COUNTIF($D$2:$D554,$D554)=1,1,0))</f>
        <v/>
      </c>
      <c r="AN554">
        <f>IF($AM554=1,SUMPRODUCT(--($AQ$2:$AQ$1001&lt;$AQ554))+1,"")</f>
        <v/>
      </c>
      <c r="AO554">
        <f>IF($D554="","",IF(OR($U554=TRUE(),$U554="TRUE"),1,0))</f>
        <v/>
      </c>
      <c r="AP554">
        <f>IF($D554="","",IF($AC554="Yes",1,0))</f>
        <v/>
      </c>
      <c r="AQ554">
        <f>IF($AM554=1,IFERROR(VALUE(MID($D554,2,20)),1000000000)+ROW()/100000,"")</f>
        <v/>
      </c>
    </row>
    <row r="555">
      <c r="G555" s="11" t="n"/>
      <c r="Q555" s="7">
        <f>IF($D555="","",P555*Y555/100)</f>
        <v/>
      </c>
      <c r="R555" s="7" t="n"/>
      <c r="X555" s="7" t="n"/>
      <c r="Y555" s="7" t="n"/>
      <c r="Z555" s="7">
        <f>IF($D555="","",Y555*AD555/100)</f>
        <v/>
      </c>
      <c r="AA555" s="7">
        <f>IF($D555="","",Y555-Z555)</f>
        <v/>
      </c>
      <c r="AB555" s="7">
        <f>IF($D555="","",AA555-Q555)</f>
        <v/>
      </c>
      <c r="AD555">
        <f>IF($D555="","",IF($AP555=1,0,IF($AO555=1,Settings!$C$6,Settings!$C$7))*100)</f>
        <v/>
      </c>
      <c r="AH555" s="7" t="n"/>
      <c r="AK555" s="11" t="n"/>
      <c r="AM555">
        <f>IF($D555="","",IF(COUNTIF($D$2:$D555,$D555)=1,1,0))</f>
        <v/>
      </c>
      <c r="AN555">
        <f>IF($AM555=1,SUMPRODUCT(--($AQ$2:$AQ$1001&lt;$AQ555))+1,"")</f>
        <v/>
      </c>
      <c r="AO555">
        <f>IF($D555="","",IF(OR($U555=TRUE(),$U555="TRUE"),1,0))</f>
        <v/>
      </c>
      <c r="AP555">
        <f>IF($D555="","",IF($AC555="Yes",1,0))</f>
        <v/>
      </c>
      <c r="AQ555">
        <f>IF($AM555=1,IFERROR(VALUE(MID($D555,2,20)),1000000000)+ROW()/100000,"")</f>
        <v/>
      </c>
    </row>
    <row r="556">
      <c r="G556" s="11" t="n"/>
      <c r="Q556" s="7">
        <f>IF($D556="","",P556*Y556/100)</f>
        <v/>
      </c>
      <c r="R556" s="7" t="n"/>
      <c r="X556" s="7" t="n"/>
      <c r="Y556" s="7" t="n"/>
      <c r="Z556" s="7">
        <f>IF($D556="","",Y556*AD556/100)</f>
        <v/>
      </c>
      <c r="AA556" s="7">
        <f>IF($D556="","",Y556-Z556)</f>
        <v/>
      </c>
      <c r="AB556" s="7">
        <f>IF($D556="","",AA556-Q556)</f>
        <v/>
      </c>
      <c r="AD556">
        <f>IF($D556="","",IF($AP556=1,0,IF($AO556=1,Settings!$C$6,Settings!$C$7))*100)</f>
        <v/>
      </c>
      <c r="AH556" s="7" t="n"/>
      <c r="AK556" s="11" t="n"/>
      <c r="AM556">
        <f>IF($D556="","",IF(COUNTIF($D$2:$D556,$D556)=1,1,0))</f>
        <v/>
      </c>
      <c r="AN556">
        <f>IF($AM556=1,SUMPRODUCT(--($AQ$2:$AQ$1001&lt;$AQ556))+1,"")</f>
        <v/>
      </c>
      <c r="AO556">
        <f>IF($D556="","",IF(OR($U556=TRUE(),$U556="TRUE"),1,0))</f>
        <v/>
      </c>
      <c r="AP556">
        <f>IF($D556="","",IF($AC556="Yes",1,0))</f>
        <v/>
      </c>
      <c r="AQ556">
        <f>IF($AM556=1,IFERROR(VALUE(MID($D556,2,20)),1000000000)+ROW()/100000,"")</f>
        <v/>
      </c>
    </row>
    <row r="557">
      <c r="G557" s="11" t="n"/>
      <c r="Q557" s="7">
        <f>IF($D557="","",P557*Y557/100)</f>
        <v/>
      </c>
      <c r="R557" s="7" t="n"/>
      <c r="X557" s="7" t="n"/>
      <c r="Y557" s="7" t="n"/>
      <c r="Z557" s="7">
        <f>IF($D557="","",Y557*AD557/100)</f>
        <v/>
      </c>
      <c r="AA557" s="7">
        <f>IF($D557="","",Y557-Z557)</f>
        <v/>
      </c>
      <c r="AB557" s="7">
        <f>IF($D557="","",AA557-Q557)</f>
        <v/>
      </c>
      <c r="AD557">
        <f>IF($D557="","",IF($AP557=1,0,IF($AO557=1,Settings!$C$6,Settings!$C$7))*100)</f>
        <v/>
      </c>
      <c r="AH557" s="7" t="n"/>
      <c r="AK557" s="11" t="n"/>
      <c r="AM557">
        <f>IF($D557="","",IF(COUNTIF($D$2:$D557,$D557)=1,1,0))</f>
        <v/>
      </c>
      <c r="AN557">
        <f>IF($AM557=1,SUMPRODUCT(--($AQ$2:$AQ$1001&lt;$AQ557))+1,"")</f>
        <v/>
      </c>
      <c r="AO557">
        <f>IF($D557="","",IF(OR($U557=TRUE(),$U557="TRUE"),1,0))</f>
        <v/>
      </c>
      <c r="AP557">
        <f>IF($D557="","",IF($AC557="Yes",1,0))</f>
        <v/>
      </c>
      <c r="AQ557">
        <f>IF($AM557=1,IFERROR(VALUE(MID($D557,2,20)),1000000000)+ROW()/100000,"")</f>
        <v/>
      </c>
    </row>
    <row r="558">
      <c r="G558" s="11" t="n"/>
      <c r="Q558" s="7">
        <f>IF($D558="","",P558*Y558/100)</f>
        <v/>
      </c>
      <c r="R558" s="7" t="n"/>
      <c r="X558" s="7" t="n"/>
      <c r="Y558" s="7" t="n"/>
      <c r="Z558" s="7">
        <f>IF($D558="","",Y558*AD558/100)</f>
        <v/>
      </c>
      <c r="AA558" s="7">
        <f>IF($D558="","",Y558-Z558)</f>
        <v/>
      </c>
      <c r="AB558" s="7">
        <f>IF($D558="","",AA558-Q558)</f>
        <v/>
      </c>
      <c r="AD558">
        <f>IF($D558="","",IF($AP558=1,0,IF($AO558=1,Settings!$C$6,Settings!$C$7))*100)</f>
        <v/>
      </c>
      <c r="AH558" s="7" t="n"/>
      <c r="AK558" s="11" t="n"/>
      <c r="AM558">
        <f>IF($D558="","",IF(COUNTIF($D$2:$D558,$D558)=1,1,0))</f>
        <v/>
      </c>
      <c r="AN558">
        <f>IF($AM558=1,SUMPRODUCT(--($AQ$2:$AQ$1001&lt;$AQ558))+1,"")</f>
        <v/>
      </c>
      <c r="AO558">
        <f>IF($D558="","",IF(OR($U558=TRUE(),$U558="TRUE"),1,0))</f>
        <v/>
      </c>
      <c r="AP558">
        <f>IF($D558="","",IF($AC558="Yes",1,0))</f>
        <v/>
      </c>
      <c r="AQ558">
        <f>IF($AM558=1,IFERROR(VALUE(MID($D558,2,20)),1000000000)+ROW()/100000,"")</f>
        <v/>
      </c>
    </row>
    <row r="559">
      <c r="G559" s="11" t="n"/>
      <c r="Q559" s="7">
        <f>IF($D559="","",P559*Y559/100)</f>
        <v/>
      </c>
      <c r="R559" s="7" t="n"/>
      <c r="X559" s="7" t="n"/>
      <c r="Y559" s="7" t="n"/>
      <c r="Z559" s="7">
        <f>IF($D559="","",Y559*AD559/100)</f>
        <v/>
      </c>
      <c r="AA559" s="7">
        <f>IF($D559="","",Y559-Z559)</f>
        <v/>
      </c>
      <c r="AB559" s="7">
        <f>IF($D559="","",AA559-Q559)</f>
        <v/>
      </c>
      <c r="AD559">
        <f>IF($D559="","",IF($AP559=1,0,IF($AO559=1,Settings!$C$6,Settings!$C$7))*100)</f>
        <v/>
      </c>
      <c r="AH559" s="7" t="n"/>
      <c r="AK559" s="11" t="n"/>
      <c r="AM559">
        <f>IF($D559="","",IF(COUNTIF($D$2:$D559,$D559)=1,1,0))</f>
        <v/>
      </c>
      <c r="AN559">
        <f>IF($AM559=1,SUMPRODUCT(--($AQ$2:$AQ$1001&lt;$AQ559))+1,"")</f>
        <v/>
      </c>
      <c r="AO559">
        <f>IF($D559="","",IF(OR($U559=TRUE(),$U559="TRUE"),1,0))</f>
        <v/>
      </c>
      <c r="AP559">
        <f>IF($D559="","",IF($AC559="Yes",1,0))</f>
        <v/>
      </c>
      <c r="AQ559">
        <f>IF($AM559=1,IFERROR(VALUE(MID($D559,2,20)),1000000000)+ROW()/100000,"")</f>
        <v/>
      </c>
    </row>
    <row r="560">
      <c r="G560" s="11" t="n"/>
      <c r="Q560" s="7">
        <f>IF($D560="","",P560*Y560/100)</f>
        <v/>
      </c>
      <c r="R560" s="7" t="n"/>
      <c r="X560" s="7" t="n"/>
      <c r="Y560" s="7" t="n"/>
      <c r="Z560" s="7">
        <f>IF($D560="","",Y560*AD560/100)</f>
        <v/>
      </c>
      <c r="AA560" s="7">
        <f>IF($D560="","",Y560-Z560)</f>
        <v/>
      </c>
      <c r="AB560" s="7">
        <f>IF($D560="","",AA560-Q560)</f>
        <v/>
      </c>
      <c r="AD560">
        <f>IF($D560="","",IF($AP560=1,0,IF($AO560=1,Settings!$C$6,Settings!$C$7))*100)</f>
        <v/>
      </c>
      <c r="AH560" s="7" t="n"/>
      <c r="AK560" s="11" t="n"/>
      <c r="AM560">
        <f>IF($D560="","",IF(COUNTIF($D$2:$D560,$D560)=1,1,0))</f>
        <v/>
      </c>
      <c r="AN560">
        <f>IF($AM560=1,SUMPRODUCT(--($AQ$2:$AQ$1001&lt;$AQ560))+1,"")</f>
        <v/>
      </c>
      <c r="AO560">
        <f>IF($D560="","",IF(OR($U560=TRUE(),$U560="TRUE"),1,0))</f>
        <v/>
      </c>
      <c r="AP560">
        <f>IF($D560="","",IF($AC560="Yes",1,0))</f>
        <v/>
      </c>
      <c r="AQ560">
        <f>IF($AM560=1,IFERROR(VALUE(MID($D560,2,20)),1000000000)+ROW()/100000,"")</f>
        <v/>
      </c>
    </row>
    <row r="561">
      <c r="G561" s="11" t="n"/>
      <c r="Q561" s="7">
        <f>IF($D561="","",P561*Y561/100)</f>
        <v/>
      </c>
      <c r="R561" s="7" t="n"/>
      <c r="X561" s="7" t="n"/>
      <c r="Y561" s="7" t="n"/>
      <c r="Z561" s="7">
        <f>IF($D561="","",Y561*AD561/100)</f>
        <v/>
      </c>
      <c r="AA561" s="7">
        <f>IF($D561="","",Y561-Z561)</f>
        <v/>
      </c>
      <c r="AB561" s="7">
        <f>IF($D561="","",AA561-Q561)</f>
        <v/>
      </c>
      <c r="AD561">
        <f>IF($D561="","",IF($AP561=1,0,IF($AO561=1,Settings!$C$6,Settings!$C$7))*100)</f>
        <v/>
      </c>
      <c r="AH561" s="7" t="n"/>
      <c r="AK561" s="11" t="n"/>
      <c r="AM561">
        <f>IF($D561="","",IF(COUNTIF($D$2:$D561,$D561)=1,1,0))</f>
        <v/>
      </c>
      <c r="AN561">
        <f>IF($AM561=1,SUMPRODUCT(--($AQ$2:$AQ$1001&lt;$AQ561))+1,"")</f>
        <v/>
      </c>
      <c r="AO561">
        <f>IF($D561="","",IF(OR($U561=TRUE(),$U561="TRUE"),1,0))</f>
        <v/>
      </c>
      <c r="AP561">
        <f>IF($D561="","",IF($AC561="Yes",1,0))</f>
        <v/>
      </c>
      <c r="AQ561">
        <f>IF($AM561=1,IFERROR(VALUE(MID($D561,2,20)),1000000000)+ROW()/100000,"")</f>
        <v/>
      </c>
    </row>
    <row r="562">
      <c r="G562" s="11" t="n"/>
      <c r="Q562" s="7">
        <f>IF($D562="","",P562*Y562/100)</f>
        <v/>
      </c>
      <c r="R562" s="7" t="n"/>
      <c r="X562" s="7" t="n"/>
      <c r="Y562" s="7" t="n"/>
      <c r="Z562" s="7">
        <f>IF($D562="","",Y562*AD562/100)</f>
        <v/>
      </c>
      <c r="AA562" s="7">
        <f>IF($D562="","",Y562-Z562)</f>
        <v/>
      </c>
      <c r="AB562" s="7">
        <f>IF($D562="","",AA562-Q562)</f>
        <v/>
      </c>
      <c r="AD562">
        <f>IF($D562="","",IF($AP562=1,0,IF($AO562=1,Settings!$C$6,Settings!$C$7))*100)</f>
        <v/>
      </c>
      <c r="AH562" s="7" t="n"/>
      <c r="AK562" s="11" t="n"/>
      <c r="AM562">
        <f>IF($D562="","",IF(COUNTIF($D$2:$D562,$D562)=1,1,0))</f>
        <v/>
      </c>
      <c r="AN562">
        <f>IF($AM562=1,SUMPRODUCT(--($AQ$2:$AQ$1001&lt;$AQ562))+1,"")</f>
        <v/>
      </c>
      <c r="AO562">
        <f>IF($D562="","",IF(OR($U562=TRUE(),$U562="TRUE"),1,0))</f>
        <v/>
      </c>
      <c r="AP562">
        <f>IF($D562="","",IF($AC562="Yes",1,0))</f>
        <v/>
      </c>
      <c r="AQ562">
        <f>IF($AM562=1,IFERROR(VALUE(MID($D562,2,20)),1000000000)+ROW()/100000,"")</f>
        <v/>
      </c>
    </row>
    <row r="563">
      <c r="G563" s="11" t="n"/>
      <c r="Q563" s="7">
        <f>IF($D563="","",P563*Y563/100)</f>
        <v/>
      </c>
      <c r="R563" s="7" t="n"/>
      <c r="X563" s="7" t="n"/>
      <c r="Y563" s="7" t="n"/>
      <c r="Z563" s="7">
        <f>IF($D563="","",Y563*AD563/100)</f>
        <v/>
      </c>
      <c r="AA563" s="7">
        <f>IF($D563="","",Y563-Z563)</f>
        <v/>
      </c>
      <c r="AB563" s="7">
        <f>IF($D563="","",AA563-Q563)</f>
        <v/>
      </c>
      <c r="AD563">
        <f>IF($D563="","",IF($AP563=1,0,IF($AO563=1,Settings!$C$6,Settings!$C$7))*100)</f>
        <v/>
      </c>
      <c r="AH563" s="7" t="n"/>
      <c r="AK563" s="11" t="n"/>
      <c r="AM563">
        <f>IF($D563="","",IF(COUNTIF($D$2:$D563,$D563)=1,1,0))</f>
        <v/>
      </c>
      <c r="AN563">
        <f>IF($AM563=1,SUMPRODUCT(--($AQ$2:$AQ$1001&lt;$AQ563))+1,"")</f>
        <v/>
      </c>
      <c r="AO563">
        <f>IF($D563="","",IF(OR($U563=TRUE(),$U563="TRUE"),1,0))</f>
        <v/>
      </c>
      <c r="AP563">
        <f>IF($D563="","",IF($AC563="Yes",1,0))</f>
        <v/>
      </c>
      <c r="AQ563">
        <f>IF($AM563=1,IFERROR(VALUE(MID($D563,2,20)),1000000000)+ROW()/100000,"")</f>
        <v/>
      </c>
    </row>
    <row r="564">
      <c r="G564" s="11" t="n"/>
      <c r="Q564" s="7">
        <f>IF($D564="","",P564*Y564/100)</f>
        <v/>
      </c>
      <c r="R564" s="7" t="n"/>
      <c r="X564" s="7" t="n"/>
      <c r="Y564" s="7" t="n"/>
      <c r="Z564" s="7">
        <f>IF($D564="","",Y564*AD564/100)</f>
        <v/>
      </c>
      <c r="AA564" s="7">
        <f>IF($D564="","",Y564-Z564)</f>
        <v/>
      </c>
      <c r="AB564" s="7">
        <f>IF($D564="","",AA564-Q564)</f>
        <v/>
      </c>
      <c r="AD564">
        <f>IF($D564="","",IF($AP564=1,0,IF($AO564=1,Settings!$C$6,Settings!$C$7))*100)</f>
        <v/>
      </c>
      <c r="AH564" s="7" t="n"/>
      <c r="AK564" s="11" t="n"/>
      <c r="AM564">
        <f>IF($D564="","",IF(COUNTIF($D$2:$D564,$D564)=1,1,0))</f>
        <v/>
      </c>
      <c r="AN564">
        <f>IF($AM564=1,SUMPRODUCT(--($AQ$2:$AQ$1001&lt;$AQ564))+1,"")</f>
        <v/>
      </c>
      <c r="AO564">
        <f>IF($D564="","",IF(OR($U564=TRUE(),$U564="TRUE"),1,0))</f>
        <v/>
      </c>
      <c r="AP564">
        <f>IF($D564="","",IF($AC564="Yes",1,0))</f>
        <v/>
      </c>
      <c r="AQ564">
        <f>IF($AM564=1,IFERROR(VALUE(MID($D564,2,20)),1000000000)+ROW()/100000,"")</f>
        <v/>
      </c>
    </row>
    <row r="565">
      <c r="G565" s="11" t="n"/>
      <c r="Q565" s="7">
        <f>IF($D565="","",P565*Y565/100)</f>
        <v/>
      </c>
      <c r="R565" s="7" t="n"/>
      <c r="X565" s="7" t="n"/>
      <c r="Y565" s="7" t="n"/>
      <c r="Z565" s="7">
        <f>IF($D565="","",Y565*AD565/100)</f>
        <v/>
      </c>
      <c r="AA565" s="7">
        <f>IF($D565="","",Y565-Z565)</f>
        <v/>
      </c>
      <c r="AB565" s="7">
        <f>IF($D565="","",AA565-Q565)</f>
        <v/>
      </c>
      <c r="AD565">
        <f>IF($D565="","",IF($AP565=1,0,IF($AO565=1,Settings!$C$6,Settings!$C$7))*100)</f>
        <v/>
      </c>
      <c r="AH565" s="7" t="n"/>
      <c r="AK565" s="11" t="n"/>
      <c r="AM565">
        <f>IF($D565="","",IF(COUNTIF($D$2:$D565,$D565)=1,1,0))</f>
        <v/>
      </c>
      <c r="AN565">
        <f>IF($AM565=1,SUMPRODUCT(--($AQ$2:$AQ$1001&lt;$AQ565))+1,"")</f>
        <v/>
      </c>
      <c r="AO565">
        <f>IF($D565="","",IF(OR($U565=TRUE(),$U565="TRUE"),1,0))</f>
        <v/>
      </c>
      <c r="AP565">
        <f>IF($D565="","",IF($AC565="Yes",1,0))</f>
        <v/>
      </c>
      <c r="AQ565">
        <f>IF($AM565=1,IFERROR(VALUE(MID($D565,2,20)),1000000000)+ROW()/100000,"")</f>
        <v/>
      </c>
    </row>
    <row r="566">
      <c r="G566" s="11" t="n"/>
      <c r="Q566" s="7">
        <f>IF($D566="","",P566*Y566/100)</f>
        <v/>
      </c>
      <c r="R566" s="7" t="n"/>
      <c r="X566" s="7" t="n"/>
      <c r="Y566" s="7" t="n"/>
      <c r="Z566" s="7">
        <f>IF($D566="","",Y566*AD566/100)</f>
        <v/>
      </c>
      <c r="AA566" s="7">
        <f>IF($D566="","",Y566-Z566)</f>
        <v/>
      </c>
      <c r="AB566" s="7">
        <f>IF($D566="","",AA566-Q566)</f>
        <v/>
      </c>
      <c r="AD566">
        <f>IF($D566="","",IF($AP566=1,0,IF($AO566=1,Settings!$C$6,Settings!$C$7))*100)</f>
        <v/>
      </c>
      <c r="AH566" s="7" t="n"/>
      <c r="AK566" s="11" t="n"/>
      <c r="AM566">
        <f>IF($D566="","",IF(COUNTIF($D$2:$D566,$D566)=1,1,0))</f>
        <v/>
      </c>
      <c r="AN566">
        <f>IF($AM566=1,SUMPRODUCT(--($AQ$2:$AQ$1001&lt;$AQ566))+1,"")</f>
        <v/>
      </c>
      <c r="AO566">
        <f>IF($D566="","",IF(OR($U566=TRUE(),$U566="TRUE"),1,0))</f>
        <v/>
      </c>
      <c r="AP566">
        <f>IF($D566="","",IF($AC566="Yes",1,0))</f>
        <v/>
      </c>
      <c r="AQ566">
        <f>IF($AM566=1,IFERROR(VALUE(MID($D566,2,20)),1000000000)+ROW()/100000,"")</f>
        <v/>
      </c>
    </row>
    <row r="567">
      <c r="G567" s="11" t="n"/>
      <c r="Q567" s="7">
        <f>IF($D567="","",P567*Y567/100)</f>
        <v/>
      </c>
      <c r="R567" s="7" t="n"/>
      <c r="X567" s="7" t="n"/>
      <c r="Y567" s="7" t="n"/>
      <c r="Z567" s="7">
        <f>IF($D567="","",Y567*AD567/100)</f>
        <v/>
      </c>
      <c r="AA567" s="7">
        <f>IF($D567="","",Y567-Z567)</f>
        <v/>
      </c>
      <c r="AB567" s="7">
        <f>IF($D567="","",AA567-Q567)</f>
        <v/>
      </c>
      <c r="AD567">
        <f>IF($D567="","",IF($AP567=1,0,IF($AO567=1,Settings!$C$6,Settings!$C$7))*100)</f>
        <v/>
      </c>
      <c r="AH567" s="7" t="n"/>
      <c r="AK567" s="11" t="n"/>
      <c r="AM567">
        <f>IF($D567="","",IF(COUNTIF($D$2:$D567,$D567)=1,1,0))</f>
        <v/>
      </c>
      <c r="AN567">
        <f>IF($AM567=1,SUMPRODUCT(--($AQ$2:$AQ$1001&lt;$AQ567))+1,"")</f>
        <v/>
      </c>
      <c r="AO567">
        <f>IF($D567="","",IF(OR($U567=TRUE(),$U567="TRUE"),1,0))</f>
        <v/>
      </c>
      <c r="AP567">
        <f>IF($D567="","",IF($AC567="Yes",1,0))</f>
        <v/>
      </c>
      <c r="AQ567">
        <f>IF($AM567=1,IFERROR(VALUE(MID($D567,2,20)),1000000000)+ROW()/100000,"")</f>
        <v/>
      </c>
    </row>
    <row r="568">
      <c r="G568" s="11" t="n"/>
      <c r="Q568" s="7">
        <f>IF($D568="","",P568*Y568/100)</f>
        <v/>
      </c>
      <c r="R568" s="7" t="n"/>
      <c r="X568" s="7" t="n"/>
      <c r="Y568" s="7" t="n"/>
      <c r="Z568" s="7">
        <f>IF($D568="","",Y568*AD568/100)</f>
        <v/>
      </c>
      <c r="AA568" s="7">
        <f>IF($D568="","",Y568-Z568)</f>
        <v/>
      </c>
      <c r="AB568" s="7">
        <f>IF($D568="","",AA568-Q568)</f>
        <v/>
      </c>
      <c r="AD568">
        <f>IF($D568="","",IF($AP568=1,0,IF($AO568=1,Settings!$C$6,Settings!$C$7))*100)</f>
        <v/>
      </c>
      <c r="AH568" s="7" t="n"/>
      <c r="AK568" s="11" t="n"/>
      <c r="AM568">
        <f>IF($D568="","",IF(COUNTIF($D$2:$D568,$D568)=1,1,0))</f>
        <v/>
      </c>
      <c r="AN568">
        <f>IF($AM568=1,SUMPRODUCT(--($AQ$2:$AQ$1001&lt;$AQ568))+1,"")</f>
        <v/>
      </c>
      <c r="AO568">
        <f>IF($D568="","",IF(OR($U568=TRUE(),$U568="TRUE"),1,0))</f>
        <v/>
      </c>
      <c r="AP568">
        <f>IF($D568="","",IF($AC568="Yes",1,0))</f>
        <v/>
      </c>
      <c r="AQ568">
        <f>IF($AM568=1,IFERROR(VALUE(MID($D568,2,20)),1000000000)+ROW()/100000,"")</f>
        <v/>
      </c>
    </row>
    <row r="569">
      <c r="G569" s="11" t="n"/>
      <c r="Q569" s="7">
        <f>IF($D569="","",P569*Y569/100)</f>
        <v/>
      </c>
      <c r="R569" s="7" t="n"/>
      <c r="X569" s="7" t="n"/>
      <c r="Y569" s="7" t="n"/>
      <c r="Z569" s="7">
        <f>IF($D569="","",Y569*AD569/100)</f>
        <v/>
      </c>
      <c r="AA569" s="7">
        <f>IF($D569="","",Y569-Z569)</f>
        <v/>
      </c>
      <c r="AB569" s="7">
        <f>IF($D569="","",AA569-Q569)</f>
        <v/>
      </c>
      <c r="AD569">
        <f>IF($D569="","",IF($AP569=1,0,IF($AO569=1,Settings!$C$6,Settings!$C$7))*100)</f>
        <v/>
      </c>
      <c r="AH569" s="7" t="n"/>
      <c r="AK569" s="11" t="n"/>
      <c r="AM569">
        <f>IF($D569="","",IF(COUNTIF($D$2:$D569,$D569)=1,1,0))</f>
        <v/>
      </c>
      <c r="AN569">
        <f>IF($AM569=1,SUMPRODUCT(--($AQ$2:$AQ$1001&lt;$AQ569))+1,"")</f>
        <v/>
      </c>
      <c r="AO569">
        <f>IF($D569="","",IF(OR($U569=TRUE(),$U569="TRUE"),1,0))</f>
        <v/>
      </c>
      <c r="AP569">
        <f>IF($D569="","",IF($AC569="Yes",1,0))</f>
        <v/>
      </c>
      <c r="AQ569">
        <f>IF($AM569=1,IFERROR(VALUE(MID($D569,2,20)),1000000000)+ROW()/100000,"")</f>
        <v/>
      </c>
    </row>
    <row r="570">
      <c r="G570" s="11" t="n"/>
      <c r="Q570" s="7">
        <f>IF($D570="","",P570*Y570/100)</f>
        <v/>
      </c>
      <c r="R570" s="7" t="n"/>
      <c r="X570" s="7" t="n"/>
      <c r="Y570" s="7" t="n"/>
      <c r="Z570" s="7">
        <f>IF($D570="","",Y570*AD570/100)</f>
        <v/>
      </c>
      <c r="AA570" s="7">
        <f>IF($D570="","",Y570-Z570)</f>
        <v/>
      </c>
      <c r="AB570" s="7">
        <f>IF($D570="","",AA570-Q570)</f>
        <v/>
      </c>
      <c r="AD570">
        <f>IF($D570="","",IF($AP570=1,0,IF($AO570=1,Settings!$C$6,Settings!$C$7))*100)</f>
        <v/>
      </c>
      <c r="AH570" s="7" t="n"/>
      <c r="AK570" s="11" t="n"/>
      <c r="AM570">
        <f>IF($D570="","",IF(COUNTIF($D$2:$D570,$D570)=1,1,0))</f>
        <v/>
      </c>
      <c r="AN570">
        <f>IF($AM570=1,SUMPRODUCT(--($AQ$2:$AQ$1001&lt;$AQ570))+1,"")</f>
        <v/>
      </c>
      <c r="AO570">
        <f>IF($D570="","",IF(OR($U570=TRUE(),$U570="TRUE"),1,0))</f>
        <v/>
      </c>
      <c r="AP570">
        <f>IF($D570="","",IF($AC570="Yes",1,0))</f>
        <v/>
      </c>
      <c r="AQ570">
        <f>IF($AM570=1,IFERROR(VALUE(MID($D570,2,20)),1000000000)+ROW()/100000,"")</f>
        <v/>
      </c>
    </row>
    <row r="571">
      <c r="G571" s="11" t="n"/>
      <c r="Q571" s="7">
        <f>IF($D571="","",P571*Y571/100)</f>
        <v/>
      </c>
      <c r="R571" s="7" t="n"/>
      <c r="X571" s="7" t="n"/>
      <c r="Y571" s="7" t="n"/>
      <c r="Z571" s="7">
        <f>IF($D571="","",Y571*AD571/100)</f>
        <v/>
      </c>
      <c r="AA571" s="7">
        <f>IF($D571="","",Y571-Z571)</f>
        <v/>
      </c>
      <c r="AB571" s="7">
        <f>IF($D571="","",AA571-Q571)</f>
        <v/>
      </c>
      <c r="AD571">
        <f>IF($D571="","",IF($AP571=1,0,IF($AO571=1,Settings!$C$6,Settings!$C$7))*100)</f>
        <v/>
      </c>
      <c r="AH571" s="7" t="n"/>
      <c r="AK571" s="11" t="n"/>
      <c r="AM571">
        <f>IF($D571="","",IF(COUNTIF($D$2:$D571,$D571)=1,1,0))</f>
        <v/>
      </c>
      <c r="AN571">
        <f>IF($AM571=1,SUMPRODUCT(--($AQ$2:$AQ$1001&lt;$AQ571))+1,"")</f>
        <v/>
      </c>
      <c r="AO571">
        <f>IF($D571="","",IF(OR($U571=TRUE(),$U571="TRUE"),1,0))</f>
        <v/>
      </c>
      <c r="AP571">
        <f>IF($D571="","",IF($AC571="Yes",1,0))</f>
        <v/>
      </c>
      <c r="AQ571">
        <f>IF($AM571=1,IFERROR(VALUE(MID($D571,2,20)),1000000000)+ROW()/100000,"")</f>
        <v/>
      </c>
    </row>
    <row r="572">
      <c r="G572" s="11" t="n"/>
      <c r="Q572" s="7">
        <f>IF($D572="","",P572*Y572/100)</f>
        <v/>
      </c>
      <c r="R572" s="7" t="n"/>
      <c r="X572" s="7" t="n"/>
      <c r="Y572" s="7" t="n"/>
      <c r="Z572" s="7">
        <f>IF($D572="","",Y572*AD572/100)</f>
        <v/>
      </c>
      <c r="AA572" s="7">
        <f>IF($D572="","",Y572-Z572)</f>
        <v/>
      </c>
      <c r="AB572" s="7">
        <f>IF($D572="","",AA572-Q572)</f>
        <v/>
      </c>
      <c r="AD572">
        <f>IF($D572="","",IF($AP572=1,0,IF($AO572=1,Settings!$C$6,Settings!$C$7))*100)</f>
        <v/>
      </c>
      <c r="AH572" s="7" t="n"/>
      <c r="AK572" s="11" t="n"/>
      <c r="AM572">
        <f>IF($D572="","",IF(COUNTIF($D$2:$D572,$D572)=1,1,0))</f>
        <v/>
      </c>
      <c r="AN572">
        <f>IF($AM572=1,SUMPRODUCT(--($AQ$2:$AQ$1001&lt;$AQ572))+1,"")</f>
        <v/>
      </c>
      <c r="AO572">
        <f>IF($D572="","",IF(OR($U572=TRUE(),$U572="TRUE"),1,0))</f>
        <v/>
      </c>
      <c r="AP572">
        <f>IF($D572="","",IF($AC572="Yes",1,0))</f>
        <v/>
      </c>
      <c r="AQ572">
        <f>IF($AM572=1,IFERROR(VALUE(MID($D572,2,20)),1000000000)+ROW()/100000,"")</f>
        <v/>
      </c>
    </row>
    <row r="573">
      <c r="G573" s="11" t="n"/>
      <c r="Q573" s="7">
        <f>IF($D573="","",P573*Y573/100)</f>
        <v/>
      </c>
      <c r="R573" s="7" t="n"/>
      <c r="X573" s="7" t="n"/>
      <c r="Y573" s="7" t="n"/>
      <c r="Z573" s="7">
        <f>IF($D573="","",Y573*AD573/100)</f>
        <v/>
      </c>
      <c r="AA573" s="7">
        <f>IF($D573="","",Y573-Z573)</f>
        <v/>
      </c>
      <c r="AB573" s="7">
        <f>IF($D573="","",AA573-Q573)</f>
        <v/>
      </c>
      <c r="AD573">
        <f>IF($D573="","",IF($AP573=1,0,IF($AO573=1,Settings!$C$6,Settings!$C$7))*100)</f>
        <v/>
      </c>
      <c r="AH573" s="7" t="n"/>
      <c r="AK573" s="11" t="n"/>
      <c r="AM573">
        <f>IF($D573="","",IF(COUNTIF($D$2:$D573,$D573)=1,1,0))</f>
        <v/>
      </c>
      <c r="AN573">
        <f>IF($AM573=1,SUMPRODUCT(--($AQ$2:$AQ$1001&lt;$AQ573))+1,"")</f>
        <v/>
      </c>
      <c r="AO573">
        <f>IF($D573="","",IF(OR($U573=TRUE(),$U573="TRUE"),1,0))</f>
        <v/>
      </c>
      <c r="AP573">
        <f>IF($D573="","",IF($AC573="Yes",1,0))</f>
        <v/>
      </c>
      <c r="AQ573">
        <f>IF($AM573=1,IFERROR(VALUE(MID($D573,2,20)),1000000000)+ROW()/100000,"")</f>
        <v/>
      </c>
    </row>
    <row r="574">
      <c r="G574" s="11" t="n"/>
      <c r="Q574" s="7">
        <f>IF($D574="","",P574*Y574/100)</f>
        <v/>
      </c>
      <c r="R574" s="7" t="n"/>
      <c r="X574" s="7" t="n"/>
      <c r="Y574" s="7" t="n"/>
      <c r="Z574" s="7">
        <f>IF($D574="","",Y574*AD574/100)</f>
        <v/>
      </c>
      <c r="AA574" s="7">
        <f>IF($D574="","",Y574-Z574)</f>
        <v/>
      </c>
      <c r="AB574" s="7">
        <f>IF($D574="","",AA574-Q574)</f>
        <v/>
      </c>
      <c r="AD574">
        <f>IF($D574="","",IF($AP574=1,0,IF($AO574=1,Settings!$C$6,Settings!$C$7))*100)</f>
        <v/>
      </c>
      <c r="AH574" s="7" t="n"/>
      <c r="AK574" s="11" t="n"/>
      <c r="AM574">
        <f>IF($D574="","",IF(COUNTIF($D$2:$D574,$D574)=1,1,0))</f>
        <v/>
      </c>
      <c r="AN574">
        <f>IF($AM574=1,SUMPRODUCT(--($AQ$2:$AQ$1001&lt;$AQ574))+1,"")</f>
        <v/>
      </c>
      <c r="AO574">
        <f>IF($D574="","",IF(OR($U574=TRUE(),$U574="TRUE"),1,0))</f>
        <v/>
      </c>
      <c r="AP574">
        <f>IF($D574="","",IF($AC574="Yes",1,0))</f>
        <v/>
      </c>
      <c r="AQ574">
        <f>IF($AM574=1,IFERROR(VALUE(MID($D574,2,20)),1000000000)+ROW()/100000,"")</f>
        <v/>
      </c>
    </row>
    <row r="575">
      <c r="G575" s="11" t="n"/>
      <c r="Q575" s="7">
        <f>IF($D575="","",P575*Y575/100)</f>
        <v/>
      </c>
      <c r="R575" s="7" t="n"/>
      <c r="X575" s="7" t="n"/>
      <c r="Y575" s="7" t="n"/>
      <c r="Z575" s="7">
        <f>IF($D575="","",Y575*AD575/100)</f>
        <v/>
      </c>
      <c r="AA575" s="7">
        <f>IF($D575="","",Y575-Z575)</f>
        <v/>
      </c>
      <c r="AB575" s="7">
        <f>IF($D575="","",AA575-Q575)</f>
        <v/>
      </c>
      <c r="AD575">
        <f>IF($D575="","",IF($AP575=1,0,IF($AO575=1,Settings!$C$6,Settings!$C$7))*100)</f>
        <v/>
      </c>
      <c r="AH575" s="7" t="n"/>
      <c r="AK575" s="11" t="n"/>
      <c r="AM575">
        <f>IF($D575="","",IF(COUNTIF($D$2:$D575,$D575)=1,1,0))</f>
        <v/>
      </c>
      <c r="AN575">
        <f>IF($AM575=1,SUMPRODUCT(--($AQ$2:$AQ$1001&lt;$AQ575))+1,"")</f>
        <v/>
      </c>
      <c r="AO575">
        <f>IF($D575="","",IF(OR($U575=TRUE(),$U575="TRUE"),1,0))</f>
        <v/>
      </c>
      <c r="AP575">
        <f>IF($D575="","",IF($AC575="Yes",1,0))</f>
        <v/>
      </c>
      <c r="AQ575">
        <f>IF($AM575=1,IFERROR(VALUE(MID($D575,2,20)),1000000000)+ROW()/100000,"")</f>
        <v/>
      </c>
    </row>
    <row r="576">
      <c r="G576" s="11" t="n"/>
      <c r="Q576" s="7">
        <f>IF($D576="","",P576*Y576/100)</f>
        <v/>
      </c>
      <c r="R576" s="7" t="n"/>
      <c r="X576" s="7" t="n"/>
      <c r="Y576" s="7" t="n"/>
      <c r="Z576" s="7">
        <f>IF($D576="","",Y576*AD576/100)</f>
        <v/>
      </c>
      <c r="AA576" s="7">
        <f>IF($D576="","",Y576-Z576)</f>
        <v/>
      </c>
      <c r="AB576" s="7">
        <f>IF($D576="","",AA576-Q576)</f>
        <v/>
      </c>
      <c r="AD576">
        <f>IF($D576="","",IF($AP576=1,0,IF($AO576=1,Settings!$C$6,Settings!$C$7))*100)</f>
        <v/>
      </c>
      <c r="AH576" s="7" t="n"/>
      <c r="AK576" s="11" t="n"/>
      <c r="AM576">
        <f>IF($D576="","",IF(COUNTIF($D$2:$D576,$D576)=1,1,0))</f>
        <v/>
      </c>
      <c r="AN576">
        <f>IF($AM576=1,SUMPRODUCT(--($AQ$2:$AQ$1001&lt;$AQ576))+1,"")</f>
        <v/>
      </c>
      <c r="AO576">
        <f>IF($D576="","",IF(OR($U576=TRUE(),$U576="TRUE"),1,0))</f>
        <v/>
      </c>
      <c r="AP576">
        <f>IF($D576="","",IF($AC576="Yes",1,0))</f>
        <v/>
      </c>
      <c r="AQ576">
        <f>IF($AM576=1,IFERROR(VALUE(MID($D576,2,20)),1000000000)+ROW()/100000,"")</f>
        <v/>
      </c>
    </row>
    <row r="577">
      <c r="G577" s="11" t="n"/>
      <c r="Q577" s="7">
        <f>IF($D577="","",P577*Y577/100)</f>
        <v/>
      </c>
      <c r="R577" s="7" t="n"/>
      <c r="X577" s="7" t="n"/>
      <c r="Y577" s="7" t="n"/>
      <c r="Z577" s="7">
        <f>IF($D577="","",Y577*AD577/100)</f>
        <v/>
      </c>
      <c r="AA577" s="7">
        <f>IF($D577="","",Y577-Z577)</f>
        <v/>
      </c>
      <c r="AB577" s="7">
        <f>IF($D577="","",AA577-Q577)</f>
        <v/>
      </c>
      <c r="AD577">
        <f>IF($D577="","",IF($AP577=1,0,IF($AO577=1,Settings!$C$6,Settings!$C$7))*100)</f>
        <v/>
      </c>
      <c r="AH577" s="7" t="n"/>
      <c r="AK577" s="11" t="n"/>
      <c r="AM577">
        <f>IF($D577="","",IF(COUNTIF($D$2:$D577,$D577)=1,1,0))</f>
        <v/>
      </c>
      <c r="AN577">
        <f>IF($AM577=1,SUMPRODUCT(--($AQ$2:$AQ$1001&lt;$AQ577))+1,"")</f>
        <v/>
      </c>
      <c r="AO577">
        <f>IF($D577="","",IF(OR($U577=TRUE(),$U577="TRUE"),1,0))</f>
        <v/>
      </c>
      <c r="AP577">
        <f>IF($D577="","",IF($AC577="Yes",1,0))</f>
        <v/>
      </c>
      <c r="AQ577">
        <f>IF($AM577=1,IFERROR(VALUE(MID($D577,2,20)),1000000000)+ROW()/100000,"")</f>
        <v/>
      </c>
    </row>
    <row r="578">
      <c r="G578" s="11" t="n"/>
      <c r="Q578" s="7">
        <f>IF($D578="","",P578*Y578/100)</f>
        <v/>
      </c>
      <c r="R578" s="7" t="n"/>
      <c r="X578" s="7" t="n"/>
      <c r="Y578" s="7" t="n"/>
      <c r="Z578" s="7">
        <f>IF($D578="","",Y578*AD578/100)</f>
        <v/>
      </c>
      <c r="AA578" s="7">
        <f>IF($D578="","",Y578-Z578)</f>
        <v/>
      </c>
      <c r="AB578" s="7">
        <f>IF($D578="","",AA578-Q578)</f>
        <v/>
      </c>
      <c r="AD578">
        <f>IF($D578="","",IF($AP578=1,0,IF($AO578=1,Settings!$C$6,Settings!$C$7))*100)</f>
        <v/>
      </c>
      <c r="AH578" s="7" t="n"/>
      <c r="AK578" s="11" t="n"/>
      <c r="AM578">
        <f>IF($D578="","",IF(COUNTIF($D$2:$D578,$D578)=1,1,0))</f>
        <v/>
      </c>
      <c r="AN578">
        <f>IF($AM578=1,SUMPRODUCT(--($AQ$2:$AQ$1001&lt;$AQ578))+1,"")</f>
        <v/>
      </c>
      <c r="AO578">
        <f>IF($D578="","",IF(OR($U578=TRUE(),$U578="TRUE"),1,0))</f>
        <v/>
      </c>
      <c r="AP578">
        <f>IF($D578="","",IF($AC578="Yes",1,0))</f>
        <v/>
      </c>
      <c r="AQ578">
        <f>IF($AM578=1,IFERROR(VALUE(MID($D578,2,20)),1000000000)+ROW()/100000,"")</f>
        <v/>
      </c>
    </row>
    <row r="579">
      <c r="G579" s="11" t="n"/>
      <c r="Q579" s="7">
        <f>IF($D579="","",P579*Y579/100)</f>
        <v/>
      </c>
      <c r="R579" s="7" t="n"/>
      <c r="X579" s="7" t="n"/>
      <c r="Y579" s="7" t="n"/>
      <c r="Z579" s="7">
        <f>IF($D579="","",Y579*AD579/100)</f>
        <v/>
      </c>
      <c r="AA579" s="7">
        <f>IF($D579="","",Y579-Z579)</f>
        <v/>
      </c>
      <c r="AB579" s="7">
        <f>IF($D579="","",AA579-Q579)</f>
        <v/>
      </c>
      <c r="AD579">
        <f>IF($D579="","",IF($AP579=1,0,IF($AO579=1,Settings!$C$6,Settings!$C$7))*100)</f>
        <v/>
      </c>
      <c r="AH579" s="7" t="n"/>
      <c r="AK579" s="11" t="n"/>
      <c r="AM579">
        <f>IF($D579="","",IF(COUNTIF($D$2:$D579,$D579)=1,1,0))</f>
        <v/>
      </c>
      <c r="AN579">
        <f>IF($AM579=1,SUMPRODUCT(--($AQ$2:$AQ$1001&lt;$AQ579))+1,"")</f>
        <v/>
      </c>
      <c r="AO579">
        <f>IF($D579="","",IF(OR($U579=TRUE(),$U579="TRUE"),1,0))</f>
        <v/>
      </c>
      <c r="AP579">
        <f>IF($D579="","",IF($AC579="Yes",1,0))</f>
        <v/>
      </c>
      <c r="AQ579">
        <f>IF($AM579=1,IFERROR(VALUE(MID($D579,2,20)),1000000000)+ROW()/100000,"")</f>
        <v/>
      </c>
    </row>
    <row r="580">
      <c r="G580" s="11" t="n"/>
      <c r="Q580" s="7">
        <f>IF($D580="","",P580*Y580/100)</f>
        <v/>
      </c>
      <c r="R580" s="7" t="n"/>
      <c r="X580" s="7" t="n"/>
      <c r="Y580" s="7" t="n"/>
      <c r="Z580" s="7">
        <f>IF($D580="","",Y580*AD580/100)</f>
        <v/>
      </c>
      <c r="AA580" s="7">
        <f>IF($D580="","",Y580-Z580)</f>
        <v/>
      </c>
      <c r="AB580" s="7">
        <f>IF($D580="","",AA580-Q580)</f>
        <v/>
      </c>
      <c r="AD580">
        <f>IF($D580="","",IF($AP580=1,0,IF($AO580=1,Settings!$C$6,Settings!$C$7))*100)</f>
        <v/>
      </c>
      <c r="AH580" s="7" t="n"/>
      <c r="AK580" s="11" t="n"/>
      <c r="AM580">
        <f>IF($D580="","",IF(COUNTIF($D$2:$D580,$D580)=1,1,0))</f>
        <v/>
      </c>
      <c r="AN580">
        <f>IF($AM580=1,SUMPRODUCT(--($AQ$2:$AQ$1001&lt;$AQ580))+1,"")</f>
        <v/>
      </c>
      <c r="AO580">
        <f>IF($D580="","",IF(OR($U580=TRUE(),$U580="TRUE"),1,0))</f>
        <v/>
      </c>
      <c r="AP580">
        <f>IF($D580="","",IF($AC580="Yes",1,0))</f>
        <v/>
      </c>
      <c r="AQ580">
        <f>IF($AM580=1,IFERROR(VALUE(MID($D580,2,20)),1000000000)+ROW()/100000,"")</f>
        <v/>
      </c>
    </row>
    <row r="581">
      <c r="G581" s="11" t="n"/>
      <c r="Q581" s="7">
        <f>IF($D581="","",P581*Y581/100)</f>
        <v/>
      </c>
      <c r="R581" s="7" t="n"/>
      <c r="X581" s="7" t="n"/>
      <c r="Y581" s="7" t="n"/>
      <c r="Z581" s="7">
        <f>IF($D581="","",Y581*AD581/100)</f>
        <v/>
      </c>
      <c r="AA581" s="7">
        <f>IF($D581="","",Y581-Z581)</f>
        <v/>
      </c>
      <c r="AB581" s="7">
        <f>IF($D581="","",AA581-Q581)</f>
        <v/>
      </c>
      <c r="AD581">
        <f>IF($D581="","",IF($AP581=1,0,IF($AO581=1,Settings!$C$6,Settings!$C$7))*100)</f>
        <v/>
      </c>
      <c r="AH581" s="7" t="n"/>
      <c r="AK581" s="11" t="n"/>
      <c r="AM581">
        <f>IF($D581="","",IF(COUNTIF($D$2:$D581,$D581)=1,1,0))</f>
        <v/>
      </c>
      <c r="AN581">
        <f>IF($AM581=1,SUMPRODUCT(--($AQ$2:$AQ$1001&lt;$AQ581))+1,"")</f>
        <v/>
      </c>
      <c r="AO581">
        <f>IF($D581="","",IF(OR($U581=TRUE(),$U581="TRUE"),1,0))</f>
        <v/>
      </c>
      <c r="AP581">
        <f>IF($D581="","",IF($AC581="Yes",1,0))</f>
        <v/>
      </c>
      <c r="AQ581">
        <f>IF($AM581=1,IFERROR(VALUE(MID($D581,2,20)),1000000000)+ROW()/100000,"")</f>
        <v/>
      </c>
    </row>
    <row r="582">
      <c r="G582" s="11" t="n"/>
      <c r="Q582" s="7">
        <f>IF($D582="","",P582*Y582/100)</f>
        <v/>
      </c>
      <c r="R582" s="7" t="n"/>
      <c r="X582" s="7" t="n"/>
      <c r="Y582" s="7" t="n"/>
      <c r="Z582" s="7">
        <f>IF($D582="","",Y582*AD582/100)</f>
        <v/>
      </c>
      <c r="AA582" s="7">
        <f>IF($D582="","",Y582-Z582)</f>
        <v/>
      </c>
      <c r="AB582" s="7">
        <f>IF($D582="","",AA582-Q582)</f>
        <v/>
      </c>
      <c r="AD582">
        <f>IF($D582="","",IF($AP582=1,0,IF($AO582=1,Settings!$C$6,Settings!$C$7))*100)</f>
        <v/>
      </c>
      <c r="AH582" s="7" t="n"/>
      <c r="AK582" s="11" t="n"/>
      <c r="AM582">
        <f>IF($D582="","",IF(COUNTIF($D$2:$D582,$D582)=1,1,0))</f>
        <v/>
      </c>
      <c r="AN582">
        <f>IF($AM582=1,SUMPRODUCT(--($AQ$2:$AQ$1001&lt;$AQ582))+1,"")</f>
        <v/>
      </c>
      <c r="AO582">
        <f>IF($D582="","",IF(OR($U582=TRUE(),$U582="TRUE"),1,0))</f>
        <v/>
      </c>
      <c r="AP582">
        <f>IF($D582="","",IF($AC582="Yes",1,0))</f>
        <v/>
      </c>
      <c r="AQ582">
        <f>IF($AM582=1,IFERROR(VALUE(MID($D582,2,20)),1000000000)+ROW()/100000,"")</f>
        <v/>
      </c>
    </row>
    <row r="583">
      <c r="G583" s="11" t="n"/>
      <c r="Q583" s="7">
        <f>IF($D583="","",P583*Y583/100)</f>
        <v/>
      </c>
      <c r="R583" s="7" t="n"/>
      <c r="X583" s="7" t="n"/>
      <c r="Y583" s="7" t="n"/>
      <c r="Z583" s="7">
        <f>IF($D583="","",Y583*AD583/100)</f>
        <v/>
      </c>
      <c r="AA583" s="7">
        <f>IF($D583="","",Y583-Z583)</f>
        <v/>
      </c>
      <c r="AB583" s="7">
        <f>IF($D583="","",AA583-Q583)</f>
        <v/>
      </c>
      <c r="AD583">
        <f>IF($D583="","",IF($AP583=1,0,IF($AO583=1,Settings!$C$6,Settings!$C$7))*100)</f>
        <v/>
      </c>
      <c r="AH583" s="7" t="n"/>
      <c r="AK583" s="11" t="n"/>
      <c r="AM583">
        <f>IF($D583="","",IF(COUNTIF($D$2:$D583,$D583)=1,1,0))</f>
        <v/>
      </c>
      <c r="AN583">
        <f>IF($AM583=1,SUMPRODUCT(--($AQ$2:$AQ$1001&lt;$AQ583))+1,"")</f>
        <v/>
      </c>
      <c r="AO583">
        <f>IF($D583="","",IF(OR($U583=TRUE(),$U583="TRUE"),1,0))</f>
        <v/>
      </c>
      <c r="AP583">
        <f>IF($D583="","",IF($AC583="Yes",1,0))</f>
        <v/>
      </c>
      <c r="AQ583">
        <f>IF($AM583=1,IFERROR(VALUE(MID($D583,2,20)),1000000000)+ROW()/100000,"")</f>
        <v/>
      </c>
    </row>
    <row r="584">
      <c r="G584" s="11" t="n"/>
      <c r="Q584" s="7">
        <f>IF($D584="","",P584*Y584/100)</f>
        <v/>
      </c>
      <c r="R584" s="7" t="n"/>
      <c r="X584" s="7" t="n"/>
      <c r="Y584" s="7" t="n"/>
      <c r="Z584" s="7">
        <f>IF($D584="","",Y584*AD584/100)</f>
        <v/>
      </c>
      <c r="AA584" s="7">
        <f>IF($D584="","",Y584-Z584)</f>
        <v/>
      </c>
      <c r="AB584" s="7">
        <f>IF($D584="","",AA584-Q584)</f>
        <v/>
      </c>
      <c r="AD584">
        <f>IF($D584="","",IF($AP584=1,0,IF($AO584=1,Settings!$C$6,Settings!$C$7))*100)</f>
        <v/>
      </c>
      <c r="AH584" s="7" t="n"/>
      <c r="AK584" s="11" t="n"/>
      <c r="AM584">
        <f>IF($D584="","",IF(COUNTIF($D$2:$D584,$D584)=1,1,0))</f>
        <v/>
      </c>
      <c r="AN584">
        <f>IF($AM584=1,SUMPRODUCT(--($AQ$2:$AQ$1001&lt;$AQ584))+1,"")</f>
        <v/>
      </c>
      <c r="AO584">
        <f>IF($D584="","",IF(OR($U584=TRUE(),$U584="TRUE"),1,0))</f>
        <v/>
      </c>
      <c r="AP584">
        <f>IF($D584="","",IF($AC584="Yes",1,0))</f>
        <v/>
      </c>
      <c r="AQ584">
        <f>IF($AM584=1,IFERROR(VALUE(MID($D584,2,20)),1000000000)+ROW()/100000,"")</f>
        <v/>
      </c>
    </row>
    <row r="585">
      <c r="G585" s="11" t="n"/>
      <c r="Q585" s="7">
        <f>IF($D585="","",P585*Y585/100)</f>
        <v/>
      </c>
      <c r="R585" s="7" t="n"/>
      <c r="X585" s="7" t="n"/>
      <c r="Y585" s="7" t="n"/>
      <c r="Z585" s="7">
        <f>IF($D585="","",Y585*AD585/100)</f>
        <v/>
      </c>
      <c r="AA585" s="7">
        <f>IF($D585="","",Y585-Z585)</f>
        <v/>
      </c>
      <c r="AB585" s="7">
        <f>IF($D585="","",AA585-Q585)</f>
        <v/>
      </c>
      <c r="AD585">
        <f>IF($D585="","",IF($AP585=1,0,IF($AO585=1,Settings!$C$6,Settings!$C$7))*100)</f>
        <v/>
      </c>
      <c r="AH585" s="7" t="n"/>
      <c r="AK585" s="11" t="n"/>
      <c r="AM585">
        <f>IF($D585="","",IF(COUNTIF($D$2:$D585,$D585)=1,1,0))</f>
        <v/>
      </c>
      <c r="AN585">
        <f>IF($AM585=1,SUMPRODUCT(--($AQ$2:$AQ$1001&lt;$AQ585))+1,"")</f>
        <v/>
      </c>
      <c r="AO585">
        <f>IF($D585="","",IF(OR($U585=TRUE(),$U585="TRUE"),1,0))</f>
        <v/>
      </c>
      <c r="AP585">
        <f>IF($D585="","",IF($AC585="Yes",1,0))</f>
        <v/>
      </c>
      <c r="AQ585">
        <f>IF($AM585=1,IFERROR(VALUE(MID($D585,2,20)),1000000000)+ROW()/100000,"")</f>
        <v/>
      </c>
    </row>
    <row r="586">
      <c r="G586" s="11" t="n"/>
      <c r="Q586" s="7">
        <f>IF($D586="","",P586*Y586/100)</f>
        <v/>
      </c>
      <c r="R586" s="7" t="n"/>
      <c r="X586" s="7" t="n"/>
      <c r="Y586" s="7" t="n"/>
      <c r="Z586" s="7">
        <f>IF($D586="","",Y586*AD586/100)</f>
        <v/>
      </c>
      <c r="AA586" s="7">
        <f>IF($D586="","",Y586-Z586)</f>
        <v/>
      </c>
      <c r="AB586" s="7">
        <f>IF($D586="","",AA586-Q586)</f>
        <v/>
      </c>
      <c r="AD586">
        <f>IF($D586="","",IF($AP586=1,0,IF($AO586=1,Settings!$C$6,Settings!$C$7))*100)</f>
        <v/>
      </c>
      <c r="AH586" s="7" t="n"/>
      <c r="AK586" s="11" t="n"/>
      <c r="AM586">
        <f>IF($D586="","",IF(COUNTIF($D$2:$D586,$D586)=1,1,0))</f>
        <v/>
      </c>
      <c r="AN586">
        <f>IF($AM586=1,SUMPRODUCT(--($AQ$2:$AQ$1001&lt;$AQ586))+1,"")</f>
        <v/>
      </c>
      <c r="AO586">
        <f>IF($D586="","",IF(OR($U586=TRUE(),$U586="TRUE"),1,0))</f>
        <v/>
      </c>
      <c r="AP586">
        <f>IF($D586="","",IF($AC586="Yes",1,0))</f>
        <v/>
      </c>
      <c r="AQ586">
        <f>IF($AM586=1,IFERROR(VALUE(MID($D586,2,20)),1000000000)+ROW()/100000,"")</f>
        <v/>
      </c>
    </row>
    <row r="587">
      <c r="G587" s="11" t="n"/>
      <c r="Q587" s="7">
        <f>IF($D587="","",P587*Y587/100)</f>
        <v/>
      </c>
      <c r="R587" s="7" t="n"/>
      <c r="X587" s="7" t="n"/>
      <c r="Y587" s="7" t="n"/>
      <c r="Z587" s="7">
        <f>IF($D587="","",Y587*AD587/100)</f>
        <v/>
      </c>
      <c r="AA587" s="7">
        <f>IF($D587="","",Y587-Z587)</f>
        <v/>
      </c>
      <c r="AB587" s="7">
        <f>IF($D587="","",AA587-Q587)</f>
        <v/>
      </c>
      <c r="AD587">
        <f>IF($D587="","",IF($AP587=1,0,IF($AO587=1,Settings!$C$6,Settings!$C$7))*100)</f>
        <v/>
      </c>
      <c r="AH587" s="7" t="n"/>
      <c r="AK587" s="11" t="n"/>
      <c r="AM587">
        <f>IF($D587="","",IF(COUNTIF($D$2:$D587,$D587)=1,1,0))</f>
        <v/>
      </c>
      <c r="AN587">
        <f>IF($AM587=1,SUMPRODUCT(--($AQ$2:$AQ$1001&lt;$AQ587))+1,"")</f>
        <v/>
      </c>
      <c r="AO587">
        <f>IF($D587="","",IF(OR($U587=TRUE(),$U587="TRUE"),1,0))</f>
        <v/>
      </c>
      <c r="AP587">
        <f>IF($D587="","",IF($AC587="Yes",1,0))</f>
        <v/>
      </c>
      <c r="AQ587">
        <f>IF($AM587=1,IFERROR(VALUE(MID($D587,2,20)),1000000000)+ROW()/100000,"")</f>
        <v/>
      </c>
    </row>
    <row r="588">
      <c r="G588" s="11" t="n"/>
      <c r="Q588" s="7">
        <f>IF($D588="","",P588*Y588/100)</f>
        <v/>
      </c>
      <c r="R588" s="7" t="n"/>
      <c r="X588" s="7" t="n"/>
      <c r="Y588" s="7" t="n"/>
      <c r="Z588" s="7">
        <f>IF($D588="","",Y588*AD588/100)</f>
        <v/>
      </c>
      <c r="AA588" s="7">
        <f>IF($D588="","",Y588-Z588)</f>
        <v/>
      </c>
      <c r="AB588" s="7">
        <f>IF($D588="","",AA588-Q588)</f>
        <v/>
      </c>
      <c r="AD588">
        <f>IF($D588="","",IF($AP588=1,0,IF($AO588=1,Settings!$C$6,Settings!$C$7))*100)</f>
        <v/>
      </c>
      <c r="AH588" s="7" t="n"/>
      <c r="AK588" s="11" t="n"/>
      <c r="AM588">
        <f>IF($D588="","",IF(COUNTIF($D$2:$D588,$D588)=1,1,0))</f>
        <v/>
      </c>
      <c r="AN588">
        <f>IF($AM588=1,SUMPRODUCT(--($AQ$2:$AQ$1001&lt;$AQ588))+1,"")</f>
        <v/>
      </c>
      <c r="AO588">
        <f>IF($D588="","",IF(OR($U588=TRUE(),$U588="TRUE"),1,0))</f>
        <v/>
      </c>
      <c r="AP588">
        <f>IF($D588="","",IF($AC588="Yes",1,0))</f>
        <v/>
      </c>
      <c r="AQ588">
        <f>IF($AM588=1,IFERROR(VALUE(MID($D588,2,20)),1000000000)+ROW()/100000,"")</f>
        <v/>
      </c>
    </row>
    <row r="589">
      <c r="G589" s="11" t="n"/>
      <c r="Q589" s="7">
        <f>IF($D589="","",P589*Y589/100)</f>
        <v/>
      </c>
      <c r="R589" s="7" t="n"/>
      <c r="X589" s="7" t="n"/>
      <c r="Y589" s="7" t="n"/>
      <c r="Z589" s="7">
        <f>IF($D589="","",Y589*AD589/100)</f>
        <v/>
      </c>
      <c r="AA589" s="7">
        <f>IF($D589="","",Y589-Z589)</f>
        <v/>
      </c>
      <c r="AB589" s="7">
        <f>IF($D589="","",AA589-Q589)</f>
        <v/>
      </c>
      <c r="AD589">
        <f>IF($D589="","",IF($AP589=1,0,IF($AO589=1,Settings!$C$6,Settings!$C$7))*100)</f>
        <v/>
      </c>
      <c r="AH589" s="7" t="n"/>
      <c r="AK589" s="11" t="n"/>
      <c r="AM589">
        <f>IF($D589="","",IF(COUNTIF($D$2:$D589,$D589)=1,1,0))</f>
        <v/>
      </c>
      <c r="AN589">
        <f>IF($AM589=1,SUMPRODUCT(--($AQ$2:$AQ$1001&lt;$AQ589))+1,"")</f>
        <v/>
      </c>
      <c r="AO589">
        <f>IF($D589="","",IF(OR($U589=TRUE(),$U589="TRUE"),1,0))</f>
        <v/>
      </c>
      <c r="AP589">
        <f>IF($D589="","",IF($AC589="Yes",1,0))</f>
        <v/>
      </c>
      <c r="AQ589">
        <f>IF($AM589=1,IFERROR(VALUE(MID($D589,2,20)),1000000000)+ROW()/100000,"")</f>
        <v/>
      </c>
    </row>
    <row r="590">
      <c r="G590" s="11" t="n"/>
      <c r="Q590" s="7">
        <f>IF($D590="","",P590*Y590/100)</f>
        <v/>
      </c>
      <c r="R590" s="7" t="n"/>
      <c r="X590" s="7" t="n"/>
      <c r="Y590" s="7" t="n"/>
      <c r="Z590" s="7">
        <f>IF($D590="","",Y590*AD590/100)</f>
        <v/>
      </c>
      <c r="AA590" s="7">
        <f>IF($D590="","",Y590-Z590)</f>
        <v/>
      </c>
      <c r="AB590" s="7">
        <f>IF($D590="","",AA590-Q590)</f>
        <v/>
      </c>
      <c r="AD590">
        <f>IF($D590="","",IF($AP590=1,0,IF($AO590=1,Settings!$C$6,Settings!$C$7))*100)</f>
        <v/>
      </c>
      <c r="AH590" s="7" t="n"/>
      <c r="AK590" s="11" t="n"/>
      <c r="AM590">
        <f>IF($D590="","",IF(COUNTIF($D$2:$D590,$D590)=1,1,0))</f>
        <v/>
      </c>
      <c r="AN590">
        <f>IF($AM590=1,SUMPRODUCT(--($AQ$2:$AQ$1001&lt;$AQ590))+1,"")</f>
        <v/>
      </c>
      <c r="AO590">
        <f>IF($D590="","",IF(OR($U590=TRUE(),$U590="TRUE"),1,0))</f>
        <v/>
      </c>
      <c r="AP590">
        <f>IF($D590="","",IF($AC590="Yes",1,0))</f>
        <v/>
      </c>
      <c r="AQ590">
        <f>IF($AM590=1,IFERROR(VALUE(MID($D590,2,20)),1000000000)+ROW()/100000,"")</f>
        <v/>
      </c>
    </row>
    <row r="591">
      <c r="G591" s="11" t="n"/>
      <c r="Q591" s="7">
        <f>IF($D591="","",P591*Y591/100)</f>
        <v/>
      </c>
      <c r="R591" s="7" t="n"/>
      <c r="X591" s="7" t="n"/>
      <c r="Y591" s="7" t="n"/>
      <c r="Z591" s="7">
        <f>IF($D591="","",Y591*AD591/100)</f>
        <v/>
      </c>
      <c r="AA591" s="7">
        <f>IF($D591="","",Y591-Z591)</f>
        <v/>
      </c>
      <c r="AB591" s="7">
        <f>IF($D591="","",AA591-Q591)</f>
        <v/>
      </c>
      <c r="AD591">
        <f>IF($D591="","",IF($AP591=1,0,IF($AO591=1,Settings!$C$6,Settings!$C$7))*100)</f>
        <v/>
      </c>
      <c r="AH591" s="7" t="n"/>
      <c r="AK591" s="11" t="n"/>
      <c r="AM591">
        <f>IF($D591="","",IF(COUNTIF($D$2:$D591,$D591)=1,1,0))</f>
        <v/>
      </c>
      <c r="AN591">
        <f>IF($AM591=1,SUMPRODUCT(--($AQ$2:$AQ$1001&lt;$AQ591))+1,"")</f>
        <v/>
      </c>
      <c r="AO591">
        <f>IF($D591="","",IF(OR($U591=TRUE(),$U591="TRUE"),1,0))</f>
        <v/>
      </c>
      <c r="AP591">
        <f>IF($D591="","",IF($AC591="Yes",1,0))</f>
        <v/>
      </c>
      <c r="AQ591">
        <f>IF($AM591=1,IFERROR(VALUE(MID($D591,2,20)),1000000000)+ROW()/100000,"")</f>
        <v/>
      </c>
    </row>
    <row r="592">
      <c r="G592" s="11" t="n"/>
      <c r="Q592" s="7">
        <f>IF($D592="","",P592*Y592/100)</f>
        <v/>
      </c>
      <c r="R592" s="7" t="n"/>
      <c r="X592" s="7" t="n"/>
      <c r="Y592" s="7" t="n"/>
      <c r="Z592" s="7">
        <f>IF($D592="","",Y592*AD592/100)</f>
        <v/>
      </c>
      <c r="AA592" s="7">
        <f>IF($D592="","",Y592-Z592)</f>
        <v/>
      </c>
      <c r="AB592" s="7">
        <f>IF($D592="","",AA592-Q592)</f>
        <v/>
      </c>
      <c r="AD592">
        <f>IF($D592="","",IF($AP592=1,0,IF($AO592=1,Settings!$C$6,Settings!$C$7))*100)</f>
        <v/>
      </c>
      <c r="AH592" s="7" t="n"/>
      <c r="AK592" s="11" t="n"/>
      <c r="AM592">
        <f>IF($D592="","",IF(COUNTIF($D$2:$D592,$D592)=1,1,0))</f>
        <v/>
      </c>
      <c r="AN592">
        <f>IF($AM592=1,SUMPRODUCT(--($AQ$2:$AQ$1001&lt;$AQ592))+1,"")</f>
        <v/>
      </c>
      <c r="AO592">
        <f>IF($D592="","",IF(OR($U592=TRUE(),$U592="TRUE"),1,0))</f>
        <v/>
      </c>
      <c r="AP592">
        <f>IF($D592="","",IF($AC592="Yes",1,0))</f>
        <v/>
      </c>
      <c r="AQ592">
        <f>IF($AM592=1,IFERROR(VALUE(MID($D592,2,20)),1000000000)+ROW()/100000,"")</f>
        <v/>
      </c>
    </row>
    <row r="593">
      <c r="G593" s="11" t="n"/>
      <c r="Q593" s="7">
        <f>IF($D593="","",P593*Y593/100)</f>
        <v/>
      </c>
      <c r="R593" s="7" t="n"/>
      <c r="X593" s="7" t="n"/>
      <c r="Y593" s="7" t="n"/>
      <c r="Z593" s="7">
        <f>IF($D593="","",Y593*AD593/100)</f>
        <v/>
      </c>
      <c r="AA593" s="7">
        <f>IF($D593="","",Y593-Z593)</f>
        <v/>
      </c>
      <c r="AB593" s="7">
        <f>IF($D593="","",AA593-Q593)</f>
        <v/>
      </c>
      <c r="AD593">
        <f>IF($D593="","",IF($AP593=1,0,IF($AO593=1,Settings!$C$6,Settings!$C$7))*100)</f>
        <v/>
      </c>
      <c r="AH593" s="7" t="n"/>
      <c r="AK593" s="11" t="n"/>
      <c r="AM593">
        <f>IF($D593="","",IF(COUNTIF($D$2:$D593,$D593)=1,1,0))</f>
        <v/>
      </c>
      <c r="AN593">
        <f>IF($AM593=1,SUMPRODUCT(--($AQ$2:$AQ$1001&lt;$AQ593))+1,"")</f>
        <v/>
      </c>
      <c r="AO593">
        <f>IF($D593="","",IF(OR($U593=TRUE(),$U593="TRUE"),1,0))</f>
        <v/>
      </c>
      <c r="AP593">
        <f>IF($D593="","",IF($AC593="Yes",1,0))</f>
        <v/>
      </c>
      <c r="AQ593">
        <f>IF($AM593=1,IFERROR(VALUE(MID($D593,2,20)),1000000000)+ROW()/100000,"")</f>
        <v/>
      </c>
    </row>
    <row r="594">
      <c r="G594" s="11" t="n"/>
      <c r="Q594" s="7">
        <f>IF($D594="","",P594*Y594/100)</f>
        <v/>
      </c>
      <c r="R594" s="7" t="n"/>
      <c r="X594" s="7" t="n"/>
      <c r="Y594" s="7" t="n"/>
      <c r="Z594" s="7">
        <f>IF($D594="","",Y594*AD594/100)</f>
        <v/>
      </c>
      <c r="AA594" s="7">
        <f>IF($D594="","",Y594-Z594)</f>
        <v/>
      </c>
      <c r="AB594" s="7">
        <f>IF($D594="","",AA594-Q594)</f>
        <v/>
      </c>
      <c r="AD594">
        <f>IF($D594="","",IF($AP594=1,0,IF($AO594=1,Settings!$C$6,Settings!$C$7))*100)</f>
        <v/>
      </c>
      <c r="AH594" s="7" t="n"/>
      <c r="AK594" s="11" t="n"/>
      <c r="AM594">
        <f>IF($D594="","",IF(COUNTIF($D$2:$D594,$D594)=1,1,0))</f>
        <v/>
      </c>
      <c r="AN594">
        <f>IF($AM594=1,SUMPRODUCT(--($AQ$2:$AQ$1001&lt;$AQ594))+1,"")</f>
        <v/>
      </c>
      <c r="AO594">
        <f>IF($D594="","",IF(OR($U594=TRUE(),$U594="TRUE"),1,0))</f>
        <v/>
      </c>
      <c r="AP594">
        <f>IF($D594="","",IF($AC594="Yes",1,0))</f>
        <v/>
      </c>
      <c r="AQ594">
        <f>IF($AM594=1,IFERROR(VALUE(MID($D594,2,20)),1000000000)+ROW()/100000,"")</f>
        <v/>
      </c>
    </row>
    <row r="595">
      <c r="G595" s="11" t="n"/>
      <c r="Q595" s="7">
        <f>IF($D595="","",P595*Y595/100)</f>
        <v/>
      </c>
      <c r="R595" s="7" t="n"/>
      <c r="X595" s="7" t="n"/>
      <c r="Y595" s="7" t="n"/>
      <c r="Z595" s="7">
        <f>IF($D595="","",Y595*AD595/100)</f>
        <v/>
      </c>
      <c r="AA595" s="7">
        <f>IF($D595="","",Y595-Z595)</f>
        <v/>
      </c>
      <c r="AB595" s="7">
        <f>IF($D595="","",AA595-Q595)</f>
        <v/>
      </c>
      <c r="AD595">
        <f>IF($D595="","",IF($AP595=1,0,IF($AO595=1,Settings!$C$6,Settings!$C$7))*100)</f>
        <v/>
      </c>
      <c r="AH595" s="7" t="n"/>
      <c r="AK595" s="11" t="n"/>
      <c r="AM595">
        <f>IF($D595="","",IF(COUNTIF($D$2:$D595,$D595)=1,1,0))</f>
        <v/>
      </c>
      <c r="AN595">
        <f>IF($AM595=1,SUMPRODUCT(--($AQ$2:$AQ$1001&lt;$AQ595))+1,"")</f>
        <v/>
      </c>
      <c r="AO595">
        <f>IF($D595="","",IF(OR($U595=TRUE(),$U595="TRUE"),1,0))</f>
        <v/>
      </c>
      <c r="AP595">
        <f>IF($D595="","",IF($AC595="Yes",1,0))</f>
        <v/>
      </c>
      <c r="AQ595">
        <f>IF($AM595=1,IFERROR(VALUE(MID($D595,2,20)),1000000000)+ROW()/100000,"")</f>
        <v/>
      </c>
    </row>
    <row r="596">
      <c r="G596" s="11" t="n"/>
      <c r="Q596" s="7">
        <f>IF($D596="","",P596*Y596/100)</f>
        <v/>
      </c>
      <c r="R596" s="7" t="n"/>
      <c r="X596" s="7" t="n"/>
      <c r="Y596" s="7" t="n"/>
      <c r="Z596" s="7">
        <f>IF($D596="","",Y596*AD596/100)</f>
        <v/>
      </c>
      <c r="AA596" s="7">
        <f>IF($D596="","",Y596-Z596)</f>
        <v/>
      </c>
      <c r="AB596" s="7">
        <f>IF($D596="","",AA596-Q596)</f>
        <v/>
      </c>
      <c r="AD596">
        <f>IF($D596="","",IF($AP596=1,0,IF($AO596=1,Settings!$C$6,Settings!$C$7))*100)</f>
        <v/>
      </c>
      <c r="AH596" s="7" t="n"/>
      <c r="AK596" s="11" t="n"/>
      <c r="AM596">
        <f>IF($D596="","",IF(COUNTIF($D$2:$D596,$D596)=1,1,0))</f>
        <v/>
      </c>
      <c r="AN596">
        <f>IF($AM596=1,SUMPRODUCT(--($AQ$2:$AQ$1001&lt;$AQ596))+1,"")</f>
        <v/>
      </c>
      <c r="AO596">
        <f>IF($D596="","",IF(OR($U596=TRUE(),$U596="TRUE"),1,0))</f>
        <v/>
      </c>
      <c r="AP596">
        <f>IF($D596="","",IF($AC596="Yes",1,0))</f>
        <v/>
      </c>
      <c r="AQ596">
        <f>IF($AM596=1,IFERROR(VALUE(MID($D596,2,20)),1000000000)+ROW()/100000,"")</f>
        <v/>
      </c>
    </row>
    <row r="597">
      <c r="G597" s="11" t="n"/>
      <c r="Q597" s="7">
        <f>IF($D597="","",P597*Y597/100)</f>
        <v/>
      </c>
      <c r="R597" s="7" t="n"/>
      <c r="X597" s="7" t="n"/>
      <c r="Y597" s="7" t="n"/>
      <c r="Z597" s="7">
        <f>IF($D597="","",Y597*AD597/100)</f>
        <v/>
      </c>
      <c r="AA597" s="7">
        <f>IF($D597="","",Y597-Z597)</f>
        <v/>
      </c>
      <c r="AB597" s="7">
        <f>IF($D597="","",AA597-Q597)</f>
        <v/>
      </c>
      <c r="AD597">
        <f>IF($D597="","",IF($AP597=1,0,IF($AO597=1,Settings!$C$6,Settings!$C$7))*100)</f>
        <v/>
      </c>
      <c r="AH597" s="7" t="n"/>
      <c r="AK597" s="11" t="n"/>
      <c r="AM597">
        <f>IF($D597="","",IF(COUNTIF($D$2:$D597,$D597)=1,1,0))</f>
        <v/>
      </c>
      <c r="AN597">
        <f>IF($AM597=1,SUMPRODUCT(--($AQ$2:$AQ$1001&lt;$AQ597))+1,"")</f>
        <v/>
      </c>
      <c r="AO597">
        <f>IF($D597="","",IF(OR($U597=TRUE(),$U597="TRUE"),1,0))</f>
        <v/>
      </c>
      <c r="AP597">
        <f>IF($D597="","",IF($AC597="Yes",1,0))</f>
        <v/>
      </c>
      <c r="AQ597">
        <f>IF($AM597=1,IFERROR(VALUE(MID($D597,2,20)),1000000000)+ROW()/100000,"")</f>
        <v/>
      </c>
    </row>
    <row r="598">
      <c r="G598" s="11" t="n"/>
      <c r="Q598" s="7">
        <f>IF($D598="","",P598*Y598/100)</f>
        <v/>
      </c>
      <c r="R598" s="7" t="n"/>
      <c r="X598" s="7" t="n"/>
      <c r="Y598" s="7" t="n"/>
      <c r="Z598" s="7">
        <f>IF($D598="","",Y598*AD598/100)</f>
        <v/>
      </c>
      <c r="AA598" s="7">
        <f>IF($D598="","",Y598-Z598)</f>
        <v/>
      </c>
      <c r="AB598" s="7">
        <f>IF($D598="","",AA598-Q598)</f>
        <v/>
      </c>
      <c r="AD598">
        <f>IF($D598="","",IF($AP598=1,0,IF($AO598=1,Settings!$C$6,Settings!$C$7))*100)</f>
        <v/>
      </c>
      <c r="AH598" s="7" t="n"/>
      <c r="AK598" s="11" t="n"/>
      <c r="AM598">
        <f>IF($D598="","",IF(COUNTIF($D$2:$D598,$D598)=1,1,0))</f>
        <v/>
      </c>
      <c r="AN598">
        <f>IF($AM598=1,SUMPRODUCT(--($AQ$2:$AQ$1001&lt;$AQ598))+1,"")</f>
        <v/>
      </c>
      <c r="AO598">
        <f>IF($D598="","",IF(OR($U598=TRUE(),$U598="TRUE"),1,0))</f>
        <v/>
      </c>
      <c r="AP598">
        <f>IF($D598="","",IF($AC598="Yes",1,0))</f>
        <v/>
      </c>
      <c r="AQ598">
        <f>IF($AM598=1,IFERROR(VALUE(MID($D598,2,20)),1000000000)+ROW()/100000,"")</f>
        <v/>
      </c>
    </row>
    <row r="599">
      <c r="G599" s="11" t="n"/>
      <c r="Q599" s="7">
        <f>IF($D599="","",P599*Y599/100)</f>
        <v/>
      </c>
      <c r="R599" s="7" t="n"/>
      <c r="X599" s="7" t="n"/>
      <c r="Y599" s="7" t="n"/>
      <c r="Z599" s="7">
        <f>IF($D599="","",Y599*AD599/100)</f>
        <v/>
      </c>
      <c r="AA599" s="7">
        <f>IF($D599="","",Y599-Z599)</f>
        <v/>
      </c>
      <c r="AB599" s="7">
        <f>IF($D599="","",AA599-Q599)</f>
        <v/>
      </c>
      <c r="AD599">
        <f>IF($D599="","",IF($AP599=1,0,IF($AO599=1,Settings!$C$6,Settings!$C$7))*100)</f>
        <v/>
      </c>
      <c r="AH599" s="7" t="n"/>
      <c r="AK599" s="11" t="n"/>
      <c r="AM599">
        <f>IF($D599="","",IF(COUNTIF($D$2:$D599,$D599)=1,1,0))</f>
        <v/>
      </c>
      <c r="AN599">
        <f>IF($AM599=1,SUMPRODUCT(--($AQ$2:$AQ$1001&lt;$AQ599))+1,"")</f>
        <v/>
      </c>
      <c r="AO599">
        <f>IF($D599="","",IF(OR($U599=TRUE(),$U599="TRUE"),1,0))</f>
        <v/>
      </c>
      <c r="AP599">
        <f>IF($D599="","",IF($AC599="Yes",1,0))</f>
        <v/>
      </c>
      <c r="AQ599">
        <f>IF($AM599=1,IFERROR(VALUE(MID($D599,2,20)),1000000000)+ROW()/100000,"")</f>
        <v/>
      </c>
    </row>
    <row r="600">
      <c r="G600" s="11" t="n"/>
      <c r="Q600" s="7">
        <f>IF($D600="","",P600*Y600/100)</f>
        <v/>
      </c>
      <c r="R600" s="7" t="n"/>
      <c r="X600" s="7" t="n"/>
      <c r="Y600" s="7" t="n"/>
      <c r="Z600" s="7">
        <f>IF($D600="","",Y600*AD600/100)</f>
        <v/>
      </c>
      <c r="AA600" s="7">
        <f>IF($D600="","",Y600-Z600)</f>
        <v/>
      </c>
      <c r="AB600" s="7">
        <f>IF($D600="","",AA600-Q600)</f>
        <v/>
      </c>
      <c r="AD600">
        <f>IF($D600="","",IF($AP600=1,0,IF($AO600=1,Settings!$C$6,Settings!$C$7))*100)</f>
        <v/>
      </c>
      <c r="AH600" s="7" t="n"/>
      <c r="AK600" s="11" t="n"/>
      <c r="AM600">
        <f>IF($D600="","",IF(COUNTIF($D$2:$D600,$D600)=1,1,0))</f>
        <v/>
      </c>
      <c r="AN600">
        <f>IF($AM600=1,SUMPRODUCT(--($AQ$2:$AQ$1001&lt;$AQ600))+1,"")</f>
        <v/>
      </c>
      <c r="AO600">
        <f>IF($D600="","",IF(OR($U600=TRUE(),$U600="TRUE"),1,0))</f>
        <v/>
      </c>
      <c r="AP600">
        <f>IF($D600="","",IF($AC600="Yes",1,0))</f>
        <v/>
      </c>
      <c r="AQ600">
        <f>IF($AM600=1,IFERROR(VALUE(MID($D600,2,20)),1000000000)+ROW()/100000,"")</f>
        <v/>
      </c>
    </row>
    <row r="601">
      <c r="G601" s="11" t="n"/>
      <c r="Q601" s="7">
        <f>IF($D601="","",P601*Y601/100)</f>
        <v/>
      </c>
      <c r="R601" s="7" t="n"/>
      <c r="X601" s="7" t="n"/>
      <c r="Y601" s="7" t="n"/>
      <c r="Z601" s="7">
        <f>IF($D601="","",Y601*AD601/100)</f>
        <v/>
      </c>
      <c r="AA601" s="7">
        <f>IF($D601="","",Y601-Z601)</f>
        <v/>
      </c>
      <c r="AB601" s="7">
        <f>IF($D601="","",AA601-Q601)</f>
        <v/>
      </c>
      <c r="AD601">
        <f>IF($D601="","",IF($AP601=1,0,IF($AO601=1,Settings!$C$6,Settings!$C$7))*100)</f>
        <v/>
      </c>
      <c r="AH601" s="7" t="n"/>
      <c r="AK601" s="11" t="n"/>
      <c r="AM601">
        <f>IF($D601="","",IF(COUNTIF($D$2:$D601,$D601)=1,1,0))</f>
        <v/>
      </c>
      <c r="AN601">
        <f>IF($AM601=1,SUMPRODUCT(--($AQ$2:$AQ$1001&lt;$AQ601))+1,"")</f>
        <v/>
      </c>
      <c r="AO601">
        <f>IF($D601="","",IF(OR($U601=TRUE(),$U601="TRUE"),1,0))</f>
        <v/>
      </c>
      <c r="AP601">
        <f>IF($D601="","",IF($AC601="Yes",1,0))</f>
        <v/>
      </c>
      <c r="AQ601">
        <f>IF($AM601=1,IFERROR(VALUE(MID($D601,2,20)),1000000000)+ROW()/100000,"")</f>
        <v/>
      </c>
    </row>
    <row r="602">
      <c r="G602" s="11" t="n"/>
      <c r="Q602" s="7">
        <f>IF($D602="","",P602*Y602/100)</f>
        <v/>
      </c>
      <c r="R602" s="7" t="n"/>
      <c r="X602" s="7" t="n"/>
      <c r="Y602" s="7" t="n"/>
      <c r="Z602" s="7">
        <f>IF($D602="","",Y602*AD602/100)</f>
        <v/>
      </c>
      <c r="AA602" s="7">
        <f>IF($D602="","",Y602-Z602)</f>
        <v/>
      </c>
      <c r="AB602" s="7">
        <f>IF($D602="","",AA602-Q602)</f>
        <v/>
      </c>
      <c r="AD602">
        <f>IF($D602="","",IF($AP602=1,0,IF($AO602=1,Settings!$C$6,Settings!$C$7))*100)</f>
        <v/>
      </c>
      <c r="AH602" s="7" t="n"/>
      <c r="AK602" s="11" t="n"/>
      <c r="AM602">
        <f>IF($D602="","",IF(COUNTIF($D$2:$D602,$D602)=1,1,0))</f>
        <v/>
      </c>
      <c r="AN602">
        <f>IF($AM602=1,SUMPRODUCT(--($AQ$2:$AQ$1001&lt;$AQ602))+1,"")</f>
        <v/>
      </c>
      <c r="AO602">
        <f>IF($D602="","",IF(OR($U602=TRUE(),$U602="TRUE"),1,0))</f>
        <v/>
      </c>
      <c r="AP602">
        <f>IF($D602="","",IF($AC602="Yes",1,0))</f>
        <v/>
      </c>
      <c r="AQ602">
        <f>IF($AM602=1,IFERROR(VALUE(MID($D602,2,20)),1000000000)+ROW()/100000,"")</f>
        <v/>
      </c>
    </row>
    <row r="603">
      <c r="G603" s="11" t="n"/>
      <c r="Q603" s="7">
        <f>IF($D603="","",P603*Y603/100)</f>
        <v/>
      </c>
      <c r="R603" s="7" t="n"/>
      <c r="X603" s="7" t="n"/>
      <c r="Y603" s="7" t="n"/>
      <c r="Z603" s="7">
        <f>IF($D603="","",Y603*AD603/100)</f>
        <v/>
      </c>
      <c r="AA603" s="7">
        <f>IF($D603="","",Y603-Z603)</f>
        <v/>
      </c>
      <c r="AB603" s="7">
        <f>IF($D603="","",AA603-Q603)</f>
        <v/>
      </c>
      <c r="AD603">
        <f>IF($D603="","",IF($AP603=1,0,IF($AO603=1,Settings!$C$6,Settings!$C$7))*100)</f>
        <v/>
      </c>
      <c r="AH603" s="7" t="n"/>
      <c r="AK603" s="11" t="n"/>
      <c r="AM603">
        <f>IF($D603="","",IF(COUNTIF($D$2:$D603,$D603)=1,1,0))</f>
        <v/>
      </c>
      <c r="AN603">
        <f>IF($AM603=1,SUMPRODUCT(--($AQ$2:$AQ$1001&lt;$AQ603))+1,"")</f>
        <v/>
      </c>
      <c r="AO603">
        <f>IF($D603="","",IF(OR($U603=TRUE(),$U603="TRUE"),1,0))</f>
        <v/>
      </c>
      <c r="AP603">
        <f>IF($D603="","",IF($AC603="Yes",1,0))</f>
        <v/>
      </c>
      <c r="AQ603">
        <f>IF($AM603=1,IFERROR(VALUE(MID($D603,2,20)),1000000000)+ROW()/100000,"")</f>
        <v/>
      </c>
    </row>
    <row r="604">
      <c r="G604" s="11" t="n"/>
      <c r="Q604" s="7">
        <f>IF($D604="","",P604*Y604/100)</f>
        <v/>
      </c>
      <c r="R604" s="7" t="n"/>
      <c r="X604" s="7" t="n"/>
      <c r="Y604" s="7" t="n"/>
      <c r="Z604" s="7">
        <f>IF($D604="","",Y604*AD604/100)</f>
        <v/>
      </c>
      <c r="AA604" s="7">
        <f>IF($D604="","",Y604-Z604)</f>
        <v/>
      </c>
      <c r="AB604" s="7">
        <f>IF($D604="","",AA604-Q604)</f>
        <v/>
      </c>
      <c r="AD604">
        <f>IF($D604="","",IF($AP604=1,0,IF($AO604=1,Settings!$C$6,Settings!$C$7))*100)</f>
        <v/>
      </c>
      <c r="AH604" s="7" t="n"/>
      <c r="AK604" s="11" t="n"/>
      <c r="AM604">
        <f>IF($D604="","",IF(COUNTIF($D$2:$D604,$D604)=1,1,0))</f>
        <v/>
      </c>
      <c r="AN604">
        <f>IF($AM604=1,SUMPRODUCT(--($AQ$2:$AQ$1001&lt;$AQ604))+1,"")</f>
        <v/>
      </c>
      <c r="AO604">
        <f>IF($D604="","",IF(OR($U604=TRUE(),$U604="TRUE"),1,0))</f>
        <v/>
      </c>
      <c r="AP604">
        <f>IF($D604="","",IF($AC604="Yes",1,0))</f>
        <v/>
      </c>
      <c r="AQ604">
        <f>IF($AM604=1,IFERROR(VALUE(MID($D604,2,20)),1000000000)+ROW()/100000,"")</f>
        <v/>
      </c>
    </row>
    <row r="605">
      <c r="G605" s="11" t="n"/>
      <c r="Q605" s="7">
        <f>IF($D605="","",P605*Y605/100)</f>
        <v/>
      </c>
      <c r="R605" s="7" t="n"/>
      <c r="X605" s="7" t="n"/>
      <c r="Y605" s="7" t="n"/>
      <c r="Z605" s="7">
        <f>IF($D605="","",Y605*AD605/100)</f>
        <v/>
      </c>
      <c r="AA605" s="7">
        <f>IF($D605="","",Y605-Z605)</f>
        <v/>
      </c>
      <c r="AB605" s="7">
        <f>IF($D605="","",AA605-Q605)</f>
        <v/>
      </c>
      <c r="AD605">
        <f>IF($D605="","",IF($AP605=1,0,IF($AO605=1,Settings!$C$6,Settings!$C$7))*100)</f>
        <v/>
      </c>
      <c r="AH605" s="7" t="n"/>
      <c r="AK605" s="11" t="n"/>
      <c r="AM605">
        <f>IF($D605="","",IF(COUNTIF($D$2:$D605,$D605)=1,1,0))</f>
        <v/>
      </c>
      <c r="AN605">
        <f>IF($AM605=1,SUMPRODUCT(--($AQ$2:$AQ$1001&lt;$AQ605))+1,"")</f>
        <v/>
      </c>
      <c r="AO605">
        <f>IF($D605="","",IF(OR($U605=TRUE(),$U605="TRUE"),1,0))</f>
        <v/>
      </c>
      <c r="AP605">
        <f>IF($D605="","",IF($AC605="Yes",1,0))</f>
        <v/>
      </c>
      <c r="AQ605">
        <f>IF($AM605=1,IFERROR(VALUE(MID($D605,2,20)),1000000000)+ROW()/100000,"")</f>
        <v/>
      </c>
    </row>
    <row r="606">
      <c r="G606" s="11" t="n"/>
      <c r="Q606" s="7">
        <f>IF($D606="","",P606*Y606/100)</f>
        <v/>
      </c>
      <c r="R606" s="7" t="n"/>
      <c r="X606" s="7" t="n"/>
      <c r="Y606" s="7" t="n"/>
      <c r="Z606" s="7">
        <f>IF($D606="","",Y606*AD606/100)</f>
        <v/>
      </c>
      <c r="AA606" s="7">
        <f>IF($D606="","",Y606-Z606)</f>
        <v/>
      </c>
      <c r="AB606" s="7">
        <f>IF($D606="","",AA606-Q606)</f>
        <v/>
      </c>
      <c r="AD606">
        <f>IF($D606="","",IF($AP606=1,0,IF($AO606=1,Settings!$C$6,Settings!$C$7))*100)</f>
        <v/>
      </c>
      <c r="AH606" s="7" t="n"/>
      <c r="AK606" s="11" t="n"/>
      <c r="AM606">
        <f>IF($D606="","",IF(COUNTIF($D$2:$D606,$D606)=1,1,0))</f>
        <v/>
      </c>
      <c r="AN606">
        <f>IF($AM606=1,SUMPRODUCT(--($AQ$2:$AQ$1001&lt;$AQ606))+1,"")</f>
        <v/>
      </c>
      <c r="AO606">
        <f>IF($D606="","",IF(OR($U606=TRUE(),$U606="TRUE"),1,0))</f>
        <v/>
      </c>
      <c r="AP606">
        <f>IF($D606="","",IF($AC606="Yes",1,0))</f>
        <v/>
      </c>
      <c r="AQ606">
        <f>IF($AM606=1,IFERROR(VALUE(MID($D606,2,20)),1000000000)+ROW()/100000,"")</f>
        <v/>
      </c>
    </row>
    <row r="607">
      <c r="G607" s="11" t="n"/>
      <c r="Q607" s="7">
        <f>IF($D607="","",P607*Y607/100)</f>
        <v/>
      </c>
      <c r="R607" s="7" t="n"/>
      <c r="X607" s="7" t="n"/>
      <c r="Y607" s="7" t="n"/>
      <c r="Z607" s="7">
        <f>IF($D607="","",Y607*AD607/100)</f>
        <v/>
      </c>
      <c r="AA607" s="7">
        <f>IF($D607="","",Y607-Z607)</f>
        <v/>
      </c>
      <c r="AB607" s="7">
        <f>IF($D607="","",AA607-Q607)</f>
        <v/>
      </c>
      <c r="AD607">
        <f>IF($D607="","",IF($AP607=1,0,IF($AO607=1,Settings!$C$6,Settings!$C$7))*100)</f>
        <v/>
      </c>
      <c r="AH607" s="7" t="n"/>
      <c r="AK607" s="11" t="n"/>
      <c r="AM607">
        <f>IF($D607="","",IF(COUNTIF($D$2:$D607,$D607)=1,1,0))</f>
        <v/>
      </c>
      <c r="AN607">
        <f>IF($AM607=1,SUMPRODUCT(--($AQ$2:$AQ$1001&lt;$AQ607))+1,"")</f>
        <v/>
      </c>
      <c r="AO607">
        <f>IF($D607="","",IF(OR($U607=TRUE(),$U607="TRUE"),1,0))</f>
        <v/>
      </c>
      <c r="AP607">
        <f>IF($D607="","",IF($AC607="Yes",1,0))</f>
        <v/>
      </c>
      <c r="AQ607">
        <f>IF($AM607=1,IFERROR(VALUE(MID($D607,2,20)),1000000000)+ROW()/100000,"")</f>
        <v/>
      </c>
    </row>
    <row r="608">
      <c r="G608" s="11" t="n"/>
      <c r="Q608" s="7">
        <f>IF($D608="","",P608*Y608/100)</f>
        <v/>
      </c>
      <c r="R608" s="7" t="n"/>
      <c r="X608" s="7" t="n"/>
      <c r="Y608" s="7" t="n"/>
      <c r="Z608" s="7">
        <f>IF($D608="","",Y608*AD608/100)</f>
        <v/>
      </c>
      <c r="AA608" s="7">
        <f>IF($D608="","",Y608-Z608)</f>
        <v/>
      </c>
      <c r="AB608" s="7">
        <f>IF($D608="","",AA608-Q608)</f>
        <v/>
      </c>
      <c r="AD608">
        <f>IF($D608="","",IF($AP608=1,0,IF($AO608=1,Settings!$C$6,Settings!$C$7))*100)</f>
        <v/>
      </c>
      <c r="AH608" s="7" t="n"/>
      <c r="AK608" s="11" t="n"/>
      <c r="AM608">
        <f>IF($D608="","",IF(COUNTIF($D$2:$D608,$D608)=1,1,0))</f>
        <v/>
      </c>
      <c r="AN608">
        <f>IF($AM608=1,SUMPRODUCT(--($AQ$2:$AQ$1001&lt;$AQ608))+1,"")</f>
        <v/>
      </c>
      <c r="AO608">
        <f>IF($D608="","",IF(OR($U608=TRUE(),$U608="TRUE"),1,0))</f>
        <v/>
      </c>
      <c r="AP608">
        <f>IF($D608="","",IF($AC608="Yes",1,0))</f>
        <v/>
      </c>
      <c r="AQ608">
        <f>IF($AM608=1,IFERROR(VALUE(MID($D608,2,20)),1000000000)+ROW()/100000,"")</f>
        <v/>
      </c>
    </row>
    <row r="609">
      <c r="G609" s="11" t="n"/>
      <c r="Q609" s="7">
        <f>IF($D609="","",P609*Y609/100)</f>
        <v/>
      </c>
      <c r="R609" s="7" t="n"/>
      <c r="X609" s="7" t="n"/>
      <c r="Y609" s="7" t="n"/>
      <c r="Z609" s="7">
        <f>IF($D609="","",Y609*AD609/100)</f>
        <v/>
      </c>
      <c r="AA609" s="7">
        <f>IF($D609="","",Y609-Z609)</f>
        <v/>
      </c>
      <c r="AB609" s="7">
        <f>IF($D609="","",AA609-Q609)</f>
        <v/>
      </c>
      <c r="AD609">
        <f>IF($D609="","",IF($AP609=1,0,IF($AO609=1,Settings!$C$6,Settings!$C$7))*100)</f>
        <v/>
      </c>
      <c r="AH609" s="7" t="n"/>
      <c r="AK609" s="11" t="n"/>
      <c r="AM609">
        <f>IF($D609="","",IF(COUNTIF($D$2:$D609,$D609)=1,1,0))</f>
        <v/>
      </c>
      <c r="AN609">
        <f>IF($AM609=1,SUMPRODUCT(--($AQ$2:$AQ$1001&lt;$AQ609))+1,"")</f>
        <v/>
      </c>
      <c r="AO609">
        <f>IF($D609="","",IF(OR($U609=TRUE(),$U609="TRUE"),1,0))</f>
        <v/>
      </c>
      <c r="AP609">
        <f>IF($D609="","",IF($AC609="Yes",1,0))</f>
        <v/>
      </c>
      <c r="AQ609">
        <f>IF($AM609=1,IFERROR(VALUE(MID($D609,2,20)),1000000000)+ROW()/100000,"")</f>
        <v/>
      </c>
    </row>
    <row r="610">
      <c r="G610" s="11" t="n"/>
      <c r="Q610" s="7">
        <f>IF($D610="","",P610*Y610/100)</f>
        <v/>
      </c>
      <c r="R610" s="7" t="n"/>
      <c r="X610" s="7" t="n"/>
      <c r="Y610" s="7" t="n"/>
      <c r="Z610" s="7">
        <f>IF($D610="","",Y610*AD610/100)</f>
        <v/>
      </c>
      <c r="AA610" s="7">
        <f>IF($D610="","",Y610-Z610)</f>
        <v/>
      </c>
      <c r="AB610" s="7">
        <f>IF($D610="","",AA610-Q610)</f>
        <v/>
      </c>
      <c r="AD610">
        <f>IF($D610="","",IF($AP610=1,0,IF($AO610=1,Settings!$C$6,Settings!$C$7))*100)</f>
        <v/>
      </c>
      <c r="AH610" s="7" t="n"/>
      <c r="AK610" s="11" t="n"/>
      <c r="AM610">
        <f>IF($D610="","",IF(COUNTIF($D$2:$D610,$D610)=1,1,0))</f>
        <v/>
      </c>
      <c r="AN610">
        <f>IF($AM610=1,SUMPRODUCT(--($AQ$2:$AQ$1001&lt;$AQ610))+1,"")</f>
        <v/>
      </c>
      <c r="AO610">
        <f>IF($D610="","",IF(OR($U610=TRUE(),$U610="TRUE"),1,0))</f>
        <v/>
      </c>
      <c r="AP610">
        <f>IF($D610="","",IF($AC610="Yes",1,0))</f>
        <v/>
      </c>
      <c r="AQ610">
        <f>IF($AM610=1,IFERROR(VALUE(MID($D610,2,20)),1000000000)+ROW()/100000,"")</f>
        <v/>
      </c>
    </row>
    <row r="611">
      <c r="G611" s="11" t="n"/>
      <c r="Q611" s="7">
        <f>IF($D611="","",P611*Y611/100)</f>
        <v/>
      </c>
      <c r="R611" s="7" t="n"/>
      <c r="X611" s="7" t="n"/>
      <c r="Y611" s="7" t="n"/>
      <c r="Z611" s="7">
        <f>IF($D611="","",Y611*AD611/100)</f>
        <v/>
      </c>
      <c r="AA611" s="7">
        <f>IF($D611="","",Y611-Z611)</f>
        <v/>
      </c>
      <c r="AB611" s="7">
        <f>IF($D611="","",AA611-Q611)</f>
        <v/>
      </c>
      <c r="AD611">
        <f>IF($D611="","",IF($AP611=1,0,IF($AO611=1,Settings!$C$6,Settings!$C$7))*100)</f>
        <v/>
      </c>
      <c r="AH611" s="7" t="n"/>
      <c r="AK611" s="11" t="n"/>
      <c r="AM611">
        <f>IF($D611="","",IF(COUNTIF($D$2:$D611,$D611)=1,1,0))</f>
        <v/>
      </c>
      <c r="AN611">
        <f>IF($AM611=1,SUMPRODUCT(--($AQ$2:$AQ$1001&lt;$AQ611))+1,"")</f>
        <v/>
      </c>
      <c r="AO611">
        <f>IF($D611="","",IF(OR($U611=TRUE(),$U611="TRUE"),1,0))</f>
        <v/>
      </c>
      <c r="AP611">
        <f>IF($D611="","",IF($AC611="Yes",1,0))</f>
        <v/>
      </c>
      <c r="AQ611">
        <f>IF($AM611=1,IFERROR(VALUE(MID($D611,2,20)),1000000000)+ROW()/100000,"")</f>
        <v/>
      </c>
    </row>
    <row r="612">
      <c r="G612" s="11" t="n"/>
      <c r="Q612" s="7">
        <f>IF($D612="","",P612*Y612/100)</f>
        <v/>
      </c>
      <c r="R612" s="7" t="n"/>
      <c r="X612" s="7" t="n"/>
      <c r="Y612" s="7" t="n"/>
      <c r="Z612" s="7">
        <f>IF($D612="","",Y612*AD612/100)</f>
        <v/>
      </c>
      <c r="AA612" s="7">
        <f>IF($D612="","",Y612-Z612)</f>
        <v/>
      </c>
      <c r="AB612" s="7">
        <f>IF($D612="","",AA612-Q612)</f>
        <v/>
      </c>
      <c r="AD612">
        <f>IF($D612="","",IF($AP612=1,0,IF($AO612=1,Settings!$C$6,Settings!$C$7))*100)</f>
        <v/>
      </c>
      <c r="AH612" s="7" t="n"/>
      <c r="AK612" s="11" t="n"/>
      <c r="AM612">
        <f>IF($D612="","",IF(COUNTIF($D$2:$D612,$D612)=1,1,0))</f>
        <v/>
      </c>
      <c r="AN612">
        <f>IF($AM612=1,SUMPRODUCT(--($AQ$2:$AQ$1001&lt;$AQ612))+1,"")</f>
        <v/>
      </c>
      <c r="AO612">
        <f>IF($D612="","",IF(OR($U612=TRUE(),$U612="TRUE"),1,0))</f>
        <v/>
      </c>
      <c r="AP612">
        <f>IF($D612="","",IF($AC612="Yes",1,0))</f>
        <v/>
      </c>
      <c r="AQ612">
        <f>IF($AM612=1,IFERROR(VALUE(MID($D612,2,20)),1000000000)+ROW()/100000,"")</f>
        <v/>
      </c>
    </row>
    <row r="613">
      <c r="G613" s="11" t="n"/>
      <c r="Q613" s="7">
        <f>IF($D613="","",P613*Y613/100)</f>
        <v/>
      </c>
      <c r="R613" s="7" t="n"/>
      <c r="X613" s="7" t="n"/>
      <c r="Y613" s="7" t="n"/>
      <c r="Z613" s="7">
        <f>IF($D613="","",Y613*AD613/100)</f>
        <v/>
      </c>
      <c r="AA613" s="7">
        <f>IF($D613="","",Y613-Z613)</f>
        <v/>
      </c>
      <c r="AB613" s="7">
        <f>IF($D613="","",AA613-Q613)</f>
        <v/>
      </c>
      <c r="AD613">
        <f>IF($D613="","",IF($AP613=1,0,IF($AO613=1,Settings!$C$6,Settings!$C$7))*100)</f>
        <v/>
      </c>
      <c r="AH613" s="7" t="n"/>
      <c r="AK613" s="11" t="n"/>
      <c r="AM613">
        <f>IF($D613="","",IF(COUNTIF($D$2:$D613,$D613)=1,1,0))</f>
        <v/>
      </c>
      <c r="AN613">
        <f>IF($AM613=1,SUMPRODUCT(--($AQ$2:$AQ$1001&lt;$AQ613))+1,"")</f>
        <v/>
      </c>
      <c r="AO613">
        <f>IF($D613="","",IF(OR($U613=TRUE(),$U613="TRUE"),1,0))</f>
        <v/>
      </c>
      <c r="AP613">
        <f>IF($D613="","",IF($AC613="Yes",1,0))</f>
        <v/>
      </c>
      <c r="AQ613">
        <f>IF($AM613=1,IFERROR(VALUE(MID($D613,2,20)),1000000000)+ROW()/100000,"")</f>
        <v/>
      </c>
    </row>
    <row r="614">
      <c r="G614" s="11" t="n"/>
      <c r="Q614" s="7">
        <f>IF($D614="","",P614*Y614/100)</f>
        <v/>
      </c>
      <c r="R614" s="7" t="n"/>
      <c r="X614" s="7" t="n"/>
      <c r="Y614" s="7" t="n"/>
      <c r="Z614" s="7">
        <f>IF($D614="","",Y614*AD614/100)</f>
        <v/>
      </c>
      <c r="AA614" s="7">
        <f>IF($D614="","",Y614-Z614)</f>
        <v/>
      </c>
      <c r="AB614" s="7">
        <f>IF($D614="","",AA614-Q614)</f>
        <v/>
      </c>
      <c r="AD614">
        <f>IF($D614="","",IF($AP614=1,0,IF($AO614=1,Settings!$C$6,Settings!$C$7))*100)</f>
        <v/>
      </c>
      <c r="AH614" s="7" t="n"/>
      <c r="AK614" s="11" t="n"/>
      <c r="AM614">
        <f>IF($D614="","",IF(COUNTIF($D$2:$D614,$D614)=1,1,0))</f>
        <v/>
      </c>
      <c r="AN614">
        <f>IF($AM614=1,SUMPRODUCT(--($AQ$2:$AQ$1001&lt;$AQ614))+1,"")</f>
        <v/>
      </c>
      <c r="AO614">
        <f>IF($D614="","",IF(OR($U614=TRUE(),$U614="TRUE"),1,0))</f>
        <v/>
      </c>
      <c r="AP614">
        <f>IF($D614="","",IF($AC614="Yes",1,0))</f>
        <v/>
      </c>
      <c r="AQ614">
        <f>IF($AM614=1,IFERROR(VALUE(MID($D614,2,20)),1000000000)+ROW()/100000,"")</f>
        <v/>
      </c>
    </row>
    <row r="615">
      <c r="G615" s="11" t="n"/>
      <c r="Q615" s="7">
        <f>IF($D615="","",P615*Y615/100)</f>
        <v/>
      </c>
      <c r="R615" s="7" t="n"/>
      <c r="X615" s="7" t="n"/>
      <c r="Y615" s="7" t="n"/>
      <c r="Z615" s="7">
        <f>IF($D615="","",Y615*AD615/100)</f>
        <v/>
      </c>
      <c r="AA615" s="7">
        <f>IF($D615="","",Y615-Z615)</f>
        <v/>
      </c>
      <c r="AB615" s="7">
        <f>IF($D615="","",AA615-Q615)</f>
        <v/>
      </c>
      <c r="AD615">
        <f>IF($D615="","",IF($AP615=1,0,IF($AO615=1,Settings!$C$6,Settings!$C$7))*100)</f>
        <v/>
      </c>
      <c r="AH615" s="7" t="n"/>
      <c r="AK615" s="11" t="n"/>
      <c r="AM615">
        <f>IF($D615="","",IF(COUNTIF($D$2:$D615,$D615)=1,1,0))</f>
        <v/>
      </c>
      <c r="AN615">
        <f>IF($AM615=1,SUMPRODUCT(--($AQ$2:$AQ$1001&lt;$AQ615))+1,"")</f>
        <v/>
      </c>
      <c r="AO615">
        <f>IF($D615="","",IF(OR($U615=TRUE(),$U615="TRUE"),1,0))</f>
        <v/>
      </c>
      <c r="AP615">
        <f>IF($D615="","",IF($AC615="Yes",1,0))</f>
        <v/>
      </c>
      <c r="AQ615">
        <f>IF($AM615=1,IFERROR(VALUE(MID($D615,2,20)),1000000000)+ROW()/100000,"")</f>
        <v/>
      </c>
    </row>
    <row r="616">
      <c r="G616" s="11" t="n"/>
      <c r="Q616" s="7">
        <f>IF($D616="","",P616*Y616/100)</f>
        <v/>
      </c>
      <c r="R616" s="7" t="n"/>
      <c r="X616" s="7" t="n"/>
      <c r="Y616" s="7" t="n"/>
      <c r="Z616" s="7">
        <f>IF($D616="","",Y616*AD616/100)</f>
        <v/>
      </c>
      <c r="AA616" s="7">
        <f>IF($D616="","",Y616-Z616)</f>
        <v/>
      </c>
      <c r="AB616" s="7">
        <f>IF($D616="","",AA616-Q616)</f>
        <v/>
      </c>
      <c r="AD616">
        <f>IF($D616="","",IF($AP616=1,0,IF($AO616=1,Settings!$C$6,Settings!$C$7))*100)</f>
        <v/>
      </c>
      <c r="AH616" s="7" t="n"/>
      <c r="AK616" s="11" t="n"/>
      <c r="AM616">
        <f>IF($D616="","",IF(COUNTIF($D$2:$D616,$D616)=1,1,0))</f>
        <v/>
      </c>
      <c r="AN616">
        <f>IF($AM616=1,SUMPRODUCT(--($AQ$2:$AQ$1001&lt;$AQ616))+1,"")</f>
        <v/>
      </c>
      <c r="AO616">
        <f>IF($D616="","",IF(OR($U616=TRUE(),$U616="TRUE"),1,0))</f>
        <v/>
      </c>
      <c r="AP616">
        <f>IF($D616="","",IF($AC616="Yes",1,0))</f>
        <v/>
      </c>
      <c r="AQ616">
        <f>IF($AM616=1,IFERROR(VALUE(MID($D616,2,20)),1000000000)+ROW()/100000,"")</f>
        <v/>
      </c>
    </row>
    <row r="617">
      <c r="G617" s="11" t="n"/>
      <c r="Q617" s="7">
        <f>IF($D617="","",P617*Y617/100)</f>
        <v/>
      </c>
      <c r="R617" s="7" t="n"/>
      <c r="X617" s="7" t="n"/>
      <c r="Y617" s="7" t="n"/>
      <c r="Z617" s="7">
        <f>IF($D617="","",Y617*AD617/100)</f>
        <v/>
      </c>
      <c r="AA617" s="7">
        <f>IF($D617="","",Y617-Z617)</f>
        <v/>
      </c>
      <c r="AB617" s="7">
        <f>IF($D617="","",AA617-Q617)</f>
        <v/>
      </c>
      <c r="AD617">
        <f>IF($D617="","",IF($AP617=1,0,IF($AO617=1,Settings!$C$6,Settings!$C$7))*100)</f>
        <v/>
      </c>
      <c r="AH617" s="7" t="n"/>
      <c r="AK617" s="11" t="n"/>
      <c r="AM617">
        <f>IF($D617="","",IF(COUNTIF($D$2:$D617,$D617)=1,1,0))</f>
        <v/>
      </c>
      <c r="AN617">
        <f>IF($AM617=1,SUMPRODUCT(--($AQ$2:$AQ$1001&lt;$AQ617))+1,"")</f>
        <v/>
      </c>
      <c r="AO617">
        <f>IF($D617="","",IF(OR($U617=TRUE(),$U617="TRUE"),1,0))</f>
        <v/>
      </c>
      <c r="AP617">
        <f>IF($D617="","",IF($AC617="Yes",1,0))</f>
        <v/>
      </c>
      <c r="AQ617">
        <f>IF($AM617=1,IFERROR(VALUE(MID($D617,2,20)),1000000000)+ROW()/100000,"")</f>
        <v/>
      </c>
    </row>
    <row r="618">
      <c r="G618" s="11" t="n"/>
      <c r="Q618" s="7">
        <f>IF($D618="","",P618*Y618/100)</f>
        <v/>
      </c>
      <c r="R618" s="7" t="n"/>
      <c r="X618" s="7" t="n"/>
      <c r="Y618" s="7" t="n"/>
      <c r="Z618" s="7">
        <f>IF($D618="","",Y618*AD618/100)</f>
        <v/>
      </c>
      <c r="AA618" s="7">
        <f>IF($D618="","",Y618-Z618)</f>
        <v/>
      </c>
      <c r="AB618" s="7">
        <f>IF($D618="","",AA618-Q618)</f>
        <v/>
      </c>
      <c r="AD618">
        <f>IF($D618="","",IF($AP618=1,0,IF($AO618=1,Settings!$C$6,Settings!$C$7))*100)</f>
        <v/>
      </c>
      <c r="AH618" s="7" t="n"/>
      <c r="AK618" s="11" t="n"/>
      <c r="AM618">
        <f>IF($D618="","",IF(COUNTIF($D$2:$D618,$D618)=1,1,0))</f>
        <v/>
      </c>
      <c r="AN618">
        <f>IF($AM618=1,SUMPRODUCT(--($AQ$2:$AQ$1001&lt;$AQ618))+1,"")</f>
        <v/>
      </c>
      <c r="AO618">
        <f>IF($D618="","",IF(OR($U618=TRUE(),$U618="TRUE"),1,0))</f>
        <v/>
      </c>
      <c r="AP618">
        <f>IF($D618="","",IF($AC618="Yes",1,0))</f>
        <v/>
      </c>
      <c r="AQ618">
        <f>IF($AM618=1,IFERROR(VALUE(MID($D618,2,20)),1000000000)+ROW()/100000,"")</f>
        <v/>
      </c>
    </row>
    <row r="619">
      <c r="G619" s="11" t="n"/>
      <c r="Q619" s="7">
        <f>IF($D619="","",P619*Y619/100)</f>
        <v/>
      </c>
      <c r="R619" s="7" t="n"/>
      <c r="X619" s="7" t="n"/>
      <c r="Y619" s="7" t="n"/>
      <c r="Z619" s="7">
        <f>IF($D619="","",Y619*AD619/100)</f>
        <v/>
      </c>
      <c r="AA619" s="7">
        <f>IF($D619="","",Y619-Z619)</f>
        <v/>
      </c>
      <c r="AB619" s="7">
        <f>IF($D619="","",AA619-Q619)</f>
        <v/>
      </c>
      <c r="AD619">
        <f>IF($D619="","",IF($AP619=1,0,IF($AO619=1,Settings!$C$6,Settings!$C$7))*100)</f>
        <v/>
      </c>
      <c r="AH619" s="7" t="n"/>
      <c r="AK619" s="11" t="n"/>
      <c r="AM619">
        <f>IF($D619="","",IF(COUNTIF($D$2:$D619,$D619)=1,1,0))</f>
        <v/>
      </c>
      <c r="AN619">
        <f>IF($AM619=1,SUMPRODUCT(--($AQ$2:$AQ$1001&lt;$AQ619))+1,"")</f>
        <v/>
      </c>
      <c r="AO619">
        <f>IF($D619="","",IF(OR($U619=TRUE(),$U619="TRUE"),1,0))</f>
        <v/>
      </c>
      <c r="AP619">
        <f>IF($D619="","",IF($AC619="Yes",1,0))</f>
        <v/>
      </c>
      <c r="AQ619">
        <f>IF($AM619=1,IFERROR(VALUE(MID($D619,2,20)),1000000000)+ROW()/100000,"")</f>
        <v/>
      </c>
    </row>
    <row r="620">
      <c r="G620" s="11" t="n"/>
      <c r="Q620" s="7">
        <f>IF($D620="","",P620*Y620/100)</f>
        <v/>
      </c>
      <c r="R620" s="7" t="n"/>
      <c r="X620" s="7" t="n"/>
      <c r="Y620" s="7" t="n"/>
      <c r="Z620" s="7">
        <f>IF($D620="","",Y620*AD620/100)</f>
        <v/>
      </c>
      <c r="AA620" s="7">
        <f>IF($D620="","",Y620-Z620)</f>
        <v/>
      </c>
      <c r="AB620" s="7">
        <f>IF($D620="","",AA620-Q620)</f>
        <v/>
      </c>
      <c r="AD620">
        <f>IF($D620="","",IF($AP620=1,0,IF($AO620=1,Settings!$C$6,Settings!$C$7))*100)</f>
        <v/>
      </c>
      <c r="AH620" s="7" t="n"/>
      <c r="AK620" s="11" t="n"/>
      <c r="AM620">
        <f>IF($D620="","",IF(COUNTIF($D$2:$D620,$D620)=1,1,0))</f>
        <v/>
      </c>
      <c r="AN620">
        <f>IF($AM620=1,SUMPRODUCT(--($AQ$2:$AQ$1001&lt;$AQ620))+1,"")</f>
        <v/>
      </c>
      <c r="AO620">
        <f>IF($D620="","",IF(OR($U620=TRUE(),$U620="TRUE"),1,0))</f>
        <v/>
      </c>
      <c r="AP620">
        <f>IF($D620="","",IF($AC620="Yes",1,0))</f>
        <v/>
      </c>
      <c r="AQ620">
        <f>IF($AM620=1,IFERROR(VALUE(MID($D620,2,20)),1000000000)+ROW()/100000,"")</f>
        <v/>
      </c>
    </row>
    <row r="621">
      <c r="G621" s="11" t="n"/>
      <c r="Q621" s="7">
        <f>IF($D621="","",P621*Y621/100)</f>
        <v/>
      </c>
      <c r="R621" s="7" t="n"/>
      <c r="X621" s="7" t="n"/>
      <c r="Y621" s="7" t="n"/>
      <c r="Z621" s="7">
        <f>IF($D621="","",Y621*AD621/100)</f>
        <v/>
      </c>
      <c r="AA621" s="7">
        <f>IF($D621="","",Y621-Z621)</f>
        <v/>
      </c>
      <c r="AB621" s="7">
        <f>IF($D621="","",AA621-Q621)</f>
        <v/>
      </c>
      <c r="AD621">
        <f>IF($D621="","",IF($AP621=1,0,IF($AO621=1,Settings!$C$6,Settings!$C$7))*100)</f>
        <v/>
      </c>
      <c r="AH621" s="7" t="n"/>
      <c r="AK621" s="11" t="n"/>
      <c r="AM621">
        <f>IF($D621="","",IF(COUNTIF($D$2:$D621,$D621)=1,1,0))</f>
        <v/>
      </c>
      <c r="AN621">
        <f>IF($AM621=1,SUMPRODUCT(--($AQ$2:$AQ$1001&lt;$AQ621))+1,"")</f>
        <v/>
      </c>
      <c r="AO621">
        <f>IF($D621="","",IF(OR($U621=TRUE(),$U621="TRUE"),1,0))</f>
        <v/>
      </c>
      <c r="AP621">
        <f>IF($D621="","",IF($AC621="Yes",1,0))</f>
        <v/>
      </c>
      <c r="AQ621">
        <f>IF($AM621=1,IFERROR(VALUE(MID($D621,2,20)),1000000000)+ROW()/100000,"")</f>
        <v/>
      </c>
    </row>
    <row r="622">
      <c r="G622" s="11" t="n"/>
      <c r="Q622" s="7">
        <f>IF($D622="","",P622*Y622/100)</f>
        <v/>
      </c>
      <c r="R622" s="7" t="n"/>
      <c r="X622" s="7" t="n"/>
      <c r="Y622" s="7" t="n"/>
      <c r="Z622" s="7">
        <f>IF($D622="","",Y622*AD622/100)</f>
        <v/>
      </c>
      <c r="AA622" s="7">
        <f>IF($D622="","",Y622-Z622)</f>
        <v/>
      </c>
      <c r="AB622" s="7">
        <f>IF($D622="","",AA622-Q622)</f>
        <v/>
      </c>
      <c r="AD622">
        <f>IF($D622="","",IF($AP622=1,0,IF($AO622=1,Settings!$C$6,Settings!$C$7))*100)</f>
        <v/>
      </c>
      <c r="AH622" s="7" t="n"/>
      <c r="AK622" s="11" t="n"/>
      <c r="AM622">
        <f>IF($D622="","",IF(COUNTIF($D$2:$D622,$D622)=1,1,0))</f>
        <v/>
      </c>
      <c r="AN622">
        <f>IF($AM622=1,SUMPRODUCT(--($AQ$2:$AQ$1001&lt;$AQ622))+1,"")</f>
        <v/>
      </c>
      <c r="AO622">
        <f>IF($D622="","",IF(OR($U622=TRUE(),$U622="TRUE"),1,0))</f>
        <v/>
      </c>
      <c r="AP622">
        <f>IF($D622="","",IF($AC622="Yes",1,0))</f>
        <v/>
      </c>
      <c r="AQ622">
        <f>IF($AM622=1,IFERROR(VALUE(MID($D622,2,20)),1000000000)+ROW()/100000,"")</f>
        <v/>
      </c>
    </row>
    <row r="623">
      <c r="G623" s="11" t="n"/>
      <c r="Q623" s="7">
        <f>IF($D623="","",P623*Y623/100)</f>
        <v/>
      </c>
      <c r="R623" s="7" t="n"/>
      <c r="X623" s="7" t="n"/>
      <c r="Y623" s="7" t="n"/>
      <c r="Z623" s="7">
        <f>IF($D623="","",Y623*AD623/100)</f>
        <v/>
      </c>
      <c r="AA623" s="7">
        <f>IF($D623="","",Y623-Z623)</f>
        <v/>
      </c>
      <c r="AB623" s="7">
        <f>IF($D623="","",AA623-Q623)</f>
        <v/>
      </c>
      <c r="AD623">
        <f>IF($D623="","",IF($AP623=1,0,IF($AO623=1,Settings!$C$6,Settings!$C$7))*100)</f>
        <v/>
      </c>
      <c r="AH623" s="7" t="n"/>
      <c r="AK623" s="11" t="n"/>
      <c r="AM623">
        <f>IF($D623="","",IF(COUNTIF($D$2:$D623,$D623)=1,1,0))</f>
        <v/>
      </c>
      <c r="AN623">
        <f>IF($AM623=1,SUMPRODUCT(--($AQ$2:$AQ$1001&lt;$AQ623))+1,"")</f>
        <v/>
      </c>
      <c r="AO623">
        <f>IF($D623="","",IF(OR($U623=TRUE(),$U623="TRUE"),1,0))</f>
        <v/>
      </c>
      <c r="AP623">
        <f>IF($D623="","",IF($AC623="Yes",1,0))</f>
        <v/>
      </c>
      <c r="AQ623">
        <f>IF($AM623=1,IFERROR(VALUE(MID($D623,2,20)),1000000000)+ROW()/100000,"")</f>
        <v/>
      </c>
    </row>
    <row r="624">
      <c r="G624" s="11" t="n"/>
      <c r="Q624" s="7">
        <f>IF($D624="","",P624*Y624/100)</f>
        <v/>
      </c>
      <c r="R624" s="7" t="n"/>
      <c r="X624" s="7" t="n"/>
      <c r="Y624" s="7" t="n"/>
      <c r="Z624" s="7">
        <f>IF($D624="","",Y624*AD624/100)</f>
        <v/>
      </c>
      <c r="AA624" s="7">
        <f>IF($D624="","",Y624-Z624)</f>
        <v/>
      </c>
      <c r="AB624" s="7">
        <f>IF($D624="","",AA624-Q624)</f>
        <v/>
      </c>
      <c r="AD624">
        <f>IF($D624="","",IF($AP624=1,0,IF($AO624=1,Settings!$C$6,Settings!$C$7))*100)</f>
        <v/>
      </c>
      <c r="AH624" s="7" t="n"/>
      <c r="AK624" s="11" t="n"/>
      <c r="AM624">
        <f>IF($D624="","",IF(COUNTIF($D$2:$D624,$D624)=1,1,0))</f>
        <v/>
      </c>
      <c r="AN624">
        <f>IF($AM624=1,SUMPRODUCT(--($AQ$2:$AQ$1001&lt;$AQ624))+1,"")</f>
        <v/>
      </c>
      <c r="AO624">
        <f>IF($D624="","",IF(OR($U624=TRUE(),$U624="TRUE"),1,0))</f>
        <v/>
      </c>
      <c r="AP624">
        <f>IF($D624="","",IF($AC624="Yes",1,0))</f>
        <v/>
      </c>
      <c r="AQ624">
        <f>IF($AM624=1,IFERROR(VALUE(MID($D624,2,20)),1000000000)+ROW()/100000,"")</f>
        <v/>
      </c>
    </row>
    <row r="625">
      <c r="G625" s="11" t="n"/>
      <c r="Q625" s="7">
        <f>IF($D625="","",P625*Y625/100)</f>
        <v/>
      </c>
      <c r="R625" s="7" t="n"/>
      <c r="X625" s="7" t="n"/>
      <c r="Y625" s="7" t="n"/>
      <c r="Z625" s="7">
        <f>IF($D625="","",Y625*AD625/100)</f>
        <v/>
      </c>
      <c r="AA625" s="7">
        <f>IF($D625="","",Y625-Z625)</f>
        <v/>
      </c>
      <c r="AB625" s="7">
        <f>IF($D625="","",AA625-Q625)</f>
        <v/>
      </c>
      <c r="AD625">
        <f>IF($D625="","",IF($AP625=1,0,IF($AO625=1,Settings!$C$6,Settings!$C$7))*100)</f>
        <v/>
      </c>
      <c r="AH625" s="7" t="n"/>
      <c r="AK625" s="11" t="n"/>
      <c r="AM625">
        <f>IF($D625="","",IF(COUNTIF($D$2:$D625,$D625)=1,1,0))</f>
        <v/>
      </c>
      <c r="AN625">
        <f>IF($AM625=1,SUMPRODUCT(--($AQ$2:$AQ$1001&lt;$AQ625))+1,"")</f>
        <v/>
      </c>
      <c r="AO625">
        <f>IF($D625="","",IF(OR($U625=TRUE(),$U625="TRUE"),1,0))</f>
        <v/>
      </c>
      <c r="AP625">
        <f>IF($D625="","",IF($AC625="Yes",1,0))</f>
        <v/>
      </c>
      <c r="AQ625">
        <f>IF($AM625=1,IFERROR(VALUE(MID($D625,2,20)),1000000000)+ROW()/100000,"")</f>
        <v/>
      </c>
    </row>
    <row r="626">
      <c r="G626" s="11" t="n"/>
      <c r="Q626" s="7">
        <f>IF($D626="","",P626*Y626/100)</f>
        <v/>
      </c>
      <c r="R626" s="7" t="n"/>
      <c r="X626" s="7" t="n"/>
      <c r="Y626" s="7" t="n"/>
      <c r="Z626" s="7">
        <f>IF($D626="","",Y626*AD626/100)</f>
        <v/>
      </c>
      <c r="AA626" s="7">
        <f>IF($D626="","",Y626-Z626)</f>
        <v/>
      </c>
      <c r="AB626" s="7">
        <f>IF($D626="","",AA626-Q626)</f>
        <v/>
      </c>
      <c r="AD626">
        <f>IF($D626="","",IF($AP626=1,0,IF($AO626=1,Settings!$C$6,Settings!$C$7))*100)</f>
        <v/>
      </c>
      <c r="AH626" s="7" t="n"/>
      <c r="AK626" s="11" t="n"/>
      <c r="AM626">
        <f>IF($D626="","",IF(COUNTIF($D$2:$D626,$D626)=1,1,0))</f>
        <v/>
      </c>
      <c r="AN626">
        <f>IF($AM626=1,SUMPRODUCT(--($AQ$2:$AQ$1001&lt;$AQ626))+1,"")</f>
        <v/>
      </c>
      <c r="AO626">
        <f>IF($D626="","",IF(OR($U626=TRUE(),$U626="TRUE"),1,0))</f>
        <v/>
      </c>
      <c r="AP626">
        <f>IF($D626="","",IF($AC626="Yes",1,0))</f>
        <v/>
      </c>
      <c r="AQ626">
        <f>IF($AM626=1,IFERROR(VALUE(MID($D626,2,20)),1000000000)+ROW()/100000,"")</f>
        <v/>
      </c>
    </row>
    <row r="627">
      <c r="G627" s="11" t="n"/>
      <c r="Q627" s="7">
        <f>IF($D627="","",P627*Y627/100)</f>
        <v/>
      </c>
      <c r="R627" s="7" t="n"/>
      <c r="X627" s="7" t="n"/>
      <c r="Y627" s="7" t="n"/>
      <c r="Z627" s="7">
        <f>IF($D627="","",Y627*AD627/100)</f>
        <v/>
      </c>
      <c r="AA627" s="7">
        <f>IF($D627="","",Y627-Z627)</f>
        <v/>
      </c>
      <c r="AB627" s="7">
        <f>IF($D627="","",AA627-Q627)</f>
        <v/>
      </c>
      <c r="AD627">
        <f>IF($D627="","",IF($AP627=1,0,IF($AO627=1,Settings!$C$6,Settings!$C$7))*100)</f>
        <v/>
      </c>
      <c r="AH627" s="7" t="n"/>
      <c r="AK627" s="11" t="n"/>
      <c r="AM627">
        <f>IF($D627="","",IF(COUNTIF($D$2:$D627,$D627)=1,1,0))</f>
        <v/>
      </c>
      <c r="AN627">
        <f>IF($AM627=1,SUMPRODUCT(--($AQ$2:$AQ$1001&lt;$AQ627))+1,"")</f>
        <v/>
      </c>
      <c r="AO627">
        <f>IF($D627="","",IF(OR($U627=TRUE(),$U627="TRUE"),1,0))</f>
        <v/>
      </c>
      <c r="AP627">
        <f>IF($D627="","",IF($AC627="Yes",1,0))</f>
        <v/>
      </c>
      <c r="AQ627">
        <f>IF($AM627=1,IFERROR(VALUE(MID($D627,2,20)),1000000000)+ROW()/100000,"")</f>
        <v/>
      </c>
    </row>
    <row r="628">
      <c r="G628" s="11" t="n"/>
      <c r="Q628" s="7">
        <f>IF($D628="","",P628*Y628/100)</f>
        <v/>
      </c>
      <c r="R628" s="7" t="n"/>
      <c r="X628" s="7" t="n"/>
      <c r="Y628" s="7" t="n"/>
      <c r="Z628" s="7">
        <f>IF($D628="","",Y628*AD628/100)</f>
        <v/>
      </c>
      <c r="AA628" s="7">
        <f>IF($D628="","",Y628-Z628)</f>
        <v/>
      </c>
      <c r="AB628" s="7">
        <f>IF($D628="","",AA628-Q628)</f>
        <v/>
      </c>
      <c r="AD628">
        <f>IF($D628="","",IF($AP628=1,0,IF($AO628=1,Settings!$C$6,Settings!$C$7))*100)</f>
        <v/>
      </c>
      <c r="AH628" s="7" t="n"/>
      <c r="AK628" s="11" t="n"/>
      <c r="AM628">
        <f>IF($D628="","",IF(COUNTIF($D$2:$D628,$D628)=1,1,0))</f>
        <v/>
      </c>
      <c r="AN628">
        <f>IF($AM628=1,SUMPRODUCT(--($AQ$2:$AQ$1001&lt;$AQ628))+1,"")</f>
        <v/>
      </c>
      <c r="AO628">
        <f>IF($D628="","",IF(OR($U628=TRUE(),$U628="TRUE"),1,0))</f>
        <v/>
      </c>
      <c r="AP628">
        <f>IF($D628="","",IF($AC628="Yes",1,0))</f>
        <v/>
      </c>
      <c r="AQ628">
        <f>IF($AM628=1,IFERROR(VALUE(MID($D628,2,20)),1000000000)+ROW()/100000,"")</f>
        <v/>
      </c>
    </row>
    <row r="629">
      <c r="G629" s="11" t="n"/>
      <c r="Q629" s="7">
        <f>IF($D629="","",P629*Y629/100)</f>
        <v/>
      </c>
      <c r="R629" s="7" t="n"/>
      <c r="X629" s="7" t="n"/>
      <c r="Y629" s="7" t="n"/>
      <c r="Z629" s="7">
        <f>IF($D629="","",Y629*AD629/100)</f>
        <v/>
      </c>
      <c r="AA629" s="7">
        <f>IF($D629="","",Y629-Z629)</f>
        <v/>
      </c>
      <c r="AB629" s="7">
        <f>IF($D629="","",AA629-Q629)</f>
        <v/>
      </c>
      <c r="AD629">
        <f>IF($D629="","",IF($AP629=1,0,IF($AO629=1,Settings!$C$6,Settings!$C$7))*100)</f>
        <v/>
      </c>
      <c r="AH629" s="7" t="n"/>
      <c r="AK629" s="11" t="n"/>
      <c r="AM629">
        <f>IF($D629="","",IF(COUNTIF($D$2:$D629,$D629)=1,1,0))</f>
        <v/>
      </c>
      <c r="AN629">
        <f>IF($AM629=1,SUMPRODUCT(--($AQ$2:$AQ$1001&lt;$AQ629))+1,"")</f>
        <v/>
      </c>
      <c r="AO629">
        <f>IF($D629="","",IF(OR($U629=TRUE(),$U629="TRUE"),1,0))</f>
        <v/>
      </c>
      <c r="AP629">
        <f>IF($D629="","",IF($AC629="Yes",1,0))</f>
        <v/>
      </c>
      <c r="AQ629">
        <f>IF($AM629=1,IFERROR(VALUE(MID($D629,2,20)),1000000000)+ROW()/100000,"")</f>
        <v/>
      </c>
    </row>
    <row r="630">
      <c r="G630" s="11" t="n"/>
      <c r="Q630" s="7">
        <f>IF($D630="","",P630*Y630/100)</f>
        <v/>
      </c>
      <c r="R630" s="7" t="n"/>
      <c r="X630" s="7" t="n"/>
      <c r="Y630" s="7" t="n"/>
      <c r="Z630" s="7">
        <f>IF($D630="","",Y630*AD630/100)</f>
        <v/>
      </c>
      <c r="AA630" s="7">
        <f>IF($D630="","",Y630-Z630)</f>
        <v/>
      </c>
      <c r="AB630" s="7">
        <f>IF($D630="","",AA630-Q630)</f>
        <v/>
      </c>
      <c r="AD630">
        <f>IF($D630="","",IF($AP630=1,0,IF($AO630=1,Settings!$C$6,Settings!$C$7))*100)</f>
        <v/>
      </c>
      <c r="AH630" s="7" t="n"/>
      <c r="AK630" s="11" t="n"/>
      <c r="AM630">
        <f>IF($D630="","",IF(COUNTIF($D$2:$D630,$D630)=1,1,0))</f>
        <v/>
      </c>
      <c r="AN630">
        <f>IF($AM630=1,SUMPRODUCT(--($AQ$2:$AQ$1001&lt;$AQ630))+1,"")</f>
        <v/>
      </c>
      <c r="AO630">
        <f>IF($D630="","",IF(OR($U630=TRUE(),$U630="TRUE"),1,0))</f>
        <v/>
      </c>
      <c r="AP630">
        <f>IF($D630="","",IF($AC630="Yes",1,0))</f>
        <v/>
      </c>
      <c r="AQ630">
        <f>IF($AM630=1,IFERROR(VALUE(MID($D630,2,20)),1000000000)+ROW()/100000,"")</f>
        <v/>
      </c>
    </row>
    <row r="631">
      <c r="G631" s="11" t="n"/>
      <c r="Q631" s="7">
        <f>IF($D631="","",P631*Y631/100)</f>
        <v/>
      </c>
      <c r="R631" s="7" t="n"/>
      <c r="X631" s="7" t="n"/>
      <c r="Y631" s="7" t="n"/>
      <c r="Z631" s="7">
        <f>IF($D631="","",Y631*AD631/100)</f>
        <v/>
      </c>
      <c r="AA631" s="7">
        <f>IF($D631="","",Y631-Z631)</f>
        <v/>
      </c>
      <c r="AB631" s="7">
        <f>IF($D631="","",AA631-Q631)</f>
        <v/>
      </c>
      <c r="AD631">
        <f>IF($D631="","",IF($AP631=1,0,IF($AO631=1,Settings!$C$6,Settings!$C$7))*100)</f>
        <v/>
      </c>
      <c r="AH631" s="7" t="n"/>
      <c r="AK631" s="11" t="n"/>
      <c r="AM631">
        <f>IF($D631="","",IF(COUNTIF($D$2:$D631,$D631)=1,1,0))</f>
        <v/>
      </c>
      <c r="AN631">
        <f>IF($AM631=1,SUMPRODUCT(--($AQ$2:$AQ$1001&lt;$AQ631))+1,"")</f>
        <v/>
      </c>
      <c r="AO631">
        <f>IF($D631="","",IF(OR($U631=TRUE(),$U631="TRUE"),1,0))</f>
        <v/>
      </c>
      <c r="AP631">
        <f>IF($D631="","",IF($AC631="Yes",1,0))</f>
        <v/>
      </c>
      <c r="AQ631">
        <f>IF($AM631=1,IFERROR(VALUE(MID($D631,2,20)),1000000000)+ROW()/100000,"")</f>
        <v/>
      </c>
    </row>
    <row r="632">
      <c r="G632" s="11" t="n"/>
      <c r="Q632" s="7">
        <f>IF($D632="","",P632*Y632/100)</f>
        <v/>
      </c>
      <c r="R632" s="7" t="n"/>
      <c r="X632" s="7" t="n"/>
      <c r="Y632" s="7" t="n"/>
      <c r="Z632" s="7">
        <f>IF($D632="","",Y632*AD632/100)</f>
        <v/>
      </c>
      <c r="AA632" s="7">
        <f>IF($D632="","",Y632-Z632)</f>
        <v/>
      </c>
      <c r="AB632" s="7">
        <f>IF($D632="","",AA632-Q632)</f>
        <v/>
      </c>
      <c r="AD632">
        <f>IF($D632="","",IF($AP632=1,0,IF($AO632=1,Settings!$C$6,Settings!$C$7))*100)</f>
        <v/>
      </c>
      <c r="AH632" s="7" t="n"/>
      <c r="AK632" s="11" t="n"/>
      <c r="AM632">
        <f>IF($D632="","",IF(COUNTIF($D$2:$D632,$D632)=1,1,0))</f>
        <v/>
      </c>
      <c r="AN632">
        <f>IF($AM632=1,SUMPRODUCT(--($AQ$2:$AQ$1001&lt;$AQ632))+1,"")</f>
        <v/>
      </c>
      <c r="AO632">
        <f>IF($D632="","",IF(OR($U632=TRUE(),$U632="TRUE"),1,0))</f>
        <v/>
      </c>
      <c r="AP632">
        <f>IF($D632="","",IF($AC632="Yes",1,0))</f>
        <v/>
      </c>
      <c r="AQ632">
        <f>IF($AM632=1,IFERROR(VALUE(MID($D632,2,20)),1000000000)+ROW()/100000,"")</f>
        <v/>
      </c>
    </row>
    <row r="633">
      <c r="G633" s="11" t="n"/>
      <c r="Q633" s="7">
        <f>IF($D633="","",P633*Y633/100)</f>
        <v/>
      </c>
      <c r="R633" s="7" t="n"/>
      <c r="X633" s="7" t="n"/>
      <c r="Y633" s="7" t="n"/>
      <c r="Z633" s="7">
        <f>IF($D633="","",Y633*AD633/100)</f>
        <v/>
      </c>
      <c r="AA633" s="7">
        <f>IF($D633="","",Y633-Z633)</f>
        <v/>
      </c>
      <c r="AB633" s="7">
        <f>IF($D633="","",AA633-Q633)</f>
        <v/>
      </c>
      <c r="AD633">
        <f>IF($D633="","",IF($AP633=1,0,IF($AO633=1,Settings!$C$6,Settings!$C$7))*100)</f>
        <v/>
      </c>
      <c r="AH633" s="7" t="n"/>
      <c r="AK633" s="11" t="n"/>
      <c r="AM633">
        <f>IF($D633="","",IF(COUNTIF($D$2:$D633,$D633)=1,1,0))</f>
        <v/>
      </c>
      <c r="AN633">
        <f>IF($AM633=1,SUMPRODUCT(--($AQ$2:$AQ$1001&lt;$AQ633))+1,"")</f>
        <v/>
      </c>
      <c r="AO633">
        <f>IF($D633="","",IF(OR($U633=TRUE(),$U633="TRUE"),1,0))</f>
        <v/>
      </c>
      <c r="AP633">
        <f>IF($D633="","",IF($AC633="Yes",1,0))</f>
        <v/>
      </c>
      <c r="AQ633">
        <f>IF($AM633=1,IFERROR(VALUE(MID($D633,2,20)),1000000000)+ROW()/100000,"")</f>
        <v/>
      </c>
    </row>
    <row r="634">
      <c r="G634" s="11" t="n"/>
      <c r="Q634" s="7">
        <f>IF($D634="","",P634*Y634/100)</f>
        <v/>
      </c>
      <c r="R634" s="7" t="n"/>
      <c r="X634" s="7" t="n"/>
      <c r="Y634" s="7" t="n"/>
      <c r="Z634" s="7">
        <f>IF($D634="","",Y634*AD634/100)</f>
        <v/>
      </c>
      <c r="AA634" s="7">
        <f>IF($D634="","",Y634-Z634)</f>
        <v/>
      </c>
      <c r="AB634" s="7">
        <f>IF($D634="","",AA634-Q634)</f>
        <v/>
      </c>
      <c r="AD634">
        <f>IF($D634="","",IF($AP634=1,0,IF($AO634=1,Settings!$C$6,Settings!$C$7))*100)</f>
        <v/>
      </c>
      <c r="AH634" s="7" t="n"/>
      <c r="AK634" s="11" t="n"/>
      <c r="AM634">
        <f>IF($D634="","",IF(COUNTIF($D$2:$D634,$D634)=1,1,0))</f>
        <v/>
      </c>
      <c r="AN634">
        <f>IF($AM634=1,SUMPRODUCT(--($AQ$2:$AQ$1001&lt;$AQ634))+1,"")</f>
        <v/>
      </c>
      <c r="AO634">
        <f>IF($D634="","",IF(OR($U634=TRUE(),$U634="TRUE"),1,0))</f>
        <v/>
      </c>
      <c r="AP634">
        <f>IF($D634="","",IF($AC634="Yes",1,0))</f>
        <v/>
      </c>
      <c r="AQ634">
        <f>IF($AM634=1,IFERROR(VALUE(MID($D634,2,20)),1000000000)+ROW()/100000,"")</f>
        <v/>
      </c>
    </row>
    <row r="635">
      <c r="G635" s="11" t="n"/>
      <c r="Q635" s="7">
        <f>IF($D635="","",P635*Y635/100)</f>
        <v/>
      </c>
      <c r="R635" s="7" t="n"/>
      <c r="X635" s="7" t="n"/>
      <c r="Y635" s="7" t="n"/>
      <c r="Z635" s="7">
        <f>IF($D635="","",Y635*AD635/100)</f>
        <v/>
      </c>
      <c r="AA635" s="7">
        <f>IF($D635="","",Y635-Z635)</f>
        <v/>
      </c>
      <c r="AB635" s="7">
        <f>IF($D635="","",AA635-Q635)</f>
        <v/>
      </c>
      <c r="AD635">
        <f>IF($D635="","",IF($AP635=1,0,IF($AO635=1,Settings!$C$6,Settings!$C$7))*100)</f>
        <v/>
      </c>
      <c r="AH635" s="7" t="n"/>
      <c r="AK635" s="11" t="n"/>
      <c r="AM635">
        <f>IF($D635="","",IF(COUNTIF($D$2:$D635,$D635)=1,1,0))</f>
        <v/>
      </c>
      <c r="AN635">
        <f>IF($AM635=1,SUMPRODUCT(--($AQ$2:$AQ$1001&lt;$AQ635))+1,"")</f>
        <v/>
      </c>
      <c r="AO635">
        <f>IF($D635="","",IF(OR($U635=TRUE(),$U635="TRUE"),1,0))</f>
        <v/>
      </c>
      <c r="AP635">
        <f>IF($D635="","",IF($AC635="Yes",1,0))</f>
        <v/>
      </c>
      <c r="AQ635">
        <f>IF($AM635=1,IFERROR(VALUE(MID($D635,2,20)),1000000000)+ROW()/100000,"")</f>
        <v/>
      </c>
    </row>
    <row r="636">
      <c r="G636" s="11" t="n"/>
      <c r="Q636" s="7">
        <f>IF($D636="","",P636*Y636/100)</f>
        <v/>
      </c>
      <c r="R636" s="7" t="n"/>
      <c r="X636" s="7" t="n"/>
      <c r="Y636" s="7" t="n"/>
      <c r="Z636" s="7">
        <f>IF($D636="","",Y636*AD636/100)</f>
        <v/>
      </c>
      <c r="AA636" s="7">
        <f>IF($D636="","",Y636-Z636)</f>
        <v/>
      </c>
      <c r="AB636" s="7">
        <f>IF($D636="","",AA636-Q636)</f>
        <v/>
      </c>
      <c r="AD636">
        <f>IF($D636="","",IF($AP636=1,0,IF($AO636=1,Settings!$C$6,Settings!$C$7))*100)</f>
        <v/>
      </c>
      <c r="AH636" s="7" t="n"/>
      <c r="AK636" s="11" t="n"/>
      <c r="AM636">
        <f>IF($D636="","",IF(COUNTIF($D$2:$D636,$D636)=1,1,0))</f>
        <v/>
      </c>
      <c r="AN636">
        <f>IF($AM636=1,SUMPRODUCT(--($AQ$2:$AQ$1001&lt;$AQ636))+1,"")</f>
        <v/>
      </c>
      <c r="AO636">
        <f>IF($D636="","",IF(OR($U636=TRUE(),$U636="TRUE"),1,0))</f>
        <v/>
      </c>
      <c r="AP636">
        <f>IF($D636="","",IF($AC636="Yes",1,0))</f>
        <v/>
      </c>
      <c r="AQ636">
        <f>IF($AM636=1,IFERROR(VALUE(MID($D636,2,20)),1000000000)+ROW()/100000,"")</f>
        <v/>
      </c>
    </row>
    <row r="637">
      <c r="G637" s="11" t="n"/>
      <c r="Q637" s="7">
        <f>IF($D637="","",P637*Y637/100)</f>
        <v/>
      </c>
      <c r="R637" s="7" t="n"/>
      <c r="X637" s="7" t="n"/>
      <c r="Y637" s="7" t="n"/>
      <c r="Z637" s="7">
        <f>IF($D637="","",Y637*AD637/100)</f>
        <v/>
      </c>
      <c r="AA637" s="7">
        <f>IF($D637="","",Y637-Z637)</f>
        <v/>
      </c>
      <c r="AB637" s="7">
        <f>IF($D637="","",AA637-Q637)</f>
        <v/>
      </c>
      <c r="AD637">
        <f>IF($D637="","",IF($AP637=1,0,IF($AO637=1,Settings!$C$6,Settings!$C$7))*100)</f>
        <v/>
      </c>
      <c r="AH637" s="7" t="n"/>
      <c r="AK637" s="11" t="n"/>
      <c r="AM637">
        <f>IF($D637="","",IF(COUNTIF($D$2:$D637,$D637)=1,1,0))</f>
        <v/>
      </c>
      <c r="AN637">
        <f>IF($AM637=1,SUMPRODUCT(--($AQ$2:$AQ$1001&lt;$AQ637))+1,"")</f>
        <v/>
      </c>
      <c r="AO637">
        <f>IF($D637="","",IF(OR($U637=TRUE(),$U637="TRUE"),1,0))</f>
        <v/>
      </c>
      <c r="AP637">
        <f>IF($D637="","",IF($AC637="Yes",1,0))</f>
        <v/>
      </c>
      <c r="AQ637">
        <f>IF($AM637=1,IFERROR(VALUE(MID($D637,2,20)),1000000000)+ROW()/100000,"")</f>
        <v/>
      </c>
    </row>
    <row r="638">
      <c r="G638" s="11" t="n"/>
      <c r="Q638" s="7">
        <f>IF($D638="","",P638*Y638/100)</f>
        <v/>
      </c>
      <c r="R638" s="7" t="n"/>
      <c r="X638" s="7" t="n"/>
      <c r="Y638" s="7" t="n"/>
      <c r="Z638" s="7">
        <f>IF($D638="","",Y638*AD638/100)</f>
        <v/>
      </c>
      <c r="AA638" s="7">
        <f>IF($D638="","",Y638-Z638)</f>
        <v/>
      </c>
      <c r="AB638" s="7">
        <f>IF($D638="","",AA638-Q638)</f>
        <v/>
      </c>
      <c r="AD638">
        <f>IF($D638="","",IF($AP638=1,0,IF($AO638=1,Settings!$C$6,Settings!$C$7))*100)</f>
        <v/>
      </c>
      <c r="AH638" s="7" t="n"/>
      <c r="AK638" s="11" t="n"/>
      <c r="AM638">
        <f>IF($D638="","",IF(COUNTIF($D$2:$D638,$D638)=1,1,0))</f>
        <v/>
      </c>
      <c r="AN638">
        <f>IF($AM638=1,SUMPRODUCT(--($AQ$2:$AQ$1001&lt;$AQ638))+1,"")</f>
        <v/>
      </c>
      <c r="AO638">
        <f>IF($D638="","",IF(OR($U638=TRUE(),$U638="TRUE"),1,0))</f>
        <v/>
      </c>
      <c r="AP638">
        <f>IF($D638="","",IF($AC638="Yes",1,0))</f>
        <v/>
      </c>
      <c r="AQ638">
        <f>IF($AM638=1,IFERROR(VALUE(MID($D638,2,20)),1000000000)+ROW()/100000,"")</f>
        <v/>
      </c>
    </row>
    <row r="639">
      <c r="G639" s="11" t="n"/>
      <c r="Q639" s="7">
        <f>IF($D639="","",P639*Y639/100)</f>
        <v/>
      </c>
      <c r="R639" s="7" t="n"/>
      <c r="X639" s="7" t="n"/>
      <c r="Y639" s="7" t="n"/>
      <c r="Z639" s="7">
        <f>IF($D639="","",Y639*AD639/100)</f>
        <v/>
      </c>
      <c r="AA639" s="7">
        <f>IF($D639="","",Y639-Z639)</f>
        <v/>
      </c>
      <c r="AB639" s="7">
        <f>IF($D639="","",AA639-Q639)</f>
        <v/>
      </c>
      <c r="AD639">
        <f>IF($D639="","",IF($AP639=1,0,IF($AO639=1,Settings!$C$6,Settings!$C$7))*100)</f>
        <v/>
      </c>
      <c r="AH639" s="7" t="n"/>
      <c r="AK639" s="11" t="n"/>
      <c r="AM639">
        <f>IF($D639="","",IF(COUNTIF($D$2:$D639,$D639)=1,1,0))</f>
        <v/>
      </c>
      <c r="AN639">
        <f>IF($AM639=1,SUMPRODUCT(--($AQ$2:$AQ$1001&lt;$AQ639))+1,"")</f>
        <v/>
      </c>
      <c r="AO639">
        <f>IF($D639="","",IF(OR($U639=TRUE(),$U639="TRUE"),1,0))</f>
        <v/>
      </c>
      <c r="AP639">
        <f>IF($D639="","",IF($AC639="Yes",1,0))</f>
        <v/>
      </c>
      <c r="AQ639">
        <f>IF($AM639=1,IFERROR(VALUE(MID($D639,2,20)),1000000000)+ROW()/100000,"")</f>
        <v/>
      </c>
    </row>
    <row r="640">
      <c r="G640" s="11" t="n"/>
      <c r="Q640" s="7">
        <f>IF($D640="","",P640*Y640/100)</f>
        <v/>
      </c>
      <c r="R640" s="7" t="n"/>
      <c r="X640" s="7" t="n"/>
      <c r="Y640" s="7" t="n"/>
      <c r="Z640" s="7">
        <f>IF($D640="","",Y640*AD640/100)</f>
        <v/>
      </c>
      <c r="AA640" s="7">
        <f>IF($D640="","",Y640-Z640)</f>
        <v/>
      </c>
      <c r="AB640" s="7">
        <f>IF($D640="","",AA640-Q640)</f>
        <v/>
      </c>
      <c r="AD640">
        <f>IF($D640="","",IF($AP640=1,0,IF($AO640=1,Settings!$C$6,Settings!$C$7))*100)</f>
        <v/>
      </c>
      <c r="AH640" s="7" t="n"/>
      <c r="AK640" s="11" t="n"/>
      <c r="AM640">
        <f>IF($D640="","",IF(COUNTIF($D$2:$D640,$D640)=1,1,0))</f>
        <v/>
      </c>
      <c r="AN640">
        <f>IF($AM640=1,SUMPRODUCT(--($AQ$2:$AQ$1001&lt;$AQ640))+1,"")</f>
        <v/>
      </c>
      <c r="AO640">
        <f>IF($D640="","",IF(OR($U640=TRUE(),$U640="TRUE"),1,0))</f>
        <v/>
      </c>
      <c r="AP640">
        <f>IF($D640="","",IF($AC640="Yes",1,0))</f>
        <v/>
      </c>
      <c r="AQ640">
        <f>IF($AM640=1,IFERROR(VALUE(MID($D640,2,20)),1000000000)+ROW()/100000,"")</f>
        <v/>
      </c>
    </row>
    <row r="641">
      <c r="G641" s="11" t="n"/>
      <c r="Q641" s="7">
        <f>IF($D641="","",P641*Y641/100)</f>
        <v/>
      </c>
      <c r="R641" s="7" t="n"/>
      <c r="X641" s="7" t="n"/>
      <c r="Y641" s="7" t="n"/>
      <c r="Z641" s="7">
        <f>IF($D641="","",Y641*AD641/100)</f>
        <v/>
      </c>
      <c r="AA641" s="7">
        <f>IF($D641="","",Y641-Z641)</f>
        <v/>
      </c>
      <c r="AB641" s="7">
        <f>IF($D641="","",AA641-Q641)</f>
        <v/>
      </c>
      <c r="AD641">
        <f>IF($D641="","",IF($AP641=1,0,IF($AO641=1,Settings!$C$6,Settings!$C$7))*100)</f>
        <v/>
      </c>
      <c r="AH641" s="7" t="n"/>
      <c r="AK641" s="11" t="n"/>
      <c r="AM641">
        <f>IF($D641="","",IF(COUNTIF($D$2:$D641,$D641)=1,1,0))</f>
        <v/>
      </c>
      <c r="AN641">
        <f>IF($AM641=1,SUMPRODUCT(--($AQ$2:$AQ$1001&lt;$AQ641))+1,"")</f>
        <v/>
      </c>
      <c r="AO641">
        <f>IF($D641="","",IF(OR($U641=TRUE(),$U641="TRUE"),1,0))</f>
        <v/>
      </c>
      <c r="AP641">
        <f>IF($D641="","",IF($AC641="Yes",1,0))</f>
        <v/>
      </c>
      <c r="AQ641">
        <f>IF($AM641=1,IFERROR(VALUE(MID($D641,2,20)),1000000000)+ROW()/100000,"")</f>
        <v/>
      </c>
    </row>
    <row r="642">
      <c r="G642" s="11" t="n"/>
      <c r="Q642" s="7">
        <f>IF($D642="","",P642*Y642/100)</f>
        <v/>
      </c>
      <c r="R642" s="7" t="n"/>
      <c r="X642" s="7" t="n"/>
      <c r="Y642" s="7" t="n"/>
      <c r="Z642" s="7">
        <f>IF($D642="","",Y642*AD642/100)</f>
        <v/>
      </c>
      <c r="AA642" s="7">
        <f>IF($D642="","",Y642-Z642)</f>
        <v/>
      </c>
      <c r="AB642" s="7">
        <f>IF($D642="","",AA642-Q642)</f>
        <v/>
      </c>
      <c r="AD642">
        <f>IF($D642="","",IF($AP642=1,0,IF($AO642=1,Settings!$C$6,Settings!$C$7))*100)</f>
        <v/>
      </c>
      <c r="AH642" s="7" t="n"/>
      <c r="AK642" s="11" t="n"/>
      <c r="AM642">
        <f>IF($D642="","",IF(COUNTIF($D$2:$D642,$D642)=1,1,0))</f>
        <v/>
      </c>
      <c r="AN642">
        <f>IF($AM642=1,SUMPRODUCT(--($AQ$2:$AQ$1001&lt;$AQ642))+1,"")</f>
        <v/>
      </c>
      <c r="AO642">
        <f>IF($D642="","",IF(OR($U642=TRUE(),$U642="TRUE"),1,0))</f>
        <v/>
      </c>
      <c r="AP642">
        <f>IF($D642="","",IF($AC642="Yes",1,0))</f>
        <v/>
      </c>
      <c r="AQ642">
        <f>IF($AM642=1,IFERROR(VALUE(MID($D642,2,20)),1000000000)+ROW()/100000,"")</f>
        <v/>
      </c>
    </row>
    <row r="643">
      <c r="G643" s="11" t="n"/>
      <c r="Q643" s="7">
        <f>IF($D643="","",P643*Y643/100)</f>
        <v/>
      </c>
      <c r="R643" s="7" t="n"/>
      <c r="X643" s="7" t="n"/>
      <c r="Y643" s="7" t="n"/>
      <c r="Z643" s="7">
        <f>IF($D643="","",Y643*AD643/100)</f>
        <v/>
      </c>
      <c r="AA643" s="7">
        <f>IF($D643="","",Y643-Z643)</f>
        <v/>
      </c>
      <c r="AB643" s="7">
        <f>IF($D643="","",AA643-Q643)</f>
        <v/>
      </c>
      <c r="AD643">
        <f>IF($D643="","",IF($AP643=1,0,IF($AO643=1,Settings!$C$6,Settings!$C$7))*100)</f>
        <v/>
      </c>
      <c r="AH643" s="7" t="n"/>
      <c r="AK643" s="11" t="n"/>
      <c r="AM643">
        <f>IF($D643="","",IF(COUNTIF($D$2:$D643,$D643)=1,1,0))</f>
        <v/>
      </c>
      <c r="AN643">
        <f>IF($AM643=1,SUMPRODUCT(--($AQ$2:$AQ$1001&lt;$AQ643))+1,"")</f>
        <v/>
      </c>
      <c r="AO643">
        <f>IF($D643="","",IF(OR($U643=TRUE(),$U643="TRUE"),1,0))</f>
        <v/>
      </c>
      <c r="AP643">
        <f>IF($D643="","",IF($AC643="Yes",1,0))</f>
        <v/>
      </c>
      <c r="AQ643">
        <f>IF($AM643=1,IFERROR(VALUE(MID($D643,2,20)),1000000000)+ROW()/100000,"")</f>
        <v/>
      </c>
    </row>
    <row r="644">
      <c r="G644" s="11" t="n"/>
      <c r="Q644" s="7">
        <f>IF($D644="","",P644*Y644/100)</f>
        <v/>
      </c>
      <c r="R644" s="7" t="n"/>
      <c r="X644" s="7" t="n"/>
      <c r="Y644" s="7" t="n"/>
      <c r="Z644" s="7">
        <f>IF($D644="","",Y644*AD644/100)</f>
        <v/>
      </c>
      <c r="AA644" s="7">
        <f>IF($D644="","",Y644-Z644)</f>
        <v/>
      </c>
      <c r="AB644" s="7">
        <f>IF($D644="","",AA644-Q644)</f>
        <v/>
      </c>
      <c r="AD644">
        <f>IF($D644="","",IF($AP644=1,0,IF($AO644=1,Settings!$C$6,Settings!$C$7))*100)</f>
        <v/>
      </c>
      <c r="AH644" s="7" t="n"/>
      <c r="AK644" s="11" t="n"/>
      <c r="AM644">
        <f>IF($D644="","",IF(COUNTIF($D$2:$D644,$D644)=1,1,0))</f>
        <v/>
      </c>
      <c r="AN644">
        <f>IF($AM644=1,SUMPRODUCT(--($AQ$2:$AQ$1001&lt;$AQ644))+1,"")</f>
        <v/>
      </c>
      <c r="AO644">
        <f>IF($D644="","",IF(OR($U644=TRUE(),$U644="TRUE"),1,0))</f>
        <v/>
      </c>
      <c r="AP644">
        <f>IF($D644="","",IF($AC644="Yes",1,0))</f>
        <v/>
      </c>
      <c r="AQ644">
        <f>IF($AM644=1,IFERROR(VALUE(MID($D644,2,20)),1000000000)+ROW()/100000,"")</f>
        <v/>
      </c>
    </row>
    <row r="645">
      <c r="G645" s="11" t="n"/>
      <c r="Q645" s="7">
        <f>IF($D645="","",P645*Y645/100)</f>
        <v/>
      </c>
      <c r="R645" s="7" t="n"/>
      <c r="X645" s="7" t="n"/>
      <c r="Y645" s="7" t="n"/>
      <c r="Z645" s="7">
        <f>IF($D645="","",Y645*AD645/100)</f>
        <v/>
      </c>
      <c r="AA645" s="7">
        <f>IF($D645="","",Y645-Z645)</f>
        <v/>
      </c>
      <c r="AB645" s="7">
        <f>IF($D645="","",AA645-Q645)</f>
        <v/>
      </c>
      <c r="AD645">
        <f>IF($D645="","",IF($AP645=1,0,IF($AO645=1,Settings!$C$6,Settings!$C$7))*100)</f>
        <v/>
      </c>
      <c r="AH645" s="7" t="n"/>
      <c r="AK645" s="11" t="n"/>
      <c r="AM645">
        <f>IF($D645="","",IF(COUNTIF($D$2:$D645,$D645)=1,1,0))</f>
        <v/>
      </c>
      <c r="AN645">
        <f>IF($AM645=1,SUMPRODUCT(--($AQ$2:$AQ$1001&lt;$AQ645))+1,"")</f>
        <v/>
      </c>
      <c r="AO645">
        <f>IF($D645="","",IF(OR($U645=TRUE(),$U645="TRUE"),1,0))</f>
        <v/>
      </c>
      <c r="AP645">
        <f>IF($D645="","",IF($AC645="Yes",1,0))</f>
        <v/>
      </c>
      <c r="AQ645">
        <f>IF($AM645=1,IFERROR(VALUE(MID($D645,2,20)),1000000000)+ROW()/100000,"")</f>
        <v/>
      </c>
    </row>
    <row r="646">
      <c r="G646" s="11" t="n"/>
      <c r="Q646" s="7">
        <f>IF($D646="","",P646*Y646/100)</f>
        <v/>
      </c>
      <c r="R646" s="7" t="n"/>
      <c r="X646" s="7" t="n"/>
      <c r="Y646" s="7" t="n"/>
      <c r="Z646" s="7">
        <f>IF($D646="","",Y646*AD646/100)</f>
        <v/>
      </c>
      <c r="AA646" s="7">
        <f>IF($D646="","",Y646-Z646)</f>
        <v/>
      </c>
      <c r="AB646" s="7">
        <f>IF($D646="","",AA646-Q646)</f>
        <v/>
      </c>
      <c r="AD646">
        <f>IF($D646="","",IF($AP646=1,0,IF($AO646=1,Settings!$C$6,Settings!$C$7))*100)</f>
        <v/>
      </c>
      <c r="AH646" s="7" t="n"/>
      <c r="AK646" s="11" t="n"/>
      <c r="AM646">
        <f>IF($D646="","",IF(COUNTIF($D$2:$D646,$D646)=1,1,0))</f>
        <v/>
      </c>
      <c r="AN646">
        <f>IF($AM646=1,SUMPRODUCT(--($AQ$2:$AQ$1001&lt;$AQ646))+1,"")</f>
        <v/>
      </c>
      <c r="AO646">
        <f>IF($D646="","",IF(OR($U646=TRUE(),$U646="TRUE"),1,0))</f>
        <v/>
      </c>
      <c r="AP646">
        <f>IF($D646="","",IF($AC646="Yes",1,0))</f>
        <v/>
      </c>
      <c r="AQ646">
        <f>IF($AM646=1,IFERROR(VALUE(MID($D646,2,20)),1000000000)+ROW()/100000,"")</f>
        <v/>
      </c>
    </row>
    <row r="647">
      <c r="G647" s="11" t="n"/>
      <c r="Q647" s="7">
        <f>IF($D647="","",P647*Y647/100)</f>
        <v/>
      </c>
      <c r="R647" s="7" t="n"/>
      <c r="X647" s="7" t="n"/>
      <c r="Y647" s="7" t="n"/>
      <c r="Z647" s="7">
        <f>IF($D647="","",Y647*AD647/100)</f>
        <v/>
      </c>
      <c r="AA647" s="7">
        <f>IF($D647="","",Y647-Z647)</f>
        <v/>
      </c>
      <c r="AB647" s="7">
        <f>IF($D647="","",AA647-Q647)</f>
        <v/>
      </c>
      <c r="AD647">
        <f>IF($D647="","",IF($AP647=1,0,IF($AO647=1,Settings!$C$6,Settings!$C$7))*100)</f>
        <v/>
      </c>
      <c r="AH647" s="7" t="n"/>
      <c r="AK647" s="11" t="n"/>
      <c r="AM647">
        <f>IF($D647="","",IF(COUNTIF($D$2:$D647,$D647)=1,1,0))</f>
        <v/>
      </c>
      <c r="AN647">
        <f>IF($AM647=1,SUMPRODUCT(--($AQ$2:$AQ$1001&lt;$AQ647))+1,"")</f>
        <v/>
      </c>
      <c r="AO647">
        <f>IF($D647="","",IF(OR($U647=TRUE(),$U647="TRUE"),1,0))</f>
        <v/>
      </c>
      <c r="AP647">
        <f>IF($D647="","",IF($AC647="Yes",1,0))</f>
        <v/>
      </c>
      <c r="AQ647">
        <f>IF($AM647=1,IFERROR(VALUE(MID($D647,2,20)),1000000000)+ROW()/100000,"")</f>
        <v/>
      </c>
    </row>
    <row r="648">
      <c r="G648" s="11" t="n"/>
      <c r="Q648" s="7">
        <f>IF($D648="","",P648*Y648/100)</f>
        <v/>
      </c>
      <c r="R648" s="7" t="n"/>
      <c r="X648" s="7" t="n"/>
      <c r="Y648" s="7" t="n"/>
      <c r="Z648" s="7">
        <f>IF($D648="","",Y648*AD648/100)</f>
        <v/>
      </c>
      <c r="AA648" s="7">
        <f>IF($D648="","",Y648-Z648)</f>
        <v/>
      </c>
      <c r="AB648" s="7">
        <f>IF($D648="","",AA648-Q648)</f>
        <v/>
      </c>
      <c r="AD648">
        <f>IF($D648="","",IF($AP648=1,0,IF($AO648=1,Settings!$C$6,Settings!$C$7))*100)</f>
        <v/>
      </c>
      <c r="AH648" s="7" t="n"/>
      <c r="AK648" s="11" t="n"/>
      <c r="AM648">
        <f>IF($D648="","",IF(COUNTIF($D$2:$D648,$D648)=1,1,0))</f>
        <v/>
      </c>
      <c r="AN648">
        <f>IF($AM648=1,SUMPRODUCT(--($AQ$2:$AQ$1001&lt;$AQ648))+1,"")</f>
        <v/>
      </c>
      <c r="AO648">
        <f>IF($D648="","",IF(OR($U648=TRUE(),$U648="TRUE"),1,0))</f>
        <v/>
      </c>
      <c r="AP648">
        <f>IF($D648="","",IF($AC648="Yes",1,0))</f>
        <v/>
      </c>
      <c r="AQ648">
        <f>IF($AM648=1,IFERROR(VALUE(MID($D648,2,20)),1000000000)+ROW()/100000,"")</f>
        <v/>
      </c>
    </row>
    <row r="649">
      <c r="G649" s="11" t="n"/>
      <c r="Q649" s="7">
        <f>IF($D649="","",P649*Y649/100)</f>
        <v/>
      </c>
      <c r="R649" s="7" t="n"/>
      <c r="X649" s="7" t="n"/>
      <c r="Y649" s="7" t="n"/>
      <c r="Z649" s="7">
        <f>IF($D649="","",Y649*AD649/100)</f>
        <v/>
      </c>
      <c r="AA649" s="7">
        <f>IF($D649="","",Y649-Z649)</f>
        <v/>
      </c>
      <c r="AB649" s="7">
        <f>IF($D649="","",AA649-Q649)</f>
        <v/>
      </c>
      <c r="AD649">
        <f>IF($D649="","",IF($AP649=1,0,IF($AO649=1,Settings!$C$6,Settings!$C$7))*100)</f>
        <v/>
      </c>
      <c r="AH649" s="7" t="n"/>
      <c r="AK649" s="11" t="n"/>
      <c r="AM649">
        <f>IF($D649="","",IF(COUNTIF($D$2:$D649,$D649)=1,1,0))</f>
        <v/>
      </c>
      <c r="AN649">
        <f>IF($AM649=1,SUMPRODUCT(--($AQ$2:$AQ$1001&lt;$AQ649))+1,"")</f>
        <v/>
      </c>
      <c r="AO649">
        <f>IF($D649="","",IF(OR($U649=TRUE(),$U649="TRUE"),1,0))</f>
        <v/>
      </c>
      <c r="AP649">
        <f>IF($D649="","",IF($AC649="Yes",1,0))</f>
        <v/>
      </c>
      <c r="AQ649">
        <f>IF($AM649=1,IFERROR(VALUE(MID($D649,2,20)),1000000000)+ROW()/100000,"")</f>
        <v/>
      </c>
    </row>
    <row r="650">
      <c r="G650" s="11" t="n"/>
      <c r="Q650" s="7">
        <f>IF($D650="","",P650*Y650/100)</f>
        <v/>
      </c>
      <c r="R650" s="7" t="n"/>
      <c r="X650" s="7" t="n"/>
      <c r="Y650" s="7" t="n"/>
      <c r="Z650" s="7">
        <f>IF($D650="","",Y650*AD650/100)</f>
        <v/>
      </c>
      <c r="AA650" s="7">
        <f>IF($D650="","",Y650-Z650)</f>
        <v/>
      </c>
      <c r="AB650" s="7">
        <f>IF($D650="","",AA650-Q650)</f>
        <v/>
      </c>
      <c r="AD650">
        <f>IF($D650="","",IF($AP650=1,0,IF($AO650=1,Settings!$C$6,Settings!$C$7))*100)</f>
        <v/>
      </c>
      <c r="AH650" s="7" t="n"/>
      <c r="AK650" s="11" t="n"/>
      <c r="AM650">
        <f>IF($D650="","",IF(COUNTIF($D$2:$D650,$D650)=1,1,0))</f>
        <v/>
      </c>
      <c r="AN650">
        <f>IF($AM650=1,SUMPRODUCT(--($AQ$2:$AQ$1001&lt;$AQ650))+1,"")</f>
        <v/>
      </c>
      <c r="AO650">
        <f>IF($D650="","",IF(OR($U650=TRUE(),$U650="TRUE"),1,0))</f>
        <v/>
      </c>
      <c r="AP650">
        <f>IF($D650="","",IF($AC650="Yes",1,0))</f>
        <v/>
      </c>
      <c r="AQ650">
        <f>IF($AM650=1,IFERROR(VALUE(MID($D650,2,20)),1000000000)+ROW()/100000,"")</f>
        <v/>
      </c>
    </row>
    <row r="651">
      <c r="G651" s="11" t="n"/>
      <c r="Q651" s="7">
        <f>IF($D651="","",P651*Y651/100)</f>
        <v/>
      </c>
      <c r="R651" s="7" t="n"/>
      <c r="X651" s="7" t="n"/>
      <c r="Y651" s="7" t="n"/>
      <c r="Z651" s="7">
        <f>IF($D651="","",Y651*AD651/100)</f>
        <v/>
      </c>
      <c r="AA651" s="7">
        <f>IF($D651="","",Y651-Z651)</f>
        <v/>
      </c>
      <c r="AB651" s="7">
        <f>IF($D651="","",AA651-Q651)</f>
        <v/>
      </c>
      <c r="AD651">
        <f>IF($D651="","",IF($AP651=1,0,IF($AO651=1,Settings!$C$6,Settings!$C$7))*100)</f>
        <v/>
      </c>
      <c r="AH651" s="7" t="n"/>
      <c r="AK651" s="11" t="n"/>
      <c r="AM651">
        <f>IF($D651="","",IF(COUNTIF($D$2:$D651,$D651)=1,1,0))</f>
        <v/>
      </c>
      <c r="AN651">
        <f>IF($AM651=1,SUMPRODUCT(--($AQ$2:$AQ$1001&lt;$AQ651))+1,"")</f>
        <v/>
      </c>
      <c r="AO651">
        <f>IF($D651="","",IF(OR($U651=TRUE(),$U651="TRUE"),1,0))</f>
        <v/>
      </c>
      <c r="AP651">
        <f>IF($D651="","",IF($AC651="Yes",1,0))</f>
        <v/>
      </c>
      <c r="AQ651">
        <f>IF($AM651=1,IFERROR(VALUE(MID($D651,2,20)),1000000000)+ROW()/100000,"")</f>
        <v/>
      </c>
    </row>
    <row r="652">
      <c r="G652" s="11" t="n"/>
      <c r="Q652" s="7">
        <f>IF($D652="","",P652*Y652/100)</f>
        <v/>
      </c>
      <c r="R652" s="7" t="n"/>
      <c r="X652" s="7" t="n"/>
      <c r="Y652" s="7" t="n"/>
      <c r="Z652" s="7">
        <f>IF($D652="","",Y652*AD652/100)</f>
        <v/>
      </c>
      <c r="AA652" s="7">
        <f>IF($D652="","",Y652-Z652)</f>
        <v/>
      </c>
      <c r="AB652" s="7">
        <f>IF($D652="","",AA652-Q652)</f>
        <v/>
      </c>
      <c r="AD652">
        <f>IF($D652="","",IF($AP652=1,0,IF($AO652=1,Settings!$C$6,Settings!$C$7))*100)</f>
        <v/>
      </c>
      <c r="AH652" s="7" t="n"/>
      <c r="AK652" s="11" t="n"/>
      <c r="AM652">
        <f>IF($D652="","",IF(COUNTIF($D$2:$D652,$D652)=1,1,0))</f>
        <v/>
      </c>
      <c r="AN652">
        <f>IF($AM652=1,SUMPRODUCT(--($AQ$2:$AQ$1001&lt;$AQ652))+1,"")</f>
        <v/>
      </c>
      <c r="AO652">
        <f>IF($D652="","",IF(OR($U652=TRUE(),$U652="TRUE"),1,0))</f>
        <v/>
      </c>
      <c r="AP652">
        <f>IF($D652="","",IF($AC652="Yes",1,0))</f>
        <v/>
      </c>
      <c r="AQ652">
        <f>IF($AM652=1,IFERROR(VALUE(MID($D652,2,20)),1000000000)+ROW()/100000,"")</f>
        <v/>
      </c>
    </row>
    <row r="653">
      <c r="G653" s="11" t="n"/>
      <c r="Q653" s="7">
        <f>IF($D653="","",P653*Y653/100)</f>
        <v/>
      </c>
      <c r="R653" s="7" t="n"/>
      <c r="X653" s="7" t="n"/>
      <c r="Y653" s="7" t="n"/>
      <c r="Z653" s="7">
        <f>IF($D653="","",Y653*AD653/100)</f>
        <v/>
      </c>
      <c r="AA653" s="7">
        <f>IF($D653="","",Y653-Z653)</f>
        <v/>
      </c>
      <c r="AB653" s="7">
        <f>IF($D653="","",AA653-Q653)</f>
        <v/>
      </c>
      <c r="AD653">
        <f>IF($D653="","",IF($AP653=1,0,IF($AO653=1,Settings!$C$6,Settings!$C$7))*100)</f>
        <v/>
      </c>
      <c r="AH653" s="7" t="n"/>
      <c r="AK653" s="11" t="n"/>
      <c r="AM653">
        <f>IF($D653="","",IF(COUNTIF($D$2:$D653,$D653)=1,1,0))</f>
        <v/>
      </c>
      <c r="AN653">
        <f>IF($AM653=1,SUMPRODUCT(--($AQ$2:$AQ$1001&lt;$AQ653))+1,"")</f>
        <v/>
      </c>
      <c r="AO653">
        <f>IF($D653="","",IF(OR($U653=TRUE(),$U653="TRUE"),1,0))</f>
        <v/>
      </c>
      <c r="AP653">
        <f>IF($D653="","",IF($AC653="Yes",1,0))</f>
        <v/>
      </c>
      <c r="AQ653">
        <f>IF($AM653=1,IFERROR(VALUE(MID($D653,2,20)),1000000000)+ROW()/100000,"")</f>
        <v/>
      </c>
    </row>
    <row r="654">
      <c r="G654" s="11" t="n"/>
      <c r="Q654" s="7">
        <f>IF($D654="","",P654*Y654/100)</f>
        <v/>
      </c>
      <c r="R654" s="7" t="n"/>
      <c r="X654" s="7" t="n"/>
      <c r="Y654" s="7" t="n"/>
      <c r="Z654" s="7">
        <f>IF($D654="","",Y654*AD654/100)</f>
        <v/>
      </c>
      <c r="AA654" s="7">
        <f>IF($D654="","",Y654-Z654)</f>
        <v/>
      </c>
      <c r="AB654" s="7">
        <f>IF($D654="","",AA654-Q654)</f>
        <v/>
      </c>
      <c r="AD654">
        <f>IF($D654="","",IF($AP654=1,0,IF($AO654=1,Settings!$C$6,Settings!$C$7))*100)</f>
        <v/>
      </c>
      <c r="AH654" s="7" t="n"/>
      <c r="AK654" s="11" t="n"/>
      <c r="AM654">
        <f>IF($D654="","",IF(COUNTIF($D$2:$D654,$D654)=1,1,0))</f>
        <v/>
      </c>
      <c r="AN654">
        <f>IF($AM654=1,SUMPRODUCT(--($AQ$2:$AQ$1001&lt;$AQ654))+1,"")</f>
        <v/>
      </c>
      <c r="AO654">
        <f>IF($D654="","",IF(OR($U654=TRUE(),$U654="TRUE"),1,0))</f>
        <v/>
      </c>
      <c r="AP654">
        <f>IF($D654="","",IF($AC654="Yes",1,0))</f>
        <v/>
      </c>
      <c r="AQ654">
        <f>IF($AM654=1,IFERROR(VALUE(MID($D654,2,20)),1000000000)+ROW()/100000,"")</f>
        <v/>
      </c>
    </row>
    <row r="655">
      <c r="G655" s="11" t="n"/>
      <c r="Q655" s="7">
        <f>IF($D655="","",P655*Y655/100)</f>
        <v/>
      </c>
      <c r="R655" s="7" t="n"/>
      <c r="X655" s="7" t="n"/>
      <c r="Y655" s="7" t="n"/>
      <c r="Z655" s="7">
        <f>IF($D655="","",Y655*AD655/100)</f>
        <v/>
      </c>
      <c r="AA655" s="7">
        <f>IF($D655="","",Y655-Z655)</f>
        <v/>
      </c>
      <c r="AB655" s="7">
        <f>IF($D655="","",AA655-Q655)</f>
        <v/>
      </c>
      <c r="AD655">
        <f>IF($D655="","",IF($AP655=1,0,IF($AO655=1,Settings!$C$6,Settings!$C$7))*100)</f>
        <v/>
      </c>
      <c r="AH655" s="7" t="n"/>
      <c r="AK655" s="11" t="n"/>
      <c r="AM655">
        <f>IF($D655="","",IF(COUNTIF($D$2:$D655,$D655)=1,1,0))</f>
        <v/>
      </c>
      <c r="AN655">
        <f>IF($AM655=1,SUMPRODUCT(--($AQ$2:$AQ$1001&lt;$AQ655))+1,"")</f>
        <v/>
      </c>
      <c r="AO655">
        <f>IF($D655="","",IF(OR($U655=TRUE(),$U655="TRUE"),1,0))</f>
        <v/>
      </c>
      <c r="AP655">
        <f>IF($D655="","",IF($AC655="Yes",1,0))</f>
        <v/>
      </c>
      <c r="AQ655">
        <f>IF($AM655=1,IFERROR(VALUE(MID($D655,2,20)),1000000000)+ROW()/100000,"")</f>
        <v/>
      </c>
    </row>
    <row r="656">
      <c r="G656" s="11" t="n"/>
      <c r="Q656" s="7">
        <f>IF($D656="","",P656*Y656/100)</f>
        <v/>
      </c>
      <c r="R656" s="7" t="n"/>
      <c r="X656" s="7" t="n"/>
      <c r="Y656" s="7" t="n"/>
      <c r="Z656" s="7">
        <f>IF($D656="","",Y656*AD656/100)</f>
        <v/>
      </c>
      <c r="AA656" s="7">
        <f>IF($D656="","",Y656-Z656)</f>
        <v/>
      </c>
      <c r="AB656" s="7">
        <f>IF($D656="","",AA656-Q656)</f>
        <v/>
      </c>
      <c r="AD656">
        <f>IF($D656="","",IF($AP656=1,0,IF($AO656=1,Settings!$C$6,Settings!$C$7))*100)</f>
        <v/>
      </c>
      <c r="AH656" s="7" t="n"/>
      <c r="AK656" s="11" t="n"/>
      <c r="AM656">
        <f>IF($D656="","",IF(COUNTIF($D$2:$D656,$D656)=1,1,0))</f>
        <v/>
      </c>
      <c r="AN656">
        <f>IF($AM656=1,SUMPRODUCT(--($AQ$2:$AQ$1001&lt;$AQ656))+1,"")</f>
        <v/>
      </c>
      <c r="AO656">
        <f>IF($D656="","",IF(OR($U656=TRUE(),$U656="TRUE"),1,0))</f>
        <v/>
      </c>
      <c r="AP656">
        <f>IF($D656="","",IF($AC656="Yes",1,0))</f>
        <v/>
      </c>
      <c r="AQ656">
        <f>IF($AM656=1,IFERROR(VALUE(MID($D656,2,20)),1000000000)+ROW()/100000,"")</f>
        <v/>
      </c>
    </row>
    <row r="657">
      <c r="G657" s="11" t="n"/>
      <c r="Q657" s="7">
        <f>IF($D657="","",P657*Y657/100)</f>
        <v/>
      </c>
      <c r="R657" s="7" t="n"/>
      <c r="X657" s="7" t="n"/>
      <c r="Y657" s="7" t="n"/>
      <c r="Z657" s="7">
        <f>IF($D657="","",Y657*AD657/100)</f>
        <v/>
      </c>
      <c r="AA657" s="7">
        <f>IF($D657="","",Y657-Z657)</f>
        <v/>
      </c>
      <c r="AB657" s="7">
        <f>IF($D657="","",AA657-Q657)</f>
        <v/>
      </c>
      <c r="AD657">
        <f>IF($D657="","",IF($AP657=1,0,IF($AO657=1,Settings!$C$6,Settings!$C$7))*100)</f>
        <v/>
      </c>
      <c r="AH657" s="7" t="n"/>
      <c r="AK657" s="11" t="n"/>
      <c r="AM657">
        <f>IF($D657="","",IF(COUNTIF($D$2:$D657,$D657)=1,1,0))</f>
        <v/>
      </c>
      <c r="AN657">
        <f>IF($AM657=1,SUMPRODUCT(--($AQ$2:$AQ$1001&lt;$AQ657))+1,"")</f>
        <v/>
      </c>
      <c r="AO657">
        <f>IF($D657="","",IF(OR($U657=TRUE(),$U657="TRUE"),1,0))</f>
        <v/>
      </c>
      <c r="AP657">
        <f>IF($D657="","",IF($AC657="Yes",1,0))</f>
        <v/>
      </c>
      <c r="AQ657">
        <f>IF($AM657=1,IFERROR(VALUE(MID($D657,2,20)),1000000000)+ROW()/100000,"")</f>
        <v/>
      </c>
    </row>
    <row r="658">
      <c r="G658" s="11" t="n"/>
      <c r="Q658" s="7">
        <f>IF($D658="","",P658*Y658/100)</f>
        <v/>
      </c>
      <c r="R658" s="7" t="n"/>
      <c r="X658" s="7" t="n"/>
      <c r="Y658" s="7" t="n"/>
      <c r="Z658" s="7">
        <f>IF($D658="","",Y658*AD658/100)</f>
        <v/>
      </c>
      <c r="AA658" s="7">
        <f>IF($D658="","",Y658-Z658)</f>
        <v/>
      </c>
      <c r="AB658" s="7">
        <f>IF($D658="","",AA658-Q658)</f>
        <v/>
      </c>
      <c r="AD658">
        <f>IF($D658="","",IF($AP658=1,0,IF($AO658=1,Settings!$C$6,Settings!$C$7))*100)</f>
        <v/>
      </c>
      <c r="AH658" s="7" t="n"/>
      <c r="AK658" s="11" t="n"/>
      <c r="AM658">
        <f>IF($D658="","",IF(COUNTIF($D$2:$D658,$D658)=1,1,0))</f>
        <v/>
      </c>
      <c r="AN658">
        <f>IF($AM658=1,SUMPRODUCT(--($AQ$2:$AQ$1001&lt;$AQ658))+1,"")</f>
        <v/>
      </c>
      <c r="AO658">
        <f>IF($D658="","",IF(OR($U658=TRUE(),$U658="TRUE"),1,0))</f>
        <v/>
      </c>
      <c r="AP658">
        <f>IF($D658="","",IF($AC658="Yes",1,0))</f>
        <v/>
      </c>
      <c r="AQ658">
        <f>IF($AM658=1,IFERROR(VALUE(MID($D658,2,20)),1000000000)+ROW()/100000,"")</f>
        <v/>
      </c>
    </row>
    <row r="659">
      <c r="G659" s="11" t="n"/>
      <c r="Q659" s="7">
        <f>IF($D659="","",P659*Y659/100)</f>
        <v/>
      </c>
      <c r="R659" s="7" t="n"/>
      <c r="X659" s="7" t="n"/>
      <c r="Y659" s="7" t="n"/>
      <c r="Z659" s="7">
        <f>IF($D659="","",Y659*AD659/100)</f>
        <v/>
      </c>
      <c r="AA659" s="7">
        <f>IF($D659="","",Y659-Z659)</f>
        <v/>
      </c>
      <c r="AB659" s="7">
        <f>IF($D659="","",AA659-Q659)</f>
        <v/>
      </c>
      <c r="AD659">
        <f>IF($D659="","",IF($AP659=1,0,IF($AO659=1,Settings!$C$6,Settings!$C$7))*100)</f>
        <v/>
      </c>
      <c r="AH659" s="7" t="n"/>
      <c r="AK659" s="11" t="n"/>
      <c r="AM659">
        <f>IF($D659="","",IF(COUNTIF($D$2:$D659,$D659)=1,1,0))</f>
        <v/>
      </c>
      <c r="AN659">
        <f>IF($AM659=1,SUMPRODUCT(--($AQ$2:$AQ$1001&lt;$AQ659))+1,"")</f>
        <v/>
      </c>
      <c r="AO659">
        <f>IF($D659="","",IF(OR($U659=TRUE(),$U659="TRUE"),1,0))</f>
        <v/>
      </c>
      <c r="AP659">
        <f>IF($D659="","",IF($AC659="Yes",1,0))</f>
        <v/>
      </c>
      <c r="AQ659">
        <f>IF($AM659=1,IFERROR(VALUE(MID($D659,2,20)),1000000000)+ROW()/100000,"")</f>
        <v/>
      </c>
    </row>
    <row r="660">
      <c r="G660" s="11" t="n"/>
      <c r="Q660" s="7">
        <f>IF($D660="","",P660*Y660/100)</f>
        <v/>
      </c>
      <c r="R660" s="7" t="n"/>
      <c r="X660" s="7" t="n"/>
      <c r="Y660" s="7" t="n"/>
      <c r="Z660" s="7">
        <f>IF($D660="","",Y660*AD660/100)</f>
        <v/>
      </c>
      <c r="AA660" s="7">
        <f>IF($D660="","",Y660-Z660)</f>
        <v/>
      </c>
      <c r="AB660" s="7">
        <f>IF($D660="","",AA660-Q660)</f>
        <v/>
      </c>
      <c r="AD660">
        <f>IF($D660="","",IF($AP660=1,0,IF($AO660=1,Settings!$C$6,Settings!$C$7))*100)</f>
        <v/>
      </c>
      <c r="AH660" s="7" t="n"/>
      <c r="AK660" s="11" t="n"/>
      <c r="AM660">
        <f>IF($D660="","",IF(COUNTIF($D$2:$D660,$D660)=1,1,0))</f>
        <v/>
      </c>
      <c r="AN660">
        <f>IF($AM660=1,SUMPRODUCT(--($AQ$2:$AQ$1001&lt;$AQ660))+1,"")</f>
        <v/>
      </c>
      <c r="AO660">
        <f>IF($D660="","",IF(OR($U660=TRUE(),$U660="TRUE"),1,0))</f>
        <v/>
      </c>
      <c r="AP660">
        <f>IF($D660="","",IF($AC660="Yes",1,0))</f>
        <v/>
      </c>
      <c r="AQ660">
        <f>IF($AM660=1,IFERROR(VALUE(MID($D660,2,20)),1000000000)+ROW()/100000,"")</f>
        <v/>
      </c>
    </row>
    <row r="661">
      <c r="G661" s="11" t="n"/>
      <c r="Q661" s="7">
        <f>IF($D661="","",P661*Y661/100)</f>
        <v/>
      </c>
      <c r="R661" s="7" t="n"/>
      <c r="X661" s="7" t="n"/>
      <c r="Y661" s="7" t="n"/>
      <c r="Z661" s="7">
        <f>IF($D661="","",Y661*AD661/100)</f>
        <v/>
      </c>
      <c r="AA661" s="7">
        <f>IF($D661="","",Y661-Z661)</f>
        <v/>
      </c>
      <c r="AB661" s="7">
        <f>IF($D661="","",AA661-Q661)</f>
        <v/>
      </c>
      <c r="AD661">
        <f>IF($D661="","",IF($AP661=1,0,IF($AO661=1,Settings!$C$6,Settings!$C$7))*100)</f>
        <v/>
      </c>
      <c r="AH661" s="7" t="n"/>
      <c r="AK661" s="11" t="n"/>
      <c r="AM661">
        <f>IF($D661="","",IF(COUNTIF($D$2:$D661,$D661)=1,1,0))</f>
        <v/>
      </c>
      <c r="AN661">
        <f>IF($AM661=1,SUMPRODUCT(--($AQ$2:$AQ$1001&lt;$AQ661))+1,"")</f>
        <v/>
      </c>
      <c r="AO661">
        <f>IF($D661="","",IF(OR($U661=TRUE(),$U661="TRUE"),1,0))</f>
        <v/>
      </c>
      <c r="AP661">
        <f>IF($D661="","",IF($AC661="Yes",1,0))</f>
        <v/>
      </c>
      <c r="AQ661">
        <f>IF($AM661=1,IFERROR(VALUE(MID($D661,2,20)),1000000000)+ROW()/100000,"")</f>
        <v/>
      </c>
    </row>
    <row r="662">
      <c r="G662" s="11" t="n"/>
      <c r="Q662" s="7">
        <f>IF($D662="","",P662*Y662/100)</f>
        <v/>
      </c>
      <c r="R662" s="7" t="n"/>
      <c r="X662" s="7" t="n"/>
      <c r="Y662" s="7" t="n"/>
      <c r="Z662" s="7">
        <f>IF($D662="","",Y662*AD662/100)</f>
        <v/>
      </c>
      <c r="AA662" s="7">
        <f>IF($D662="","",Y662-Z662)</f>
        <v/>
      </c>
      <c r="AB662" s="7">
        <f>IF($D662="","",AA662-Q662)</f>
        <v/>
      </c>
      <c r="AD662">
        <f>IF($D662="","",IF($AP662=1,0,IF($AO662=1,Settings!$C$6,Settings!$C$7))*100)</f>
        <v/>
      </c>
      <c r="AH662" s="7" t="n"/>
      <c r="AK662" s="11" t="n"/>
      <c r="AM662">
        <f>IF($D662="","",IF(COUNTIF($D$2:$D662,$D662)=1,1,0))</f>
        <v/>
      </c>
      <c r="AN662">
        <f>IF($AM662=1,SUMPRODUCT(--($AQ$2:$AQ$1001&lt;$AQ662))+1,"")</f>
        <v/>
      </c>
      <c r="AO662">
        <f>IF($D662="","",IF(OR($U662=TRUE(),$U662="TRUE"),1,0))</f>
        <v/>
      </c>
      <c r="AP662">
        <f>IF($D662="","",IF($AC662="Yes",1,0))</f>
        <v/>
      </c>
      <c r="AQ662">
        <f>IF($AM662=1,IFERROR(VALUE(MID($D662,2,20)),1000000000)+ROW()/100000,"")</f>
        <v/>
      </c>
    </row>
    <row r="663">
      <c r="G663" s="11" t="n"/>
      <c r="Q663" s="7">
        <f>IF($D663="","",P663*Y663/100)</f>
        <v/>
      </c>
      <c r="R663" s="7" t="n"/>
      <c r="X663" s="7" t="n"/>
      <c r="Y663" s="7" t="n"/>
      <c r="Z663" s="7">
        <f>IF($D663="","",Y663*AD663/100)</f>
        <v/>
      </c>
      <c r="AA663" s="7">
        <f>IF($D663="","",Y663-Z663)</f>
        <v/>
      </c>
      <c r="AB663" s="7">
        <f>IF($D663="","",AA663-Q663)</f>
        <v/>
      </c>
      <c r="AD663">
        <f>IF($D663="","",IF($AP663=1,0,IF($AO663=1,Settings!$C$6,Settings!$C$7))*100)</f>
        <v/>
      </c>
      <c r="AH663" s="7" t="n"/>
      <c r="AK663" s="11" t="n"/>
      <c r="AM663">
        <f>IF($D663="","",IF(COUNTIF($D$2:$D663,$D663)=1,1,0))</f>
        <v/>
      </c>
      <c r="AN663">
        <f>IF($AM663=1,SUMPRODUCT(--($AQ$2:$AQ$1001&lt;$AQ663))+1,"")</f>
        <v/>
      </c>
      <c r="AO663">
        <f>IF($D663="","",IF(OR($U663=TRUE(),$U663="TRUE"),1,0))</f>
        <v/>
      </c>
      <c r="AP663">
        <f>IF($D663="","",IF($AC663="Yes",1,0))</f>
        <v/>
      </c>
      <c r="AQ663">
        <f>IF($AM663=1,IFERROR(VALUE(MID($D663,2,20)),1000000000)+ROW()/100000,"")</f>
        <v/>
      </c>
    </row>
    <row r="664">
      <c r="G664" s="11" t="n"/>
      <c r="Q664" s="7">
        <f>IF($D664="","",P664*Y664/100)</f>
        <v/>
      </c>
      <c r="R664" s="7" t="n"/>
      <c r="X664" s="7" t="n"/>
      <c r="Y664" s="7" t="n"/>
      <c r="Z664" s="7">
        <f>IF($D664="","",Y664*AD664/100)</f>
        <v/>
      </c>
      <c r="AA664" s="7">
        <f>IF($D664="","",Y664-Z664)</f>
        <v/>
      </c>
      <c r="AB664" s="7">
        <f>IF($D664="","",AA664-Q664)</f>
        <v/>
      </c>
      <c r="AD664">
        <f>IF($D664="","",IF($AP664=1,0,IF($AO664=1,Settings!$C$6,Settings!$C$7))*100)</f>
        <v/>
      </c>
      <c r="AH664" s="7" t="n"/>
      <c r="AK664" s="11" t="n"/>
      <c r="AM664">
        <f>IF($D664="","",IF(COUNTIF($D$2:$D664,$D664)=1,1,0))</f>
        <v/>
      </c>
      <c r="AN664">
        <f>IF($AM664=1,SUMPRODUCT(--($AQ$2:$AQ$1001&lt;$AQ664))+1,"")</f>
        <v/>
      </c>
      <c r="AO664">
        <f>IF($D664="","",IF(OR($U664=TRUE(),$U664="TRUE"),1,0))</f>
        <v/>
      </c>
      <c r="AP664">
        <f>IF($D664="","",IF($AC664="Yes",1,0))</f>
        <v/>
      </c>
      <c r="AQ664">
        <f>IF($AM664=1,IFERROR(VALUE(MID($D664,2,20)),1000000000)+ROW()/100000,"")</f>
        <v/>
      </c>
    </row>
    <row r="665">
      <c r="G665" s="11" t="n"/>
      <c r="Q665" s="7">
        <f>IF($D665="","",P665*Y665/100)</f>
        <v/>
      </c>
      <c r="R665" s="7" t="n"/>
      <c r="X665" s="7" t="n"/>
      <c r="Y665" s="7" t="n"/>
      <c r="Z665" s="7">
        <f>IF($D665="","",Y665*AD665/100)</f>
        <v/>
      </c>
      <c r="AA665" s="7">
        <f>IF($D665="","",Y665-Z665)</f>
        <v/>
      </c>
      <c r="AB665" s="7">
        <f>IF($D665="","",AA665-Q665)</f>
        <v/>
      </c>
      <c r="AD665">
        <f>IF($D665="","",IF($AP665=1,0,IF($AO665=1,Settings!$C$6,Settings!$C$7))*100)</f>
        <v/>
      </c>
      <c r="AH665" s="7" t="n"/>
      <c r="AK665" s="11" t="n"/>
      <c r="AM665">
        <f>IF($D665="","",IF(COUNTIF($D$2:$D665,$D665)=1,1,0))</f>
        <v/>
      </c>
      <c r="AN665">
        <f>IF($AM665=1,SUMPRODUCT(--($AQ$2:$AQ$1001&lt;$AQ665))+1,"")</f>
        <v/>
      </c>
      <c r="AO665">
        <f>IF($D665="","",IF(OR($U665=TRUE(),$U665="TRUE"),1,0))</f>
        <v/>
      </c>
      <c r="AP665">
        <f>IF($D665="","",IF($AC665="Yes",1,0))</f>
        <v/>
      </c>
      <c r="AQ665">
        <f>IF($AM665=1,IFERROR(VALUE(MID($D665,2,20)),1000000000)+ROW()/100000,"")</f>
        <v/>
      </c>
    </row>
    <row r="666">
      <c r="G666" s="11" t="n"/>
      <c r="Q666" s="7">
        <f>IF($D666="","",P666*Y666/100)</f>
        <v/>
      </c>
      <c r="R666" s="7" t="n"/>
      <c r="X666" s="7" t="n"/>
      <c r="Y666" s="7" t="n"/>
      <c r="Z666" s="7">
        <f>IF($D666="","",Y666*AD666/100)</f>
        <v/>
      </c>
      <c r="AA666" s="7">
        <f>IF($D666="","",Y666-Z666)</f>
        <v/>
      </c>
      <c r="AB666" s="7">
        <f>IF($D666="","",AA666-Q666)</f>
        <v/>
      </c>
      <c r="AD666">
        <f>IF($D666="","",IF($AP666=1,0,IF($AO666=1,Settings!$C$6,Settings!$C$7))*100)</f>
        <v/>
      </c>
      <c r="AH666" s="7" t="n"/>
      <c r="AK666" s="11" t="n"/>
      <c r="AM666">
        <f>IF($D666="","",IF(COUNTIF($D$2:$D666,$D666)=1,1,0))</f>
        <v/>
      </c>
      <c r="AN666">
        <f>IF($AM666=1,SUMPRODUCT(--($AQ$2:$AQ$1001&lt;$AQ666))+1,"")</f>
        <v/>
      </c>
      <c r="AO666">
        <f>IF($D666="","",IF(OR($U666=TRUE(),$U666="TRUE"),1,0))</f>
        <v/>
      </c>
      <c r="AP666">
        <f>IF($D666="","",IF($AC666="Yes",1,0))</f>
        <v/>
      </c>
      <c r="AQ666">
        <f>IF($AM666=1,IFERROR(VALUE(MID($D666,2,20)),1000000000)+ROW()/100000,"")</f>
        <v/>
      </c>
    </row>
    <row r="667">
      <c r="G667" s="11" t="n"/>
      <c r="Q667" s="7">
        <f>IF($D667="","",P667*Y667/100)</f>
        <v/>
      </c>
      <c r="R667" s="7" t="n"/>
      <c r="X667" s="7" t="n"/>
      <c r="Y667" s="7" t="n"/>
      <c r="Z667" s="7">
        <f>IF($D667="","",Y667*AD667/100)</f>
        <v/>
      </c>
      <c r="AA667" s="7">
        <f>IF($D667="","",Y667-Z667)</f>
        <v/>
      </c>
      <c r="AB667" s="7">
        <f>IF($D667="","",AA667-Q667)</f>
        <v/>
      </c>
      <c r="AD667">
        <f>IF($D667="","",IF($AP667=1,0,IF($AO667=1,Settings!$C$6,Settings!$C$7))*100)</f>
        <v/>
      </c>
      <c r="AH667" s="7" t="n"/>
      <c r="AK667" s="11" t="n"/>
      <c r="AM667">
        <f>IF($D667="","",IF(COUNTIF($D$2:$D667,$D667)=1,1,0))</f>
        <v/>
      </c>
      <c r="AN667">
        <f>IF($AM667=1,SUMPRODUCT(--($AQ$2:$AQ$1001&lt;$AQ667))+1,"")</f>
        <v/>
      </c>
      <c r="AO667">
        <f>IF($D667="","",IF(OR($U667=TRUE(),$U667="TRUE"),1,0))</f>
        <v/>
      </c>
      <c r="AP667">
        <f>IF($D667="","",IF($AC667="Yes",1,0))</f>
        <v/>
      </c>
      <c r="AQ667">
        <f>IF($AM667=1,IFERROR(VALUE(MID($D667,2,20)),1000000000)+ROW()/100000,"")</f>
        <v/>
      </c>
    </row>
    <row r="668">
      <c r="G668" s="11" t="n"/>
      <c r="Q668" s="7">
        <f>IF($D668="","",P668*Y668/100)</f>
        <v/>
      </c>
      <c r="R668" s="7" t="n"/>
      <c r="X668" s="7" t="n"/>
      <c r="Y668" s="7" t="n"/>
      <c r="Z668" s="7">
        <f>IF($D668="","",Y668*AD668/100)</f>
        <v/>
      </c>
      <c r="AA668" s="7">
        <f>IF($D668="","",Y668-Z668)</f>
        <v/>
      </c>
      <c r="AB668" s="7">
        <f>IF($D668="","",AA668-Q668)</f>
        <v/>
      </c>
      <c r="AD668">
        <f>IF($D668="","",IF($AP668=1,0,IF($AO668=1,Settings!$C$6,Settings!$C$7))*100)</f>
        <v/>
      </c>
      <c r="AH668" s="7" t="n"/>
      <c r="AK668" s="11" t="n"/>
      <c r="AM668">
        <f>IF($D668="","",IF(COUNTIF($D$2:$D668,$D668)=1,1,0))</f>
        <v/>
      </c>
      <c r="AN668">
        <f>IF($AM668=1,SUMPRODUCT(--($AQ$2:$AQ$1001&lt;$AQ668))+1,"")</f>
        <v/>
      </c>
      <c r="AO668">
        <f>IF($D668="","",IF(OR($U668=TRUE(),$U668="TRUE"),1,0))</f>
        <v/>
      </c>
      <c r="AP668">
        <f>IF($D668="","",IF($AC668="Yes",1,0))</f>
        <v/>
      </c>
      <c r="AQ668">
        <f>IF($AM668=1,IFERROR(VALUE(MID($D668,2,20)),1000000000)+ROW()/100000,"")</f>
        <v/>
      </c>
    </row>
    <row r="669">
      <c r="G669" s="11" t="n"/>
      <c r="Q669" s="7">
        <f>IF($D669="","",P669*Y669/100)</f>
        <v/>
      </c>
      <c r="R669" s="7" t="n"/>
      <c r="X669" s="7" t="n"/>
      <c r="Y669" s="7" t="n"/>
      <c r="Z669" s="7">
        <f>IF($D669="","",Y669*AD669/100)</f>
        <v/>
      </c>
      <c r="AA669" s="7">
        <f>IF($D669="","",Y669-Z669)</f>
        <v/>
      </c>
      <c r="AB669" s="7">
        <f>IF($D669="","",AA669-Q669)</f>
        <v/>
      </c>
      <c r="AD669">
        <f>IF($D669="","",IF($AP669=1,0,IF($AO669=1,Settings!$C$6,Settings!$C$7))*100)</f>
        <v/>
      </c>
      <c r="AH669" s="7" t="n"/>
      <c r="AK669" s="11" t="n"/>
      <c r="AM669">
        <f>IF($D669="","",IF(COUNTIF($D$2:$D669,$D669)=1,1,0))</f>
        <v/>
      </c>
      <c r="AN669">
        <f>IF($AM669=1,SUMPRODUCT(--($AQ$2:$AQ$1001&lt;$AQ669))+1,"")</f>
        <v/>
      </c>
      <c r="AO669">
        <f>IF($D669="","",IF(OR($U669=TRUE(),$U669="TRUE"),1,0))</f>
        <v/>
      </c>
      <c r="AP669">
        <f>IF($D669="","",IF($AC669="Yes",1,0))</f>
        <v/>
      </c>
      <c r="AQ669">
        <f>IF($AM669=1,IFERROR(VALUE(MID($D669,2,20)),1000000000)+ROW()/100000,"")</f>
        <v/>
      </c>
    </row>
    <row r="670">
      <c r="G670" s="11" t="n"/>
      <c r="Q670" s="7">
        <f>IF($D670="","",P670*Y670/100)</f>
        <v/>
      </c>
      <c r="R670" s="7" t="n"/>
      <c r="X670" s="7" t="n"/>
      <c r="Y670" s="7" t="n"/>
      <c r="Z670" s="7">
        <f>IF($D670="","",Y670*AD670/100)</f>
        <v/>
      </c>
      <c r="AA670" s="7">
        <f>IF($D670="","",Y670-Z670)</f>
        <v/>
      </c>
      <c r="AB670" s="7">
        <f>IF($D670="","",AA670-Q670)</f>
        <v/>
      </c>
      <c r="AD670">
        <f>IF($D670="","",IF($AP670=1,0,IF($AO670=1,Settings!$C$6,Settings!$C$7))*100)</f>
        <v/>
      </c>
      <c r="AH670" s="7" t="n"/>
      <c r="AK670" s="11" t="n"/>
      <c r="AM670">
        <f>IF($D670="","",IF(COUNTIF($D$2:$D670,$D670)=1,1,0))</f>
        <v/>
      </c>
      <c r="AN670">
        <f>IF($AM670=1,SUMPRODUCT(--($AQ$2:$AQ$1001&lt;$AQ670))+1,"")</f>
        <v/>
      </c>
      <c r="AO670">
        <f>IF($D670="","",IF(OR($U670=TRUE(),$U670="TRUE"),1,0))</f>
        <v/>
      </c>
      <c r="AP670">
        <f>IF($D670="","",IF($AC670="Yes",1,0))</f>
        <v/>
      </c>
      <c r="AQ670">
        <f>IF($AM670=1,IFERROR(VALUE(MID($D670,2,20)),1000000000)+ROW()/100000,"")</f>
        <v/>
      </c>
    </row>
    <row r="671">
      <c r="G671" s="11" t="n"/>
      <c r="Q671" s="7">
        <f>IF($D671="","",P671*Y671/100)</f>
        <v/>
      </c>
      <c r="R671" s="7" t="n"/>
      <c r="X671" s="7" t="n"/>
      <c r="Y671" s="7" t="n"/>
      <c r="Z671" s="7">
        <f>IF($D671="","",Y671*AD671/100)</f>
        <v/>
      </c>
      <c r="AA671" s="7">
        <f>IF($D671="","",Y671-Z671)</f>
        <v/>
      </c>
      <c r="AB671" s="7">
        <f>IF($D671="","",AA671-Q671)</f>
        <v/>
      </c>
      <c r="AD671">
        <f>IF($D671="","",IF($AP671=1,0,IF($AO671=1,Settings!$C$6,Settings!$C$7))*100)</f>
        <v/>
      </c>
      <c r="AH671" s="7" t="n"/>
      <c r="AK671" s="11" t="n"/>
      <c r="AM671">
        <f>IF($D671="","",IF(COUNTIF($D$2:$D671,$D671)=1,1,0))</f>
        <v/>
      </c>
      <c r="AN671">
        <f>IF($AM671=1,SUMPRODUCT(--($AQ$2:$AQ$1001&lt;$AQ671))+1,"")</f>
        <v/>
      </c>
      <c r="AO671">
        <f>IF($D671="","",IF(OR($U671=TRUE(),$U671="TRUE"),1,0))</f>
        <v/>
      </c>
      <c r="AP671">
        <f>IF($D671="","",IF($AC671="Yes",1,0))</f>
        <v/>
      </c>
      <c r="AQ671">
        <f>IF($AM671=1,IFERROR(VALUE(MID($D671,2,20)),1000000000)+ROW()/100000,"")</f>
        <v/>
      </c>
    </row>
    <row r="672">
      <c r="G672" s="11" t="n"/>
      <c r="Q672" s="7">
        <f>IF($D672="","",P672*Y672/100)</f>
        <v/>
      </c>
      <c r="R672" s="7" t="n"/>
      <c r="X672" s="7" t="n"/>
      <c r="Y672" s="7" t="n"/>
      <c r="Z672" s="7">
        <f>IF($D672="","",Y672*AD672/100)</f>
        <v/>
      </c>
      <c r="AA672" s="7">
        <f>IF($D672="","",Y672-Z672)</f>
        <v/>
      </c>
      <c r="AB672" s="7">
        <f>IF($D672="","",AA672-Q672)</f>
        <v/>
      </c>
      <c r="AD672">
        <f>IF($D672="","",IF($AP672=1,0,IF($AO672=1,Settings!$C$6,Settings!$C$7))*100)</f>
        <v/>
      </c>
      <c r="AH672" s="7" t="n"/>
      <c r="AK672" s="11" t="n"/>
      <c r="AM672">
        <f>IF($D672="","",IF(COUNTIF($D$2:$D672,$D672)=1,1,0))</f>
        <v/>
      </c>
      <c r="AN672">
        <f>IF($AM672=1,SUMPRODUCT(--($AQ$2:$AQ$1001&lt;$AQ672))+1,"")</f>
        <v/>
      </c>
      <c r="AO672">
        <f>IF($D672="","",IF(OR($U672=TRUE(),$U672="TRUE"),1,0))</f>
        <v/>
      </c>
      <c r="AP672">
        <f>IF($D672="","",IF($AC672="Yes",1,0))</f>
        <v/>
      </c>
      <c r="AQ672">
        <f>IF($AM672=1,IFERROR(VALUE(MID($D672,2,20)),1000000000)+ROW()/100000,"")</f>
        <v/>
      </c>
    </row>
    <row r="673">
      <c r="G673" s="11" t="n"/>
      <c r="Q673" s="7">
        <f>IF($D673="","",P673*Y673/100)</f>
        <v/>
      </c>
      <c r="R673" s="7" t="n"/>
      <c r="X673" s="7" t="n"/>
      <c r="Y673" s="7" t="n"/>
      <c r="Z673" s="7">
        <f>IF($D673="","",Y673*AD673/100)</f>
        <v/>
      </c>
      <c r="AA673" s="7">
        <f>IF($D673="","",Y673-Z673)</f>
        <v/>
      </c>
      <c r="AB673" s="7">
        <f>IF($D673="","",AA673-Q673)</f>
        <v/>
      </c>
      <c r="AD673">
        <f>IF($D673="","",IF($AP673=1,0,IF($AO673=1,Settings!$C$6,Settings!$C$7))*100)</f>
        <v/>
      </c>
      <c r="AH673" s="7" t="n"/>
      <c r="AK673" s="11" t="n"/>
      <c r="AM673">
        <f>IF($D673="","",IF(COUNTIF($D$2:$D673,$D673)=1,1,0))</f>
        <v/>
      </c>
      <c r="AN673">
        <f>IF($AM673=1,SUMPRODUCT(--($AQ$2:$AQ$1001&lt;$AQ673))+1,"")</f>
        <v/>
      </c>
      <c r="AO673">
        <f>IF($D673="","",IF(OR($U673=TRUE(),$U673="TRUE"),1,0))</f>
        <v/>
      </c>
      <c r="AP673">
        <f>IF($D673="","",IF($AC673="Yes",1,0))</f>
        <v/>
      </c>
      <c r="AQ673">
        <f>IF($AM673=1,IFERROR(VALUE(MID($D673,2,20)),1000000000)+ROW()/100000,"")</f>
        <v/>
      </c>
    </row>
    <row r="674">
      <c r="G674" s="11" t="n"/>
      <c r="Q674" s="7">
        <f>IF($D674="","",P674*Y674/100)</f>
        <v/>
      </c>
      <c r="R674" s="7" t="n"/>
      <c r="X674" s="7" t="n"/>
      <c r="Y674" s="7" t="n"/>
      <c r="Z674" s="7">
        <f>IF($D674="","",Y674*AD674/100)</f>
        <v/>
      </c>
      <c r="AA674" s="7">
        <f>IF($D674="","",Y674-Z674)</f>
        <v/>
      </c>
      <c r="AB674" s="7">
        <f>IF($D674="","",AA674-Q674)</f>
        <v/>
      </c>
      <c r="AD674">
        <f>IF($D674="","",IF($AP674=1,0,IF($AO674=1,Settings!$C$6,Settings!$C$7))*100)</f>
        <v/>
      </c>
      <c r="AH674" s="7" t="n"/>
      <c r="AK674" s="11" t="n"/>
      <c r="AM674">
        <f>IF($D674="","",IF(COUNTIF($D$2:$D674,$D674)=1,1,0))</f>
        <v/>
      </c>
      <c r="AN674">
        <f>IF($AM674=1,SUMPRODUCT(--($AQ$2:$AQ$1001&lt;$AQ674))+1,"")</f>
        <v/>
      </c>
      <c r="AO674">
        <f>IF($D674="","",IF(OR($U674=TRUE(),$U674="TRUE"),1,0))</f>
        <v/>
      </c>
      <c r="AP674">
        <f>IF($D674="","",IF($AC674="Yes",1,0))</f>
        <v/>
      </c>
      <c r="AQ674">
        <f>IF($AM674=1,IFERROR(VALUE(MID($D674,2,20)),1000000000)+ROW()/100000,"")</f>
        <v/>
      </c>
    </row>
    <row r="675">
      <c r="G675" s="11" t="n"/>
      <c r="Q675" s="7">
        <f>IF($D675="","",P675*Y675/100)</f>
        <v/>
      </c>
      <c r="R675" s="7" t="n"/>
      <c r="X675" s="7" t="n"/>
      <c r="Y675" s="7" t="n"/>
      <c r="Z675" s="7">
        <f>IF($D675="","",Y675*AD675/100)</f>
        <v/>
      </c>
      <c r="AA675" s="7">
        <f>IF($D675="","",Y675-Z675)</f>
        <v/>
      </c>
      <c r="AB675" s="7">
        <f>IF($D675="","",AA675-Q675)</f>
        <v/>
      </c>
      <c r="AD675">
        <f>IF($D675="","",IF($AP675=1,0,IF($AO675=1,Settings!$C$6,Settings!$C$7))*100)</f>
        <v/>
      </c>
      <c r="AH675" s="7" t="n"/>
      <c r="AK675" s="11" t="n"/>
      <c r="AM675">
        <f>IF($D675="","",IF(COUNTIF($D$2:$D675,$D675)=1,1,0))</f>
        <v/>
      </c>
      <c r="AN675">
        <f>IF($AM675=1,SUMPRODUCT(--($AQ$2:$AQ$1001&lt;$AQ675))+1,"")</f>
        <v/>
      </c>
      <c r="AO675">
        <f>IF($D675="","",IF(OR($U675=TRUE(),$U675="TRUE"),1,0))</f>
        <v/>
      </c>
      <c r="AP675">
        <f>IF($D675="","",IF($AC675="Yes",1,0))</f>
        <v/>
      </c>
      <c r="AQ675">
        <f>IF($AM675=1,IFERROR(VALUE(MID($D675,2,20)),1000000000)+ROW()/100000,"")</f>
        <v/>
      </c>
    </row>
    <row r="676">
      <c r="G676" s="11" t="n"/>
      <c r="Q676" s="7">
        <f>IF($D676="","",P676*Y676/100)</f>
        <v/>
      </c>
      <c r="R676" s="7" t="n"/>
      <c r="X676" s="7" t="n"/>
      <c r="Y676" s="7" t="n"/>
      <c r="Z676" s="7">
        <f>IF($D676="","",Y676*AD676/100)</f>
        <v/>
      </c>
      <c r="AA676" s="7">
        <f>IF($D676="","",Y676-Z676)</f>
        <v/>
      </c>
      <c r="AB676" s="7">
        <f>IF($D676="","",AA676-Q676)</f>
        <v/>
      </c>
      <c r="AD676">
        <f>IF($D676="","",IF($AP676=1,0,IF($AO676=1,Settings!$C$6,Settings!$C$7))*100)</f>
        <v/>
      </c>
      <c r="AH676" s="7" t="n"/>
      <c r="AK676" s="11" t="n"/>
      <c r="AM676">
        <f>IF($D676="","",IF(COUNTIF($D$2:$D676,$D676)=1,1,0))</f>
        <v/>
      </c>
      <c r="AN676">
        <f>IF($AM676=1,SUMPRODUCT(--($AQ$2:$AQ$1001&lt;$AQ676))+1,"")</f>
        <v/>
      </c>
      <c r="AO676">
        <f>IF($D676="","",IF(OR($U676=TRUE(),$U676="TRUE"),1,0))</f>
        <v/>
      </c>
      <c r="AP676">
        <f>IF($D676="","",IF($AC676="Yes",1,0))</f>
        <v/>
      </c>
      <c r="AQ676">
        <f>IF($AM676=1,IFERROR(VALUE(MID($D676,2,20)),1000000000)+ROW()/100000,"")</f>
        <v/>
      </c>
    </row>
    <row r="677">
      <c r="G677" s="11" t="n"/>
      <c r="Q677" s="7">
        <f>IF($D677="","",P677*Y677/100)</f>
        <v/>
      </c>
      <c r="R677" s="7" t="n"/>
      <c r="X677" s="7" t="n"/>
      <c r="Y677" s="7" t="n"/>
      <c r="Z677" s="7">
        <f>IF($D677="","",Y677*AD677/100)</f>
        <v/>
      </c>
      <c r="AA677" s="7">
        <f>IF($D677="","",Y677-Z677)</f>
        <v/>
      </c>
      <c r="AB677" s="7">
        <f>IF($D677="","",AA677-Q677)</f>
        <v/>
      </c>
      <c r="AD677">
        <f>IF($D677="","",IF($AP677=1,0,IF($AO677=1,Settings!$C$6,Settings!$C$7))*100)</f>
        <v/>
      </c>
      <c r="AH677" s="7" t="n"/>
      <c r="AK677" s="11" t="n"/>
      <c r="AM677">
        <f>IF($D677="","",IF(COUNTIF($D$2:$D677,$D677)=1,1,0))</f>
        <v/>
      </c>
      <c r="AN677">
        <f>IF($AM677=1,SUMPRODUCT(--($AQ$2:$AQ$1001&lt;$AQ677))+1,"")</f>
        <v/>
      </c>
      <c r="AO677">
        <f>IF($D677="","",IF(OR($U677=TRUE(),$U677="TRUE"),1,0))</f>
        <v/>
      </c>
      <c r="AP677">
        <f>IF($D677="","",IF($AC677="Yes",1,0))</f>
        <v/>
      </c>
      <c r="AQ677">
        <f>IF($AM677=1,IFERROR(VALUE(MID($D677,2,20)),1000000000)+ROW()/100000,"")</f>
        <v/>
      </c>
    </row>
    <row r="678">
      <c r="G678" s="11" t="n"/>
      <c r="Q678" s="7">
        <f>IF($D678="","",P678*Y678/100)</f>
        <v/>
      </c>
      <c r="R678" s="7" t="n"/>
      <c r="X678" s="7" t="n"/>
      <c r="Y678" s="7" t="n"/>
      <c r="Z678" s="7">
        <f>IF($D678="","",Y678*AD678/100)</f>
        <v/>
      </c>
      <c r="AA678" s="7">
        <f>IF($D678="","",Y678-Z678)</f>
        <v/>
      </c>
      <c r="AB678" s="7">
        <f>IF($D678="","",AA678-Q678)</f>
        <v/>
      </c>
      <c r="AD678">
        <f>IF($D678="","",IF($AP678=1,0,IF($AO678=1,Settings!$C$6,Settings!$C$7))*100)</f>
        <v/>
      </c>
      <c r="AH678" s="7" t="n"/>
      <c r="AK678" s="11" t="n"/>
      <c r="AM678">
        <f>IF($D678="","",IF(COUNTIF($D$2:$D678,$D678)=1,1,0))</f>
        <v/>
      </c>
      <c r="AN678">
        <f>IF($AM678=1,SUMPRODUCT(--($AQ$2:$AQ$1001&lt;$AQ678))+1,"")</f>
        <v/>
      </c>
      <c r="AO678">
        <f>IF($D678="","",IF(OR($U678=TRUE(),$U678="TRUE"),1,0))</f>
        <v/>
      </c>
      <c r="AP678">
        <f>IF($D678="","",IF($AC678="Yes",1,0))</f>
        <v/>
      </c>
      <c r="AQ678">
        <f>IF($AM678=1,IFERROR(VALUE(MID($D678,2,20)),1000000000)+ROW()/100000,"")</f>
        <v/>
      </c>
    </row>
    <row r="679">
      <c r="G679" s="11" t="n"/>
      <c r="Q679" s="7">
        <f>IF($D679="","",P679*Y679/100)</f>
        <v/>
      </c>
      <c r="R679" s="7" t="n"/>
      <c r="X679" s="7" t="n"/>
      <c r="Y679" s="7" t="n"/>
      <c r="Z679" s="7">
        <f>IF($D679="","",Y679*AD679/100)</f>
        <v/>
      </c>
      <c r="AA679" s="7">
        <f>IF($D679="","",Y679-Z679)</f>
        <v/>
      </c>
      <c r="AB679" s="7">
        <f>IF($D679="","",AA679-Q679)</f>
        <v/>
      </c>
      <c r="AD679">
        <f>IF($D679="","",IF($AP679=1,0,IF($AO679=1,Settings!$C$6,Settings!$C$7))*100)</f>
        <v/>
      </c>
      <c r="AH679" s="7" t="n"/>
      <c r="AK679" s="11" t="n"/>
      <c r="AM679">
        <f>IF($D679="","",IF(COUNTIF($D$2:$D679,$D679)=1,1,0))</f>
        <v/>
      </c>
      <c r="AN679">
        <f>IF($AM679=1,SUMPRODUCT(--($AQ$2:$AQ$1001&lt;$AQ679))+1,"")</f>
        <v/>
      </c>
      <c r="AO679">
        <f>IF($D679="","",IF(OR($U679=TRUE(),$U679="TRUE"),1,0))</f>
        <v/>
      </c>
      <c r="AP679">
        <f>IF($D679="","",IF($AC679="Yes",1,0))</f>
        <v/>
      </c>
      <c r="AQ679">
        <f>IF($AM679=1,IFERROR(VALUE(MID($D679,2,20)),1000000000)+ROW()/100000,"")</f>
        <v/>
      </c>
    </row>
    <row r="680">
      <c r="G680" s="11" t="n"/>
      <c r="Q680" s="7">
        <f>IF($D680="","",P680*Y680/100)</f>
        <v/>
      </c>
      <c r="R680" s="7" t="n"/>
      <c r="X680" s="7" t="n"/>
      <c r="Y680" s="7" t="n"/>
      <c r="Z680" s="7">
        <f>IF($D680="","",Y680*AD680/100)</f>
        <v/>
      </c>
      <c r="AA680" s="7">
        <f>IF($D680="","",Y680-Z680)</f>
        <v/>
      </c>
      <c r="AB680" s="7">
        <f>IF($D680="","",AA680-Q680)</f>
        <v/>
      </c>
      <c r="AD680">
        <f>IF($D680="","",IF($AP680=1,0,IF($AO680=1,Settings!$C$6,Settings!$C$7))*100)</f>
        <v/>
      </c>
      <c r="AH680" s="7" t="n"/>
      <c r="AK680" s="11" t="n"/>
      <c r="AM680">
        <f>IF($D680="","",IF(COUNTIF($D$2:$D680,$D680)=1,1,0))</f>
        <v/>
      </c>
      <c r="AN680">
        <f>IF($AM680=1,SUMPRODUCT(--($AQ$2:$AQ$1001&lt;$AQ680))+1,"")</f>
        <v/>
      </c>
      <c r="AO680">
        <f>IF($D680="","",IF(OR($U680=TRUE(),$U680="TRUE"),1,0))</f>
        <v/>
      </c>
      <c r="AP680">
        <f>IF($D680="","",IF($AC680="Yes",1,0))</f>
        <v/>
      </c>
      <c r="AQ680">
        <f>IF($AM680=1,IFERROR(VALUE(MID($D680,2,20)),1000000000)+ROW()/100000,"")</f>
        <v/>
      </c>
    </row>
    <row r="681">
      <c r="G681" s="11" t="n"/>
      <c r="Q681" s="7">
        <f>IF($D681="","",P681*Y681/100)</f>
        <v/>
      </c>
      <c r="R681" s="7" t="n"/>
      <c r="X681" s="7" t="n"/>
      <c r="Y681" s="7" t="n"/>
      <c r="Z681" s="7">
        <f>IF($D681="","",Y681*AD681/100)</f>
        <v/>
      </c>
      <c r="AA681" s="7">
        <f>IF($D681="","",Y681-Z681)</f>
        <v/>
      </c>
      <c r="AB681" s="7">
        <f>IF($D681="","",AA681-Q681)</f>
        <v/>
      </c>
      <c r="AD681">
        <f>IF($D681="","",IF($AP681=1,0,IF($AO681=1,Settings!$C$6,Settings!$C$7))*100)</f>
        <v/>
      </c>
      <c r="AH681" s="7" t="n"/>
      <c r="AK681" s="11" t="n"/>
      <c r="AM681">
        <f>IF($D681="","",IF(COUNTIF($D$2:$D681,$D681)=1,1,0))</f>
        <v/>
      </c>
      <c r="AN681">
        <f>IF($AM681=1,SUMPRODUCT(--($AQ$2:$AQ$1001&lt;$AQ681))+1,"")</f>
        <v/>
      </c>
      <c r="AO681">
        <f>IF($D681="","",IF(OR($U681=TRUE(),$U681="TRUE"),1,0))</f>
        <v/>
      </c>
      <c r="AP681">
        <f>IF($D681="","",IF($AC681="Yes",1,0))</f>
        <v/>
      </c>
      <c r="AQ681">
        <f>IF($AM681=1,IFERROR(VALUE(MID($D681,2,20)),1000000000)+ROW()/100000,"")</f>
        <v/>
      </c>
    </row>
    <row r="682">
      <c r="G682" s="11" t="n"/>
      <c r="Q682" s="7">
        <f>IF($D682="","",P682*Y682/100)</f>
        <v/>
      </c>
      <c r="R682" s="7" t="n"/>
      <c r="X682" s="7" t="n"/>
      <c r="Y682" s="7" t="n"/>
      <c r="Z682" s="7">
        <f>IF($D682="","",Y682*AD682/100)</f>
        <v/>
      </c>
      <c r="AA682" s="7">
        <f>IF($D682="","",Y682-Z682)</f>
        <v/>
      </c>
      <c r="AB682" s="7">
        <f>IF($D682="","",AA682-Q682)</f>
        <v/>
      </c>
      <c r="AD682">
        <f>IF($D682="","",IF($AP682=1,0,IF($AO682=1,Settings!$C$6,Settings!$C$7))*100)</f>
        <v/>
      </c>
      <c r="AH682" s="7" t="n"/>
      <c r="AK682" s="11" t="n"/>
      <c r="AM682">
        <f>IF($D682="","",IF(COUNTIF($D$2:$D682,$D682)=1,1,0))</f>
        <v/>
      </c>
      <c r="AN682">
        <f>IF($AM682=1,SUMPRODUCT(--($AQ$2:$AQ$1001&lt;$AQ682))+1,"")</f>
        <v/>
      </c>
      <c r="AO682">
        <f>IF($D682="","",IF(OR($U682=TRUE(),$U682="TRUE"),1,0))</f>
        <v/>
      </c>
      <c r="AP682">
        <f>IF($D682="","",IF($AC682="Yes",1,0))</f>
        <v/>
      </c>
      <c r="AQ682">
        <f>IF($AM682=1,IFERROR(VALUE(MID($D682,2,20)),1000000000)+ROW()/100000,"")</f>
        <v/>
      </c>
    </row>
    <row r="683">
      <c r="G683" s="11" t="n"/>
      <c r="Q683" s="7">
        <f>IF($D683="","",P683*Y683/100)</f>
        <v/>
      </c>
      <c r="R683" s="7" t="n"/>
      <c r="X683" s="7" t="n"/>
      <c r="Y683" s="7" t="n"/>
      <c r="Z683" s="7">
        <f>IF($D683="","",Y683*AD683/100)</f>
        <v/>
      </c>
      <c r="AA683" s="7">
        <f>IF($D683="","",Y683-Z683)</f>
        <v/>
      </c>
      <c r="AB683" s="7">
        <f>IF($D683="","",AA683-Q683)</f>
        <v/>
      </c>
      <c r="AD683">
        <f>IF($D683="","",IF($AP683=1,0,IF($AO683=1,Settings!$C$6,Settings!$C$7))*100)</f>
        <v/>
      </c>
      <c r="AH683" s="7" t="n"/>
      <c r="AK683" s="11" t="n"/>
      <c r="AM683">
        <f>IF($D683="","",IF(COUNTIF($D$2:$D683,$D683)=1,1,0))</f>
        <v/>
      </c>
      <c r="AN683">
        <f>IF($AM683=1,SUMPRODUCT(--($AQ$2:$AQ$1001&lt;$AQ683))+1,"")</f>
        <v/>
      </c>
      <c r="AO683">
        <f>IF($D683="","",IF(OR($U683=TRUE(),$U683="TRUE"),1,0))</f>
        <v/>
      </c>
      <c r="AP683">
        <f>IF($D683="","",IF($AC683="Yes",1,0))</f>
        <v/>
      </c>
      <c r="AQ683">
        <f>IF($AM683=1,IFERROR(VALUE(MID($D683,2,20)),1000000000)+ROW()/100000,"")</f>
        <v/>
      </c>
    </row>
    <row r="684">
      <c r="G684" s="11" t="n"/>
      <c r="Q684" s="7">
        <f>IF($D684="","",P684*Y684/100)</f>
        <v/>
      </c>
      <c r="R684" s="7" t="n"/>
      <c r="X684" s="7" t="n"/>
      <c r="Y684" s="7" t="n"/>
      <c r="Z684" s="7">
        <f>IF($D684="","",Y684*AD684/100)</f>
        <v/>
      </c>
      <c r="AA684" s="7">
        <f>IF($D684="","",Y684-Z684)</f>
        <v/>
      </c>
      <c r="AB684" s="7">
        <f>IF($D684="","",AA684-Q684)</f>
        <v/>
      </c>
      <c r="AD684">
        <f>IF($D684="","",IF($AP684=1,0,IF($AO684=1,Settings!$C$6,Settings!$C$7))*100)</f>
        <v/>
      </c>
      <c r="AH684" s="7" t="n"/>
      <c r="AK684" s="11" t="n"/>
      <c r="AM684">
        <f>IF($D684="","",IF(COUNTIF($D$2:$D684,$D684)=1,1,0))</f>
        <v/>
      </c>
      <c r="AN684">
        <f>IF($AM684=1,SUMPRODUCT(--($AQ$2:$AQ$1001&lt;$AQ684))+1,"")</f>
        <v/>
      </c>
      <c r="AO684">
        <f>IF($D684="","",IF(OR($U684=TRUE(),$U684="TRUE"),1,0))</f>
        <v/>
      </c>
      <c r="AP684">
        <f>IF($D684="","",IF($AC684="Yes",1,0))</f>
        <v/>
      </c>
      <c r="AQ684">
        <f>IF($AM684=1,IFERROR(VALUE(MID($D684,2,20)),1000000000)+ROW()/100000,"")</f>
        <v/>
      </c>
    </row>
    <row r="685">
      <c r="G685" s="11" t="n"/>
      <c r="Q685" s="7">
        <f>IF($D685="","",P685*Y685/100)</f>
        <v/>
      </c>
      <c r="R685" s="7" t="n"/>
      <c r="X685" s="7" t="n"/>
      <c r="Y685" s="7" t="n"/>
      <c r="Z685" s="7">
        <f>IF($D685="","",Y685*AD685/100)</f>
        <v/>
      </c>
      <c r="AA685" s="7">
        <f>IF($D685="","",Y685-Z685)</f>
        <v/>
      </c>
      <c r="AB685" s="7">
        <f>IF($D685="","",AA685-Q685)</f>
        <v/>
      </c>
      <c r="AD685">
        <f>IF($D685="","",IF($AP685=1,0,IF($AO685=1,Settings!$C$6,Settings!$C$7))*100)</f>
        <v/>
      </c>
      <c r="AH685" s="7" t="n"/>
      <c r="AK685" s="11" t="n"/>
      <c r="AM685">
        <f>IF($D685="","",IF(COUNTIF($D$2:$D685,$D685)=1,1,0))</f>
        <v/>
      </c>
      <c r="AN685">
        <f>IF($AM685=1,SUMPRODUCT(--($AQ$2:$AQ$1001&lt;$AQ685))+1,"")</f>
        <v/>
      </c>
      <c r="AO685">
        <f>IF($D685="","",IF(OR($U685=TRUE(),$U685="TRUE"),1,0))</f>
        <v/>
      </c>
      <c r="AP685">
        <f>IF($D685="","",IF($AC685="Yes",1,0))</f>
        <v/>
      </c>
      <c r="AQ685">
        <f>IF($AM685=1,IFERROR(VALUE(MID($D685,2,20)),1000000000)+ROW()/100000,"")</f>
        <v/>
      </c>
    </row>
    <row r="686">
      <c r="G686" s="11" t="n"/>
      <c r="Q686" s="7">
        <f>IF($D686="","",P686*Y686/100)</f>
        <v/>
      </c>
      <c r="R686" s="7" t="n"/>
      <c r="X686" s="7" t="n"/>
      <c r="Y686" s="7" t="n"/>
      <c r="Z686" s="7">
        <f>IF($D686="","",Y686*AD686/100)</f>
        <v/>
      </c>
      <c r="AA686" s="7">
        <f>IF($D686="","",Y686-Z686)</f>
        <v/>
      </c>
      <c r="AB686" s="7">
        <f>IF($D686="","",AA686-Q686)</f>
        <v/>
      </c>
      <c r="AD686">
        <f>IF($D686="","",IF($AP686=1,0,IF($AO686=1,Settings!$C$6,Settings!$C$7))*100)</f>
        <v/>
      </c>
      <c r="AH686" s="7" t="n"/>
      <c r="AK686" s="11" t="n"/>
      <c r="AM686">
        <f>IF($D686="","",IF(COUNTIF($D$2:$D686,$D686)=1,1,0))</f>
        <v/>
      </c>
      <c r="AN686">
        <f>IF($AM686=1,SUMPRODUCT(--($AQ$2:$AQ$1001&lt;$AQ686))+1,"")</f>
        <v/>
      </c>
      <c r="AO686">
        <f>IF($D686="","",IF(OR($U686=TRUE(),$U686="TRUE"),1,0))</f>
        <v/>
      </c>
      <c r="AP686">
        <f>IF($D686="","",IF($AC686="Yes",1,0))</f>
        <v/>
      </c>
      <c r="AQ686">
        <f>IF($AM686=1,IFERROR(VALUE(MID($D686,2,20)),1000000000)+ROW()/100000,"")</f>
        <v/>
      </c>
    </row>
    <row r="687">
      <c r="G687" s="11" t="n"/>
      <c r="Q687" s="7">
        <f>IF($D687="","",P687*Y687/100)</f>
        <v/>
      </c>
      <c r="R687" s="7" t="n"/>
      <c r="X687" s="7" t="n"/>
      <c r="Y687" s="7" t="n"/>
      <c r="Z687" s="7">
        <f>IF($D687="","",Y687*AD687/100)</f>
        <v/>
      </c>
      <c r="AA687" s="7">
        <f>IF($D687="","",Y687-Z687)</f>
        <v/>
      </c>
      <c r="AB687" s="7">
        <f>IF($D687="","",AA687-Q687)</f>
        <v/>
      </c>
      <c r="AD687">
        <f>IF($D687="","",IF($AP687=1,0,IF($AO687=1,Settings!$C$6,Settings!$C$7))*100)</f>
        <v/>
      </c>
      <c r="AH687" s="7" t="n"/>
      <c r="AK687" s="11" t="n"/>
      <c r="AM687">
        <f>IF($D687="","",IF(COUNTIF($D$2:$D687,$D687)=1,1,0))</f>
        <v/>
      </c>
      <c r="AN687">
        <f>IF($AM687=1,SUMPRODUCT(--($AQ$2:$AQ$1001&lt;$AQ687))+1,"")</f>
        <v/>
      </c>
      <c r="AO687">
        <f>IF($D687="","",IF(OR($U687=TRUE(),$U687="TRUE"),1,0))</f>
        <v/>
      </c>
      <c r="AP687">
        <f>IF($D687="","",IF($AC687="Yes",1,0))</f>
        <v/>
      </c>
      <c r="AQ687">
        <f>IF($AM687=1,IFERROR(VALUE(MID($D687,2,20)),1000000000)+ROW()/100000,"")</f>
        <v/>
      </c>
    </row>
    <row r="688">
      <c r="G688" s="11" t="n"/>
      <c r="Q688" s="7">
        <f>IF($D688="","",P688*Y688/100)</f>
        <v/>
      </c>
      <c r="R688" s="7" t="n"/>
      <c r="X688" s="7" t="n"/>
      <c r="Y688" s="7" t="n"/>
      <c r="Z688" s="7">
        <f>IF($D688="","",Y688*AD688/100)</f>
        <v/>
      </c>
      <c r="AA688" s="7">
        <f>IF($D688="","",Y688-Z688)</f>
        <v/>
      </c>
      <c r="AB688" s="7">
        <f>IF($D688="","",AA688-Q688)</f>
        <v/>
      </c>
      <c r="AD688">
        <f>IF($D688="","",IF($AP688=1,0,IF($AO688=1,Settings!$C$6,Settings!$C$7))*100)</f>
        <v/>
      </c>
      <c r="AH688" s="7" t="n"/>
      <c r="AK688" s="11" t="n"/>
      <c r="AM688">
        <f>IF($D688="","",IF(COUNTIF($D$2:$D688,$D688)=1,1,0))</f>
        <v/>
      </c>
      <c r="AN688">
        <f>IF($AM688=1,SUMPRODUCT(--($AQ$2:$AQ$1001&lt;$AQ688))+1,"")</f>
        <v/>
      </c>
      <c r="AO688">
        <f>IF($D688="","",IF(OR($U688=TRUE(),$U688="TRUE"),1,0))</f>
        <v/>
      </c>
      <c r="AP688">
        <f>IF($D688="","",IF($AC688="Yes",1,0))</f>
        <v/>
      </c>
      <c r="AQ688">
        <f>IF($AM688=1,IFERROR(VALUE(MID($D688,2,20)),1000000000)+ROW()/100000,"")</f>
        <v/>
      </c>
    </row>
    <row r="689">
      <c r="G689" s="11" t="n"/>
      <c r="Q689" s="7">
        <f>IF($D689="","",P689*Y689/100)</f>
        <v/>
      </c>
      <c r="R689" s="7" t="n"/>
      <c r="X689" s="7" t="n"/>
      <c r="Y689" s="7" t="n"/>
      <c r="Z689" s="7">
        <f>IF($D689="","",Y689*AD689/100)</f>
        <v/>
      </c>
      <c r="AA689" s="7">
        <f>IF($D689="","",Y689-Z689)</f>
        <v/>
      </c>
      <c r="AB689" s="7">
        <f>IF($D689="","",AA689-Q689)</f>
        <v/>
      </c>
      <c r="AD689">
        <f>IF($D689="","",IF($AP689=1,0,IF($AO689=1,Settings!$C$6,Settings!$C$7))*100)</f>
        <v/>
      </c>
      <c r="AH689" s="7" t="n"/>
      <c r="AK689" s="11" t="n"/>
      <c r="AM689">
        <f>IF($D689="","",IF(COUNTIF($D$2:$D689,$D689)=1,1,0))</f>
        <v/>
      </c>
      <c r="AN689">
        <f>IF($AM689=1,SUMPRODUCT(--($AQ$2:$AQ$1001&lt;$AQ689))+1,"")</f>
        <v/>
      </c>
      <c r="AO689">
        <f>IF($D689="","",IF(OR($U689=TRUE(),$U689="TRUE"),1,0))</f>
        <v/>
      </c>
      <c r="AP689">
        <f>IF($D689="","",IF($AC689="Yes",1,0))</f>
        <v/>
      </c>
      <c r="AQ689">
        <f>IF($AM689=1,IFERROR(VALUE(MID($D689,2,20)),1000000000)+ROW()/100000,"")</f>
        <v/>
      </c>
    </row>
    <row r="690">
      <c r="G690" s="11" t="n"/>
      <c r="Q690" s="7">
        <f>IF($D690="","",P690*Y690/100)</f>
        <v/>
      </c>
      <c r="R690" s="7" t="n"/>
      <c r="X690" s="7" t="n"/>
      <c r="Y690" s="7" t="n"/>
      <c r="Z690" s="7">
        <f>IF($D690="","",Y690*AD690/100)</f>
        <v/>
      </c>
      <c r="AA690" s="7">
        <f>IF($D690="","",Y690-Z690)</f>
        <v/>
      </c>
      <c r="AB690" s="7">
        <f>IF($D690="","",AA690-Q690)</f>
        <v/>
      </c>
      <c r="AD690">
        <f>IF($D690="","",IF($AP690=1,0,IF($AO690=1,Settings!$C$6,Settings!$C$7))*100)</f>
        <v/>
      </c>
      <c r="AH690" s="7" t="n"/>
      <c r="AK690" s="11" t="n"/>
      <c r="AM690">
        <f>IF($D690="","",IF(COUNTIF($D$2:$D690,$D690)=1,1,0))</f>
        <v/>
      </c>
      <c r="AN690">
        <f>IF($AM690=1,SUMPRODUCT(--($AQ$2:$AQ$1001&lt;$AQ690))+1,"")</f>
        <v/>
      </c>
      <c r="AO690">
        <f>IF($D690="","",IF(OR($U690=TRUE(),$U690="TRUE"),1,0))</f>
        <v/>
      </c>
      <c r="AP690">
        <f>IF($D690="","",IF($AC690="Yes",1,0))</f>
        <v/>
      </c>
      <c r="AQ690">
        <f>IF($AM690=1,IFERROR(VALUE(MID($D690,2,20)),1000000000)+ROW()/100000,"")</f>
        <v/>
      </c>
    </row>
    <row r="691">
      <c r="G691" s="11" t="n"/>
      <c r="Q691" s="7">
        <f>IF($D691="","",P691*Y691/100)</f>
        <v/>
      </c>
      <c r="R691" s="7" t="n"/>
      <c r="X691" s="7" t="n"/>
      <c r="Y691" s="7" t="n"/>
      <c r="Z691" s="7">
        <f>IF($D691="","",Y691*AD691/100)</f>
        <v/>
      </c>
      <c r="AA691" s="7">
        <f>IF($D691="","",Y691-Z691)</f>
        <v/>
      </c>
      <c r="AB691" s="7">
        <f>IF($D691="","",AA691-Q691)</f>
        <v/>
      </c>
      <c r="AD691">
        <f>IF($D691="","",IF($AP691=1,0,IF($AO691=1,Settings!$C$6,Settings!$C$7))*100)</f>
        <v/>
      </c>
      <c r="AH691" s="7" t="n"/>
      <c r="AK691" s="11" t="n"/>
      <c r="AM691">
        <f>IF($D691="","",IF(COUNTIF($D$2:$D691,$D691)=1,1,0))</f>
        <v/>
      </c>
      <c r="AN691">
        <f>IF($AM691=1,SUMPRODUCT(--($AQ$2:$AQ$1001&lt;$AQ691))+1,"")</f>
        <v/>
      </c>
      <c r="AO691">
        <f>IF($D691="","",IF(OR($U691=TRUE(),$U691="TRUE"),1,0))</f>
        <v/>
      </c>
      <c r="AP691">
        <f>IF($D691="","",IF($AC691="Yes",1,0))</f>
        <v/>
      </c>
      <c r="AQ691">
        <f>IF($AM691=1,IFERROR(VALUE(MID($D691,2,20)),1000000000)+ROW()/100000,"")</f>
        <v/>
      </c>
    </row>
    <row r="692">
      <c r="G692" s="11" t="n"/>
      <c r="Q692" s="7">
        <f>IF($D692="","",P692*Y692/100)</f>
        <v/>
      </c>
      <c r="R692" s="7" t="n"/>
      <c r="X692" s="7" t="n"/>
      <c r="Y692" s="7" t="n"/>
      <c r="Z692" s="7">
        <f>IF($D692="","",Y692*AD692/100)</f>
        <v/>
      </c>
      <c r="AA692" s="7">
        <f>IF($D692="","",Y692-Z692)</f>
        <v/>
      </c>
      <c r="AB692" s="7">
        <f>IF($D692="","",AA692-Q692)</f>
        <v/>
      </c>
      <c r="AD692">
        <f>IF($D692="","",IF($AP692=1,0,IF($AO692=1,Settings!$C$6,Settings!$C$7))*100)</f>
        <v/>
      </c>
      <c r="AH692" s="7" t="n"/>
      <c r="AK692" s="11" t="n"/>
      <c r="AM692">
        <f>IF($D692="","",IF(COUNTIF($D$2:$D692,$D692)=1,1,0))</f>
        <v/>
      </c>
      <c r="AN692">
        <f>IF($AM692=1,SUMPRODUCT(--($AQ$2:$AQ$1001&lt;$AQ692))+1,"")</f>
        <v/>
      </c>
      <c r="AO692">
        <f>IF($D692="","",IF(OR($U692=TRUE(),$U692="TRUE"),1,0))</f>
        <v/>
      </c>
      <c r="AP692">
        <f>IF($D692="","",IF($AC692="Yes",1,0))</f>
        <v/>
      </c>
      <c r="AQ692">
        <f>IF($AM692=1,IFERROR(VALUE(MID($D692,2,20)),1000000000)+ROW()/100000,"")</f>
        <v/>
      </c>
    </row>
    <row r="693">
      <c r="G693" s="11" t="n"/>
      <c r="Q693" s="7">
        <f>IF($D693="","",P693*Y693/100)</f>
        <v/>
      </c>
      <c r="R693" s="7" t="n"/>
      <c r="X693" s="7" t="n"/>
      <c r="Y693" s="7" t="n"/>
      <c r="Z693" s="7">
        <f>IF($D693="","",Y693*AD693/100)</f>
        <v/>
      </c>
      <c r="AA693" s="7">
        <f>IF($D693="","",Y693-Z693)</f>
        <v/>
      </c>
      <c r="AB693" s="7">
        <f>IF($D693="","",AA693-Q693)</f>
        <v/>
      </c>
      <c r="AD693">
        <f>IF($D693="","",IF($AP693=1,0,IF($AO693=1,Settings!$C$6,Settings!$C$7))*100)</f>
        <v/>
      </c>
      <c r="AH693" s="7" t="n"/>
      <c r="AK693" s="11" t="n"/>
      <c r="AM693">
        <f>IF($D693="","",IF(COUNTIF($D$2:$D693,$D693)=1,1,0))</f>
        <v/>
      </c>
      <c r="AN693">
        <f>IF($AM693=1,SUMPRODUCT(--($AQ$2:$AQ$1001&lt;$AQ693))+1,"")</f>
        <v/>
      </c>
      <c r="AO693">
        <f>IF($D693="","",IF(OR($U693=TRUE(),$U693="TRUE"),1,0))</f>
        <v/>
      </c>
      <c r="AP693">
        <f>IF($D693="","",IF($AC693="Yes",1,0))</f>
        <v/>
      </c>
      <c r="AQ693">
        <f>IF($AM693=1,IFERROR(VALUE(MID($D693,2,20)),1000000000)+ROW()/100000,"")</f>
        <v/>
      </c>
    </row>
    <row r="694">
      <c r="G694" s="11" t="n"/>
      <c r="Q694" s="7">
        <f>IF($D694="","",P694*Y694/100)</f>
        <v/>
      </c>
      <c r="R694" s="7" t="n"/>
      <c r="X694" s="7" t="n"/>
      <c r="Y694" s="7" t="n"/>
      <c r="Z694" s="7">
        <f>IF($D694="","",Y694*AD694/100)</f>
        <v/>
      </c>
      <c r="AA694" s="7">
        <f>IF($D694="","",Y694-Z694)</f>
        <v/>
      </c>
      <c r="AB694" s="7">
        <f>IF($D694="","",AA694-Q694)</f>
        <v/>
      </c>
      <c r="AD694">
        <f>IF($D694="","",IF($AP694=1,0,IF($AO694=1,Settings!$C$6,Settings!$C$7))*100)</f>
        <v/>
      </c>
      <c r="AH694" s="7" t="n"/>
      <c r="AK694" s="11" t="n"/>
      <c r="AM694">
        <f>IF($D694="","",IF(COUNTIF($D$2:$D694,$D694)=1,1,0))</f>
        <v/>
      </c>
      <c r="AN694">
        <f>IF($AM694=1,SUMPRODUCT(--($AQ$2:$AQ$1001&lt;$AQ694))+1,"")</f>
        <v/>
      </c>
      <c r="AO694">
        <f>IF($D694="","",IF(OR($U694=TRUE(),$U694="TRUE"),1,0))</f>
        <v/>
      </c>
      <c r="AP694">
        <f>IF($D694="","",IF($AC694="Yes",1,0))</f>
        <v/>
      </c>
      <c r="AQ694">
        <f>IF($AM694=1,IFERROR(VALUE(MID($D694,2,20)),1000000000)+ROW()/100000,"")</f>
        <v/>
      </c>
    </row>
    <row r="695">
      <c r="G695" s="11" t="n"/>
      <c r="Q695" s="7">
        <f>IF($D695="","",P695*Y695/100)</f>
        <v/>
      </c>
      <c r="R695" s="7" t="n"/>
      <c r="X695" s="7" t="n"/>
      <c r="Y695" s="7" t="n"/>
      <c r="Z695" s="7">
        <f>IF($D695="","",Y695*AD695/100)</f>
        <v/>
      </c>
      <c r="AA695" s="7">
        <f>IF($D695="","",Y695-Z695)</f>
        <v/>
      </c>
      <c r="AB695" s="7">
        <f>IF($D695="","",AA695-Q695)</f>
        <v/>
      </c>
      <c r="AD695">
        <f>IF($D695="","",IF($AP695=1,0,IF($AO695=1,Settings!$C$6,Settings!$C$7))*100)</f>
        <v/>
      </c>
      <c r="AH695" s="7" t="n"/>
      <c r="AK695" s="11" t="n"/>
      <c r="AM695">
        <f>IF($D695="","",IF(COUNTIF($D$2:$D695,$D695)=1,1,0))</f>
        <v/>
      </c>
      <c r="AN695">
        <f>IF($AM695=1,SUMPRODUCT(--($AQ$2:$AQ$1001&lt;$AQ695))+1,"")</f>
        <v/>
      </c>
      <c r="AO695">
        <f>IF($D695="","",IF(OR($U695=TRUE(),$U695="TRUE"),1,0))</f>
        <v/>
      </c>
      <c r="AP695">
        <f>IF($D695="","",IF($AC695="Yes",1,0))</f>
        <v/>
      </c>
      <c r="AQ695">
        <f>IF($AM695=1,IFERROR(VALUE(MID($D695,2,20)),1000000000)+ROW()/100000,"")</f>
        <v/>
      </c>
    </row>
    <row r="696">
      <c r="G696" s="11" t="n"/>
      <c r="Q696" s="7">
        <f>IF($D696="","",P696*Y696/100)</f>
        <v/>
      </c>
      <c r="R696" s="7" t="n"/>
      <c r="X696" s="7" t="n"/>
      <c r="Y696" s="7" t="n"/>
      <c r="Z696" s="7">
        <f>IF($D696="","",Y696*AD696/100)</f>
        <v/>
      </c>
      <c r="AA696" s="7">
        <f>IF($D696="","",Y696-Z696)</f>
        <v/>
      </c>
      <c r="AB696" s="7">
        <f>IF($D696="","",AA696-Q696)</f>
        <v/>
      </c>
      <c r="AD696">
        <f>IF($D696="","",IF($AP696=1,0,IF($AO696=1,Settings!$C$6,Settings!$C$7))*100)</f>
        <v/>
      </c>
      <c r="AH696" s="7" t="n"/>
      <c r="AK696" s="11" t="n"/>
      <c r="AM696">
        <f>IF($D696="","",IF(COUNTIF($D$2:$D696,$D696)=1,1,0))</f>
        <v/>
      </c>
      <c r="AN696">
        <f>IF($AM696=1,SUMPRODUCT(--($AQ$2:$AQ$1001&lt;$AQ696))+1,"")</f>
        <v/>
      </c>
      <c r="AO696">
        <f>IF($D696="","",IF(OR($U696=TRUE(),$U696="TRUE"),1,0))</f>
        <v/>
      </c>
      <c r="AP696">
        <f>IF($D696="","",IF($AC696="Yes",1,0))</f>
        <v/>
      </c>
      <c r="AQ696">
        <f>IF($AM696=1,IFERROR(VALUE(MID($D696,2,20)),1000000000)+ROW()/100000,"")</f>
        <v/>
      </c>
    </row>
    <row r="697">
      <c r="G697" s="11" t="n"/>
      <c r="Q697" s="7">
        <f>IF($D697="","",P697*Y697/100)</f>
        <v/>
      </c>
      <c r="R697" s="7" t="n"/>
      <c r="X697" s="7" t="n"/>
      <c r="Y697" s="7" t="n"/>
      <c r="Z697" s="7">
        <f>IF($D697="","",Y697*AD697/100)</f>
        <v/>
      </c>
      <c r="AA697" s="7">
        <f>IF($D697="","",Y697-Z697)</f>
        <v/>
      </c>
      <c r="AB697" s="7">
        <f>IF($D697="","",AA697-Q697)</f>
        <v/>
      </c>
      <c r="AD697">
        <f>IF($D697="","",IF($AP697=1,0,IF($AO697=1,Settings!$C$6,Settings!$C$7))*100)</f>
        <v/>
      </c>
      <c r="AH697" s="7" t="n"/>
      <c r="AK697" s="11" t="n"/>
      <c r="AM697">
        <f>IF($D697="","",IF(COUNTIF($D$2:$D697,$D697)=1,1,0))</f>
        <v/>
      </c>
      <c r="AN697">
        <f>IF($AM697=1,SUMPRODUCT(--($AQ$2:$AQ$1001&lt;$AQ697))+1,"")</f>
        <v/>
      </c>
      <c r="AO697">
        <f>IF($D697="","",IF(OR($U697=TRUE(),$U697="TRUE"),1,0))</f>
        <v/>
      </c>
      <c r="AP697">
        <f>IF($D697="","",IF($AC697="Yes",1,0))</f>
        <v/>
      </c>
      <c r="AQ697">
        <f>IF($AM697=1,IFERROR(VALUE(MID($D697,2,20)),1000000000)+ROW()/100000,"")</f>
        <v/>
      </c>
    </row>
    <row r="698">
      <c r="G698" s="11" t="n"/>
      <c r="Q698" s="7">
        <f>IF($D698="","",P698*Y698/100)</f>
        <v/>
      </c>
      <c r="R698" s="7" t="n"/>
      <c r="X698" s="7" t="n"/>
      <c r="Y698" s="7" t="n"/>
      <c r="Z698" s="7">
        <f>IF($D698="","",Y698*AD698/100)</f>
        <v/>
      </c>
      <c r="AA698" s="7">
        <f>IF($D698="","",Y698-Z698)</f>
        <v/>
      </c>
      <c r="AB698" s="7">
        <f>IF($D698="","",AA698-Q698)</f>
        <v/>
      </c>
      <c r="AD698">
        <f>IF($D698="","",IF($AP698=1,0,IF($AO698=1,Settings!$C$6,Settings!$C$7))*100)</f>
        <v/>
      </c>
      <c r="AH698" s="7" t="n"/>
      <c r="AK698" s="11" t="n"/>
      <c r="AM698">
        <f>IF($D698="","",IF(COUNTIF($D$2:$D698,$D698)=1,1,0))</f>
        <v/>
      </c>
      <c r="AN698">
        <f>IF($AM698=1,SUMPRODUCT(--($AQ$2:$AQ$1001&lt;$AQ698))+1,"")</f>
        <v/>
      </c>
      <c r="AO698">
        <f>IF($D698="","",IF(OR($U698=TRUE(),$U698="TRUE"),1,0))</f>
        <v/>
      </c>
      <c r="AP698">
        <f>IF($D698="","",IF($AC698="Yes",1,0))</f>
        <v/>
      </c>
      <c r="AQ698">
        <f>IF($AM698=1,IFERROR(VALUE(MID($D698,2,20)),1000000000)+ROW()/100000,"")</f>
        <v/>
      </c>
    </row>
    <row r="699">
      <c r="G699" s="11" t="n"/>
      <c r="Q699" s="7">
        <f>IF($D699="","",P699*Y699/100)</f>
        <v/>
      </c>
      <c r="R699" s="7" t="n"/>
      <c r="X699" s="7" t="n"/>
      <c r="Y699" s="7" t="n"/>
      <c r="Z699" s="7">
        <f>IF($D699="","",Y699*AD699/100)</f>
        <v/>
      </c>
      <c r="AA699" s="7">
        <f>IF($D699="","",Y699-Z699)</f>
        <v/>
      </c>
      <c r="AB699" s="7">
        <f>IF($D699="","",AA699-Q699)</f>
        <v/>
      </c>
      <c r="AD699">
        <f>IF($D699="","",IF($AP699=1,0,IF($AO699=1,Settings!$C$6,Settings!$C$7))*100)</f>
        <v/>
      </c>
      <c r="AH699" s="7" t="n"/>
      <c r="AK699" s="11" t="n"/>
      <c r="AM699">
        <f>IF($D699="","",IF(COUNTIF($D$2:$D699,$D699)=1,1,0))</f>
        <v/>
      </c>
      <c r="AN699">
        <f>IF($AM699=1,SUMPRODUCT(--($AQ$2:$AQ$1001&lt;$AQ699))+1,"")</f>
        <v/>
      </c>
      <c r="AO699">
        <f>IF($D699="","",IF(OR($U699=TRUE(),$U699="TRUE"),1,0))</f>
        <v/>
      </c>
      <c r="AP699">
        <f>IF($D699="","",IF($AC699="Yes",1,0))</f>
        <v/>
      </c>
      <c r="AQ699">
        <f>IF($AM699=1,IFERROR(VALUE(MID($D699,2,20)),1000000000)+ROW()/100000,"")</f>
        <v/>
      </c>
    </row>
    <row r="700">
      <c r="G700" s="11" t="n"/>
      <c r="Q700" s="7">
        <f>IF($D700="","",P700*Y700/100)</f>
        <v/>
      </c>
      <c r="R700" s="7" t="n"/>
      <c r="X700" s="7" t="n"/>
      <c r="Y700" s="7" t="n"/>
      <c r="Z700" s="7">
        <f>IF($D700="","",Y700*AD700/100)</f>
        <v/>
      </c>
      <c r="AA700" s="7">
        <f>IF($D700="","",Y700-Z700)</f>
        <v/>
      </c>
      <c r="AB700" s="7">
        <f>IF($D700="","",AA700-Q700)</f>
        <v/>
      </c>
      <c r="AD700">
        <f>IF($D700="","",IF($AP700=1,0,IF($AO700=1,Settings!$C$6,Settings!$C$7))*100)</f>
        <v/>
      </c>
      <c r="AH700" s="7" t="n"/>
      <c r="AK700" s="11" t="n"/>
      <c r="AM700">
        <f>IF($D700="","",IF(COUNTIF($D$2:$D700,$D700)=1,1,0))</f>
        <v/>
      </c>
      <c r="AN700">
        <f>IF($AM700=1,SUMPRODUCT(--($AQ$2:$AQ$1001&lt;$AQ700))+1,"")</f>
        <v/>
      </c>
      <c r="AO700">
        <f>IF($D700="","",IF(OR($U700=TRUE(),$U700="TRUE"),1,0))</f>
        <v/>
      </c>
      <c r="AP700">
        <f>IF($D700="","",IF($AC700="Yes",1,0))</f>
        <v/>
      </c>
      <c r="AQ700">
        <f>IF($AM700=1,IFERROR(VALUE(MID($D700,2,20)),1000000000)+ROW()/100000,"")</f>
        <v/>
      </c>
    </row>
    <row r="701">
      <c r="G701" s="11" t="n"/>
      <c r="Q701" s="7">
        <f>IF($D701="","",P701*Y701/100)</f>
        <v/>
      </c>
      <c r="R701" s="7" t="n"/>
      <c r="X701" s="7" t="n"/>
      <c r="Y701" s="7" t="n"/>
      <c r="Z701" s="7">
        <f>IF($D701="","",Y701*AD701/100)</f>
        <v/>
      </c>
      <c r="AA701" s="7">
        <f>IF($D701="","",Y701-Z701)</f>
        <v/>
      </c>
      <c r="AB701" s="7">
        <f>IF($D701="","",AA701-Q701)</f>
        <v/>
      </c>
      <c r="AD701">
        <f>IF($D701="","",IF($AP701=1,0,IF($AO701=1,Settings!$C$6,Settings!$C$7))*100)</f>
        <v/>
      </c>
      <c r="AH701" s="7" t="n"/>
      <c r="AK701" s="11" t="n"/>
      <c r="AM701">
        <f>IF($D701="","",IF(COUNTIF($D$2:$D701,$D701)=1,1,0))</f>
        <v/>
      </c>
      <c r="AN701">
        <f>IF($AM701=1,SUMPRODUCT(--($AQ$2:$AQ$1001&lt;$AQ701))+1,"")</f>
        <v/>
      </c>
      <c r="AO701">
        <f>IF($D701="","",IF(OR($U701=TRUE(),$U701="TRUE"),1,0))</f>
        <v/>
      </c>
      <c r="AP701">
        <f>IF($D701="","",IF($AC701="Yes",1,0))</f>
        <v/>
      </c>
      <c r="AQ701">
        <f>IF($AM701=1,IFERROR(VALUE(MID($D701,2,20)),1000000000)+ROW()/100000,"")</f>
        <v/>
      </c>
    </row>
    <row r="702">
      <c r="G702" s="11" t="n"/>
      <c r="Q702" s="7">
        <f>IF($D702="","",P702*Y702/100)</f>
        <v/>
      </c>
      <c r="R702" s="7" t="n"/>
      <c r="X702" s="7" t="n"/>
      <c r="Y702" s="7" t="n"/>
      <c r="Z702" s="7">
        <f>IF($D702="","",Y702*AD702/100)</f>
        <v/>
      </c>
      <c r="AA702" s="7">
        <f>IF($D702="","",Y702-Z702)</f>
        <v/>
      </c>
      <c r="AB702" s="7">
        <f>IF($D702="","",AA702-Q702)</f>
        <v/>
      </c>
      <c r="AD702">
        <f>IF($D702="","",IF($AP702=1,0,IF($AO702=1,Settings!$C$6,Settings!$C$7))*100)</f>
        <v/>
      </c>
      <c r="AH702" s="7" t="n"/>
      <c r="AK702" s="11" t="n"/>
      <c r="AM702">
        <f>IF($D702="","",IF(COUNTIF($D$2:$D702,$D702)=1,1,0))</f>
        <v/>
      </c>
      <c r="AN702">
        <f>IF($AM702=1,SUMPRODUCT(--($AQ$2:$AQ$1001&lt;$AQ702))+1,"")</f>
        <v/>
      </c>
      <c r="AO702">
        <f>IF($D702="","",IF(OR($U702=TRUE(),$U702="TRUE"),1,0))</f>
        <v/>
      </c>
      <c r="AP702">
        <f>IF($D702="","",IF($AC702="Yes",1,0))</f>
        <v/>
      </c>
      <c r="AQ702">
        <f>IF($AM702=1,IFERROR(VALUE(MID($D702,2,20)),1000000000)+ROW()/100000,"")</f>
        <v/>
      </c>
    </row>
    <row r="703">
      <c r="G703" s="11" t="n"/>
      <c r="Q703" s="7">
        <f>IF($D703="","",P703*Y703/100)</f>
        <v/>
      </c>
      <c r="R703" s="7" t="n"/>
      <c r="X703" s="7" t="n"/>
      <c r="Y703" s="7" t="n"/>
      <c r="Z703" s="7">
        <f>IF($D703="","",Y703*AD703/100)</f>
        <v/>
      </c>
      <c r="AA703" s="7">
        <f>IF($D703="","",Y703-Z703)</f>
        <v/>
      </c>
      <c r="AB703" s="7">
        <f>IF($D703="","",AA703-Q703)</f>
        <v/>
      </c>
      <c r="AD703">
        <f>IF($D703="","",IF($AP703=1,0,IF($AO703=1,Settings!$C$6,Settings!$C$7))*100)</f>
        <v/>
      </c>
      <c r="AH703" s="7" t="n"/>
      <c r="AK703" s="11" t="n"/>
      <c r="AM703">
        <f>IF($D703="","",IF(COUNTIF($D$2:$D703,$D703)=1,1,0))</f>
        <v/>
      </c>
      <c r="AN703">
        <f>IF($AM703=1,SUMPRODUCT(--($AQ$2:$AQ$1001&lt;$AQ703))+1,"")</f>
        <v/>
      </c>
      <c r="AO703">
        <f>IF($D703="","",IF(OR($U703=TRUE(),$U703="TRUE"),1,0))</f>
        <v/>
      </c>
      <c r="AP703">
        <f>IF($D703="","",IF($AC703="Yes",1,0))</f>
        <v/>
      </c>
      <c r="AQ703">
        <f>IF($AM703=1,IFERROR(VALUE(MID($D703,2,20)),1000000000)+ROW()/100000,"")</f>
        <v/>
      </c>
    </row>
    <row r="704">
      <c r="G704" s="11" t="n"/>
      <c r="Q704" s="7">
        <f>IF($D704="","",P704*Y704/100)</f>
        <v/>
      </c>
      <c r="R704" s="7" t="n"/>
      <c r="X704" s="7" t="n"/>
      <c r="Y704" s="7" t="n"/>
      <c r="Z704" s="7">
        <f>IF($D704="","",Y704*AD704/100)</f>
        <v/>
      </c>
      <c r="AA704" s="7">
        <f>IF($D704="","",Y704-Z704)</f>
        <v/>
      </c>
      <c r="AB704" s="7">
        <f>IF($D704="","",AA704-Q704)</f>
        <v/>
      </c>
      <c r="AD704">
        <f>IF($D704="","",IF($AP704=1,0,IF($AO704=1,Settings!$C$6,Settings!$C$7))*100)</f>
        <v/>
      </c>
      <c r="AH704" s="7" t="n"/>
      <c r="AK704" s="11" t="n"/>
      <c r="AM704">
        <f>IF($D704="","",IF(COUNTIF($D$2:$D704,$D704)=1,1,0))</f>
        <v/>
      </c>
      <c r="AN704">
        <f>IF($AM704=1,SUMPRODUCT(--($AQ$2:$AQ$1001&lt;$AQ704))+1,"")</f>
        <v/>
      </c>
      <c r="AO704">
        <f>IF($D704="","",IF(OR($U704=TRUE(),$U704="TRUE"),1,0))</f>
        <v/>
      </c>
      <c r="AP704">
        <f>IF($D704="","",IF($AC704="Yes",1,0))</f>
        <v/>
      </c>
      <c r="AQ704">
        <f>IF($AM704=1,IFERROR(VALUE(MID($D704,2,20)),1000000000)+ROW()/100000,"")</f>
        <v/>
      </c>
    </row>
    <row r="705">
      <c r="G705" s="11" t="n"/>
      <c r="Q705" s="7">
        <f>IF($D705="","",P705*Y705/100)</f>
        <v/>
      </c>
      <c r="R705" s="7" t="n"/>
      <c r="X705" s="7" t="n"/>
      <c r="Y705" s="7" t="n"/>
      <c r="Z705" s="7">
        <f>IF($D705="","",Y705*AD705/100)</f>
        <v/>
      </c>
      <c r="AA705" s="7">
        <f>IF($D705="","",Y705-Z705)</f>
        <v/>
      </c>
      <c r="AB705" s="7">
        <f>IF($D705="","",AA705-Q705)</f>
        <v/>
      </c>
      <c r="AD705">
        <f>IF($D705="","",IF($AP705=1,0,IF($AO705=1,Settings!$C$6,Settings!$C$7))*100)</f>
        <v/>
      </c>
      <c r="AH705" s="7" t="n"/>
      <c r="AK705" s="11" t="n"/>
      <c r="AM705">
        <f>IF($D705="","",IF(COUNTIF($D$2:$D705,$D705)=1,1,0))</f>
        <v/>
      </c>
      <c r="AN705">
        <f>IF($AM705=1,SUMPRODUCT(--($AQ$2:$AQ$1001&lt;$AQ705))+1,"")</f>
        <v/>
      </c>
      <c r="AO705">
        <f>IF($D705="","",IF(OR($U705=TRUE(),$U705="TRUE"),1,0))</f>
        <v/>
      </c>
      <c r="AP705">
        <f>IF($D705="","",IF($AC705="Yes",1,0))</f>
        <v/>
      </c>
      <c r="AQ705">
        <f>IF($AM705=1,IFERROR(VALUE(MID($D705,2,20)),1000000000)+ROW()/100000,"")</f>
        <v/>
      </c>
    </row>
    <row r="706">
      <c r="G706" s="11" t="n"/>
      <c r="Q706" s="7">
        <f>IF($D706="","",P706*Y706/100)</f>
        <v/>
      </c>
      <c r="R706" s="7" t="n"/>
      <c r="X706" s="7" t="n"/>
      <c r="Y706" s="7" t="n"/>
      <c r="Z706" s="7">
        <f>IF($D706="","",Y706*AD706/100)</f>
        <v/>
      </c>
      <c r="AA706" s="7">
        <f>IF($D706="","",Y706-Z706)</f>
        <v/>
      </c>
      <c r="AB706" s="7">
        <f>IF($D706="","",AA706-Q706)</f>
        <v/>
      </c>
      <c r="AD706">
        <f>IF($D706="","",IF($AP706=1,0,IF($AO706=1,Settings!$C$6,Settings!$C$7))*100)</f>
        <v/>
      </c>
      <c r="AH706" s="7" t="n"/>
      <c r="AK706" s="11" t="n"/>
      <c r="AM706">
        <f>IF($D706="","",IF(COUNTIF($D$2:$D706,$D706)=1,1,0))</f>
        <v/>
      </c>
      <c r="AN706">
        <f>IF($AM706=1,SUMPRODUCT(--($AQ$2:$AQ$1001&lt;$AQ706))+1,"")</f>
        <v/>
      </c>
      <c r="AO706">
        <f>IF($D706="","",IF(OR($U706=TRUE(),$U706="TRUE"),1,0))</f>
        <v/>
      </c>
      <c r="AP706">
        <f>IF($D706="","",IF($AC706="Yes",1,0))</f>
        <v/>
      </c>
      <c r="AQ706">
        <f>IF($AM706=1,IFERROR(VALUE(MID($D706,2,20)),1000000000)+ROW()/100000,"")</f>
        <v/>
      </c>
    </row>
    <row r="707">
      <c r="G707" s="11" t="n"/>
      <c r="Q707" s="7">
        <f>IF($D707="","",P707*Y707/100)</f>
        <v/>
      </c>
      <c r="R707" s="7" t="n"/>
      <c r="X707" s="7" t="n"/>
      <c r="Y707" s="7" t="n"/>
      <c r="Z707" s="7">
        <f>IF($D707="","",Y707*AD707/100)</f>
        <v/>
      </c>
      <c r="AA707" s="7">
        <f>IF($D707="","",Y707-Z707)</f>
        <v/>
      </c>
      <c r="AB707" s="7">
        <f>IF($D707="","",AA707-Q707)</f>
        <v/>
      </c>
      <c r="AD707">
        <f>IF($D707="","",IF($AP707=1,0,IF($AO707=1,Settings!$C$6,Settings!$C$7))*100)</f>
        <v/>
      </c>
      <c r="AH707" s="7" t="n"/>
      <c r="AK707" s="11" t="n"/>
      <c r="AM707">
        <f>IF($D707="","",IF(COUNTIF($D$2:$D707,$D707)=1,1,0))</f>
        <v/>
      </c>
      <c r="AN707">
        <f>IF($AM707=1,SUMPRODUCT(--($AQ$2:$AQ$1001&lt;$AQ707))+1,"")</f>
        <v/>
      </c>
      <c r="AO707">
        <f>IF($D707="","",IF(OR($U707=TRUE(),$U707="TRUE"),1,0))</f>
        <v/>
      </c>
      <c r="AP707">
        <f>IF($D707="","",IF($AC707="Yes",1,0))</f>
        <v/>
      </c>
      <c r="AQ707">
        <f>IF($AM707=1,IFERROR(VALUE(MID($D707,2,20)),1000000000)+ROW()/100000,"")</f>
        <v/>
      </c>
    </row>
    <row r="708">
      <c r="G708" s="11" t="n"/>
      <c r="Q708" s="7">
        <f>IF($D708="","",P708*Y708/100)</f>
        <v/>
      </c>
      <c r="R708" s="7" t="n"/>
      <c r="X708" s="7" t="n"/>
      <c r="Y708" s="7" t="n"/>
      <c r="Z708" s="7">
        <f>IF($D708="","",Y708*AD708/100)</f>
        <v/>
      </c>
      <c r="AA708" s="7">
        <f>IF($D708="","",Y708-Z708)</f>
        <v/>
      </c>
      <c r="AB708" s="7">
        <f>IF($D708="","",AA708-Q708)</f>
        <v/>
      </c>
      <c r="AD708">
        <f>IF($D708="","",IF($AP708=1,0,IF($AO708=1,Settings!$C$6,Settings!$C$7))*100)</f>
        <v/>
      </c>
      <c r="AH708" s="7" t="n"/>
      <c r="AK708" s="11" t="n"/>
      <c r="AM708">
        <f>IF($D708="","",IF(COUNTIF($D$2:$D708,$D708)=1,1,0))</f>
        <v/>
      </c>
      <c r="AN708">
        <f>IF($AM708=1,SUMPRODUCT(--($AQ$2:$AQ$1001&lt;$AQ708))+1,"")</f>
        <v/>
      </c>
      <c r="AO708">
        <f>IF($D708="","",IF(OR($U708=TRUE(),$U708="TRUE"),1,0))</f>
        <v/>
      </c>
      <c r="AP708">
        <f>IF($D708="","",IF($AC708="Yes",1,0))</f>
        <v/>
      </c>
      <c r="AQ708">
        <f>IF($AM708=1,IFERROR(VALUE(MID($D708,2,20)),1000000000)+ROW()/100000,"")</f>
        <v/>
      </c>
    </row>
    <row r="709">
      <c r="G709" s="11" t="n"/>
      <c r="Q709" s="7">
        <f>IF($D709="","",P709*Y709/100)</f>
        <v/>
      </c>
      <c r="R709" s="7" t="n"/>
      <c r="X709" s="7" t="n"/>
      <c r="Y709" s="7" t="n"/>
      <c r="Z709" s="7">
        <f>IF($D709="","",Y709*AD709/100)</f>
        <v/>
      </c>
      <c r="AA709" s="7">
        <f>IF($D709="","",Y709-Z709)</f>
        <v/>
      </c>
      <c r="AB709" s="7">
        <f>IF($D709="","",AA709-Q709)</f>
        <v/>
      </c>
      <c r="AD709">
        <f>IF($D709="","",IF($AP709=1,0,IF($AO709=1,Settings!$C$6,Settings!$C$7))*100)</f>
        <v/>
      </c>
      <c r="AH709" s="7" t="n"/>
      <c r="AK709" s="11" t="n"/>
      <c r="AM709">
        <f>IF($D709="","",IF(COUNTIF($D$2:$D709,$D709)=1,1,0))</f>
        <v/>
      </c>
      <c r="AN709">
        <f>IF($AM709=1,SUMPRODUCT(--($AQ$2:$AQ$1001&lt;$AQ709))+1,"")</f>
        <v/>
      </c>
      <c r="AO709">
        <f>IF($D709="","",IF(OR($U709=TRUE(),$U709="TRUE"),1,0))</f>
        <v/>
      </c>
      <c r="AP709">
        <f>IF($D709="","",IF($AC709="Yes",1,0))</f>
        <v/>
      </c>
      <c r="AQ709">
        <f>IF($AM709=1,IFERROR(VALUE(MID($D709,2,20)),1000000000)+ROW()/100000,"")</f>
        <v/>
      </c>
    </row>
    <row r="710">
      <c r="G710" s="11" t="n"/>
      <c r="Q710" s="7">
        <f>IF($D710="","",P710*Y710/100)</f>
        <v/>
      </c>
      <c r="R710" s="7" t="n"/>
      <c r="X710" s="7" t="n"/>
      <c r="Y710" s="7" t="n"/>
      <c r="Z710" s="7">
        <f>IF($D710="","",Y710*AD710/100)</f>
        <v/>
      </c>
      <c r="AA710" s="7">
        <f>IF($D710="","",Y710-Z710)</f>
        <v/>
      </c>
      <c r="AB710" s="7">
        <f>IF($D710="","",AA710-Q710)</f>
        <v/>
      </c>
      <c r="AD710">
        <f>IF($D710="","",IF($AP710=1,0,IF($AO710=1,Settings!$C$6,Settings!$C$7))*100)</f>
        <v/>
      </c>
      <c r="AH710" s="7" t="n"/>
      <c r="AK710" s="11" t="n"/>
      <c r="AM710">
        <f>IF($D710="","",IF(COUNTIF($D$2:$D710,$D710)=1,1,0))</f>
        <v/>
      </c>
      <c r="AN710">
        <f>IF($AM710=1,SUMPRODUCT(--($AQ$2:$AQ$1001&lt;$AQ710))+1,"")</f>
        <v/>
      </c>
      <c r="AO710">
        <f>IF($D710="","",IF(OR($U710=TRUE(),$U710="TRUE"),1,0))</f>
        <v/>
      </c>
      <c r="AP710">
        <f>IF($D710="","",IF($AC710="Yes",1,0))</f>
        <v/>
      </c>
      <c r="AQ710">
        <f>IF($AM710=1,IFERROR(VALUE(MID($D710,2,20)),1000000000)+ROW()/100000,"")</f>
        <v/>
      </c>
    </row>
    <row r="711">
      <c r="G711" s="11" t="n"/>
      <c r="Q711" s="7">
        <f>IF($D711="","",P711*Y711/100)</f>
        <v/>
      </c>
      <c r="R711" s="7" t="n"/>
      <c r="X711" s="7" t="n"/>
      <c r="Y711" s="7" t="n"/>
      <c r="Z711" s="7">
        <f>IF($D711="","",Y711*AD711/100)</f>
        <v/>
      </c>
      <c r="AA711" s="7">
        <f>IF($D711="","",Y711-Z711)</f>
        <v/>
      </c>
      <c r="AB711" s="7">
        <f>IF($D711="","",AA711-Q711)</f>
        <v/>
      </c>
      <c r="AD711">
        <f>IF($D711="","",IF($AP711=1,0,IF($AO711=1,Settings!$C$6,Settings!$C$7))*100)</f>
        <v/>
      </c>
      <c r="AH711" s="7" t="n"/>
      <c r="AK711" s="11" t="n"/>
      <c r="AM711">
        <f>IF($D711="","",IF(COUNTIF($D$2:$D711,$D711)=1,1,0))</f>
        <v/>
      </c>
      <c r="AN711">
        <f>IF($AM711=1,SUMPRODUCT(--($AQ$2:$AQ$1001&lt;$AQ711))+1,"")</f>
        <v/>
      </c>
      <c r="AO711">
        <f>IF($D711="","",IF(OR($U711=TRUE(),$U711="TRUE"),1,0))</f>
        <v/>
      </c>
      <c r="AP711">
        <f>IF($D711="","",IF($AC711="Yes",1,0))</f>
        <v/>
      </c>
      <c r="AQ711">
        <f>IF($AM711=1,IFERROR(VALUE(MID($D711,2,20)),1000000000)+ROW()/100000,"")</f>
        <v/>
      </c>
    </row>
    <row r="712">
      <c r="G712" s="11" t="n"/>
      <c r="Q712" s="7">
        <f>IF($D712="","",P712*Y712/100)</f>
        <v/>
      </c>
      <c r="R712" s="7" t="n"/>
      <c r="X712" s="7" t="n"/>
      <c r="Y712" s="7" t="n"/>
      <c r="Z712" s="7">
        <f>IF($D712="","",Y712*AD712/100)</f>
        <v/>
      </c>
      <c r="AA712" s="7">
        <f>IF($D712="","",Y712-Z712)</f>
        <v/>
      </c>
      <c r="AB712" s="7">
        <f>IF($D712="","",AA712-Q712)</f>
        <v/>
      </c>
      <c r="AD712">
        <f>IF($D712="","",IF($AP712=1,0,IF($AO712=1,Settings!$C$6,Settings!$C$7))*100)</f>
        <v/>
      </c>
      <c r="AH712" s="7" t="n"/>
      <c r="AK712" s="11" t="n"/>
      <c r="AM712">
        <f>IF($D712="","",IF(COUNTIF($D$2:$D712,$D712)=1,1,0))</f>
        <v/>
      </c>
      <c r="AN712">
        <f>IF($AM712=1,SUMPRODUCT(--($AQ$2:$AQ$1001&lt;$AQ712))+1,"")</f>
        <v/>
      </c>
      <c r="AO712">
        <f>IF($D712="","",IF(OR($U712=TRUE(),$U712="TRUE"),1,0))</f>
        <v/>
      </c>
      <c r="AP712">
        <f>IF($D712="","",IF($AC712="Yes",1,0))</f>
        <v/>
      </c>
      <c r="AQ712">
        <f>IF($AM712=1,IFERROR(VALUE(MID($D712,2,20)),1000000000)+ROW()/100000,"")</f>
        <v/>
      </c>
    </row>
    <row r="713">
      <c r="G713" s="11" t="n"/>
      <c r="Q713" s="7">
        <f>IF($D713="","",P713*Y713/100)</f>
        <v/>
      </c>
      <c r="R713" s="7" t="n"/>
      <c r="X713" s="7" t="n"/>
      <c r="Y713" s="7" t="n"/>
      <c r="Z713" s="7">
        <f>IF($D713="","",Y713*AD713/100)</f>
        <v/>
      </c>
      <c r="AA713" s="7">
        <f>IF($D713="","",Y713-Z713)</f>
        <v/>
      </c>
      <c r="AB713" s="7">
        <f>IF($D713="","",AA713-Q713)</f>
        <v/>
      </c>
      <c r="AD713">
        <f>IF($D713="","",IF($AP713=1,0,IF($AO713=1,Settings!$C$6,Settings!$C$7))*100)</f>
        <v/>
      </c>
      <c r="AH713" s="7" t="n"/>
      <c r="AK713" s="11" t="n"/>
      <c r="AM713">
        <f>IF($D713="","",IF(COUNTIF($D$2:$D713,$D713)=1,1,0))</f>
        <v/>
      </c>
      <c r="AN713">
        <f>IF($AM713=1,SUMPRODUCT(--($AQ$2:$AQ$1001&lt;$AQ713))+1,"")</f>
        <v/>
      </c>
      <c r="AO713">
        <f>IF($D713="","",IF(OR($U713=TRUE(),$U713="TRUE"),1,0))</f>
        <v/>
      </c>
      <c r="AP713">
        <f>IF($D713="","",IF($AC713="Yes",1,0))</f>
        <v/>
      </c>
      <c r="AQ713">
        <f>IF($AM713=1,IFERROR(VALUE(MID($D713,2,20)),1000000000)+ROW()/100000,"")</f>
        <v/>
      </c>
    </row>
    <row r="714">
      <c r="G714" s="11" t="n"/>
      <c r="Q714" s="7">
        <f>IF($D714="","",P714*Y714/100)</f>
        <v/>
      </c>
      <c r="R714" s="7" t="n"/>
      <c r="X714" s="7" t="n"/>
      <c r="Y714" s="7" t="n"/>
      <c r="Z714" s="7">
        <f>IF($D714="","",Y714*AD714/100)</f>
        <v/>
      </c>
      <c r="AA714" s="7">
        <f>IF($D714="","",Y714-Z714)</f>
        <v/>
      </c>
      <c r="AB714" s="7">
        <f>IF($D714="","",AA714-Q714)</f>
        <v/>
      </c>
      <c r="AD714">
        <f>IF($D714="","",IF($AP714=1,0,IF($AO714=1,Settings!$C$6,Settings!$C$7))*100)</f>
        <v/>
      </c>
      <c r="AH714" s="7" t="n"/>
      <c r="AK714" s="11" t="n"/>
      <c r="AM714">
        <f>IF($D714="","",IF(COUNTIF($D$2:$D714,$D714)=1,1,0))</f>
        <v/>
      </c>
      <c r="AN714">
        <f>IF($AM714=1,SUMPRODUCT(--($AQ$2:$AQ$1001&lt;$AQ714))+1,"")</f>
        <v/>
      </c>
      <c r="AO714">
        <f>IF($D714="","",IF(OR($U714=TRUE(),$U714="TRUE"),1,0))</f>
        <v/>
      </c>
      <c r="AP714">
        <f>IF($D714="","",IF($AC714="Yes",1,0))</f>
        <v/>
      </c>
      <c r="AQ714">
        <f>IF($AM714=1,IFERROR(VALUE(MID($D714,2,20)),1000000000)+ROW()/100000,"")</f>
        <v/>
      </c>
    </row>
    <row r="715">
      <c r="G715" s="11" t="n"/>
      <c r="Q715" s="7">
        <f>IF($D715="","",P715*Y715/100)</f>
        <v/>
      </c>
      <c r="R715" s="7" t="n"/>
      <c r="X715" s="7" t="n"/>
      <c r="Y715" s="7" t="n"/>
      <c r="Z715" s="7">
        <f>IF($D715="","",Y715*AD715/100)</f>
        <v/>
      </c>
      <c r="AA715" s="7">
        <f>IF($D715="","",Y715-Z715)</f>
        <v/>
      </c>
      <c r="AB715" s="7">
        <f>IF($D715="","",AA715-Q715)</f>
        <v/>
      </c>
      <c r="AD715">
        <f>IF($D715="","",IF($AP715=1,0,IF($AO715=1,Settings!$C$6,Settings!$C$7))*100)</f>
        <v/>
      </c>
      <c r="AH715" s="7" t="n"/>
      <c r="AK715" s="11" t="n"/>
      <c r="AM715">
        <f>IF($D715="","",IF(COUNTIF($D$2:$D715,$D715)=1,1,0))</f>
        <v/>
      </c>
      <c r="AN715">
        <f>IF($AM715=1,SUMPRODUCT(--($AQ$2:$AQ$1001&lt;$AQ715))+1,"")</f>
        <v/>
      </c>
      <c r="AO715">
        <f>IF($D715="","",IF(OR($U715=TRUE(),$U715="TRUE"),1,0))</f>
        <v/>
      </c>
      <c r="AP715">
        <f>IF($D715="","",IF($AC715="Yes",1,0))</f>
        <v/>
      </c>
      <c r="AQ715">
        <f>IF($AM715=1,IFERROR(VALUE(MID($D715,2,20)),1000000000)+ROW()/100000,"")</f>
        <v/>
      </c>
    </row>
    <row r="716">
      <c r="G716" s="11" t="n"/>
      <c r="Q716" s="7">
        <f>IF($D716="","",P716*Y716/100)</f>
        <v/>
      </c>
      <c r="R716" s="7" t="n"/>
      <c r="X716" s="7" t="n"/>
      <c r="Y716" s="7" t="n"/>
      <c r="Z716" s="7">
        <f>IF($D716="","",Y716*AD716/100)</f>
        <v/>
      </c>
      <c r="AA716" s="7">
        <f>IF($D716="","",Y716-Z716)</f>
        <v/>
      </c>
      <c r="AB716" s="7">
        <f>IF($D716="","",AA716-Q716)</f>
        <v/>
      </c>
      <c r="AD716">
        <f>IF($D716="","",IF($AP716=1,0,IF($AO716=1,Settings!$C$6,Settings!$C$7))*100)</f>
        <v/>
      </c>
      <c r="AH716" s="7" t="n"/>
      <c r="AK716" s="11" t="n"/>
      <c r="AM716">
        <f>IF($D716="","",IF(COUNTIF($D$2:$D716,$D716)=1,1,0))</f>
        <v/>
      </c>
      <c r="AN716">
        <f>IF($AM716=1,SUMPRODUCT(--($AQ$2:$AQ$1001&lt;$AQ716))+1,"")</f>
        <v/>
      </c>
      <c r="AO716">
        <f>IF($D716="","",IF(OR($U716=TRUE(),$U716="TRUE"),1,0))</f>
        <v/>
      </c>
      <c r="AP716">
        <f>IF($D716="","",IF($AC716="Yes",1,0))</f>
        <v/>
      </c>
      <c r="AQ716">
        <f>IF($AM716=1,IFERROR(VALUE(MID($D716,2,20)),1000000000)+ROW()/100000,"")</f>
        <v/>
      </c>
    </row>
    <row r="717">
      <c r="G717" s="11" t="n"/>
      <c r="Q717" s="7">
        <f>IF($D717="","",P717*Y717/100)</f>
        <v/>
      </c>
      <c r="R717" s="7" t="n"/>
      <c r="X717" s="7" t="n"/>
      <c r="Y717" s="7" t="n"/>
      <c r="Z717" s="7">
        <f>IF($D717="","",Y717*AD717/100)</f>
        <v/>
      </c>
      <c r="AA717" s="7">
        <f>IF($D717="","",Y717-Z717)</f>
        <v/>
      </c>
      <c r="AB717" s="7">
        <f>IF($D717="","",AA717-Q717)</f>
        <v/>
      </c>
      <c r="AD717">
        <f>IF($D717="","",IF($AP717=1,0,IF($AO717=1,Settings!$C$6,Settings!$C$7))*100)</f>
        <v/>
      </c>
      <c r="AH717" s="7" t="n"/>
      <c r="AK717" s="11" t="n"/>
      <c r="AM717">
        <f>IF($D717="","",IF(COUNTIF($D$2:$D717,$D717)=1,1,0))</f>
        <v/>
      </c>
      <c r="AN717">
        <f>IF($AM717=1,SUMPRODUCT(--($AQ$2:$AQ$1001&lt;$AQ717))+1,"")</f>
        <v/>
      </c>
      <c r="AO717">
        <f>IF($D717="","",IF(OR($U717=TRUE(),$U717="TRUE"),1,0))</f>
        <v/>
      </c>
      <c r="AP717">
        <f>IF($D717="","",IF($AC717="Yes",1,0))</f>
        <v/>
      </c>
      <c r="AQ717">
        <f>IF($AM717=1,IFERROR(VALUE(MID($D717,2,20)),1000000000)+ROW()/100000,"")</f>
        <v/>
      </c>
    </row>
    <row r="718">
      <c r="G718" s="11" t="n"/>
      <c r="Q718" s="7">
        <f>IF($D718="","",P718*Y718/100)</f>
        <v/>
      </c>
      <c r="R718" s="7" t="n"/>
      <c r="X718" s="7" t="n"/>
      <c r="Y718" s="7" t="n"/>
      <c r="Z718" s="7">
        <f>IF($D718="","",Y718*AD718/100)</f>
        <v/>
      </c>
      <c r="AA718" s="7">
        <f>IF($D718="","",Y718-Z718)</f>
        <v/>
      </c>
      <c r="AB718" s="7">
        <f>IF($D718="","",AA718-Q718)</f>
        <v/>
      </c>
      <c r="AD718">
        <f>IF($D718="","",IF($AP718=1,0,IF($AO718=1,Settings!$C$6,Settings!$C$7))*100)</f>
        <v/>
      </c>
      <c r="AH718" s="7" t="n"/>
      <c r="AK718" s="11" t="n"/>
      <c r="AM718">
        <f>IF($D718="","",IF(COUNTIF($D$2:$D718,$D718)=1,1,0))</f>
        <v/>
      </c>
      <c r="AN718">
        <f>IF($AM718=1,SUMPRODUCT(--($AQ$2:$AQ$1001&lt;$AQ718))+1,"")</f>
        <v/>
      </c>
      <c r="AO718">
        <f>IF($D718="","",IF(OR($U718=TRUE(),$U718="TRUE"),1,0))</f>
        <v/>
      </c>
      <c r="AP718">
        <f>IF($D718="","",IF($AC718="Yes",1,0))</f>
        <v/>
      </c>
      <c r="AQ718">
        <f>IF($AM718=1,IFERROR(VALUE(MID($D718,2,20)),1000000000)+ROW()/100000,"")</f>
        <v/>
      </c>
    </row>
    <row r="719">
      <c r="G719" s="11" t="n"/>
      <c r="Q719" s="7">
        <f>IF($D719="","",P719*Y719/100)</f>
        <v/>
      </c>
      <c r="R719" s="7" t="n"/>
      <c r="X719" s="7" t="n"/>
      <c r="Y719" s="7" t="n"/>
      <c r="Z719" s="7">
        <f>IF($D719="","",Y719*AD719/100)</f>
        <v/>
      </c>
      <c r="AA719" s="7">
        <f>IF($D719="","",Y719-Z719)</f>
        <v/>
      </c>
      <c r="AB719" s="7">
        <f>IF($D719="","",AA719-Q719)</f>
        <v/>
      </c>
      <c r="AD719">
        <f>IF($D719="","",IF($AP719=1,0,IF($AO719=1,Settings!$C$6,Settings!$C$7))*100)</f>
        <v/>
      </c>
      <c r="AH719" s="7" t="n"/>
      <c r="AK719" s="11" t="n"/>
      <c r="AM719">
        <f>IF($D719="","",IF(COUNTIF($D$2:$D719,$D719)=1,1,0))</f>
        <v/>
      </c>
      <c r="AN719">
        <f>IF($AM719=1,SUMPRODUCT(--($AQ$2:$AQ$1001&lt;$AQ719))+1,"")</f>
        <v/>
      </c>
      <c r="AO719">
        <f>IF($D719="","",IF(OR($U719=TRUE(),$U719="TRUE"),1,0))</f>
        <v/>
      </c>
      <c r="AP719">
        <f>IF($D719="","",IF($AC719="Yes",1,0))</f>
        <v/>
      </c>
      <c r="AQ719">
        <f>IF($AM719=1,IFERROR(VALUE(MID($D719,2,20)),1000000000)+ROW()/100000,"")</f>
        <v/>
      </c>
    </row>
    <row r="720">
      <c r="G720" s="11" t="n"/>
      <c r="Q720" s="7">
        <f>IF($D720="","",P720*Y720/100)</f>
        <v/>
      </c>
      <c r="R720" s="7" t="n"/>
      <c r="X720" s="7" t="n"/>
      <c r="Y720" s="7" t="n"/>
      <c r="Z720" s="7">
        <f>IF($D720="","",Y720*AD720/100)</f>
        <v/>
      </c>
      <c r="AA720" s="7">
        <f>IF($D720="","",Y720-Z720)</f>
        <v/>
      </c>
      <c r="AB720" s="7">
        <f>IF($D720="","",AA720-Q720)</f>
        <v/>
      </c>
      <c r="AD720">
        <f>IF($D720="","",IF($AP720=1,0,IF($AO720=1,Settings!$C$6,Settings!$C$7))*100)</f>
        <v/>
      </c>
      <c r="AH720" s="7" t="n"/>
      <c r="AK720" s="11" t="n"/>
      <c r="AM720">
        <f>IF($D720="","",IF(COUNTIF($D$2:$D720,$D720)=1,1,0))</f>
        <v/>
      </c>
      <c r="AN720">
        <f>IF($AM720=1,SUMPRODUCT(--($AQ$2:$AQ$1001&lt;$AQ720))+1,"")</f>
        <v/>
      </c>
      <c r="AO720">
        <f>IF($D720="","",IF(OR($U720=TRUE(),$U720="TRUE"),1,0))</f>
        <v/>
      </c>
      <c r="AP720">
        <f>IF($D720="","",IF($AC720="Yes",1,0))</f>
        <v/>
      </c>
      <c r="AQ720">
        <f>IF($AM720=1,IFERROR(VALUE(MID($D720,2,20)),1000000000)+ROW()/100000,"")</f>
        <v/>
      </c>
    </row>
    <row r="721">
      <c r="G721" s="11" t="n"/>
      <c r="Q721" s="7">
        <f>IF($D721="","",P721*Y721/100)</f>
        <v/>
      </c>
      <c r="R721" s="7" t="n"/>
      <c r="X721" s="7" t="n"/>
      <c r="Y721" s="7" t="n"/>
      <c r="Z721" s="7">
        <f>IF($D721="","",Y721*AD721/100)</f>
        <v/>
      </c>
      <c r="AA721" s="7">
        <f>IF($D721="","",Y721-Z721)</f>
        <v/>
      </c>
      <c r="AB721" s="7">
        <f>IF($D721="","",AA721-Q721)</f>
        <v/>
      </c>
      <c r="AD721">
        <f>IF($D721="","",IF($AP721=1,0,IF($AO721=1,Settings!$C$6,Settings!$C$7))*100)</f>
        <v/>
      </c>
      <c r="AH721" s="7" t="n"/>
      <c r="AK721" s="11" t="n"/>
      <c r="AM721">
        <f>IF($D721="","",IF(COUNTIF($D$2:$D721,$D721)=1,1,0))</f>
        <v/>
      </c>
      <c r="AN721">
        <f>IF($AM721=1,SUMPRODUCT(--($AQ$2:$AQ$1001&lt;$AQ721))+1,"")</f>
        <v/>
      </c>
      <c r="AO721">
        <f>IF($D721="","",IF(OR($U721=TRUE(),$U721="TRUE"),1,0))</f>
        <v/>
      </c>
      <c r="AP721">
        <f>IF($D721="","",IF($AC721="Yes",1,0))</f>
        <v/>
      </c>
      <c r="AQ721">
        <f>IF($AM721=1,IFERROR(VALUE(MID($D721,2,20)),1000000000)+ROW()/100000,"")</f>
        <v/>
      </c>
    </row>
    <row r="722">
      <c r="G722" s="11" t="n"/>
      <c r="Q722" s="7">
        <f>IF($D722="","",P722*Y722/100)</f>
        <v/>
      </c>
      <c r="R722" s="7" t="n"/>
      <c r="X722" s="7" t="n"/>
      <c r="Y722" s="7" t="n"/>
      <c r="Z722" s="7">
        <f>IF($D722="","",Y722*AD722/100)</f>
        <v/>
      </c>
      <c r="AA722" s="7">
        <f>IF($D722="","",Y722-Z722)</f>
        <v/>
      </c>
      <c r="AB722" s="7">
        <f>IF($D722="","",AA722-Q722)</f>
        <v/>
      </c>
      <c r="AD722">
        <f>IF($D722="","",IF($AP722=1,0,IF($AO722=1,Settings!$C$6,Settings!$C$7))*100)</f>
        <v/>
      </c>
      <c r="AH722" s="7" t="n"/>
      <c r="AK722" s="11" t="n"/>
      <c r="AM722">
        <f>IF($D722="","",IF(COUNTIF($D$2:$D722,$D722)=1,1,0))</f>
        <v/>
      </c>
      <c r="AN722">
        <f>IF($AM722=1,SUMPRODUCT(--($AQ$2:$AQ$1001&lt;$AQ722))+1,"")</f>
        <v/>
      </c>
      <c r="AO722">
        <f>IF($D722="","",IF(OR($U722=TRUE(),$U722="TRUE"),1,0))</f>
        <v/>
      </c>
      <c r="AP722">
        <f>IF($D722="","",IF($AC722="Yes",1,0))</f>
        <v/>
      </c>
      <c r="AQ722">
        <f>IF($AM722=1,IFERROR(VALUE(MID($D722,2,20)),1000000000)+ROW()/100000,"")</f>
        <v/>
      </c>
    </row>
    <row r="723">
      <c r="G723" s="11" t="n"/>
      <c r="Q723" s="7">
        <f>IF($D723="","",P723*Y723/100)</f>
        <v/>
      </c>
      <c r="R723" s="7" t="n"/>
      <c r="X723" s="7" t="n"/>
      <c r="Y723" s="7" t="n"/>
      <c r="Z723" s="7">
        <f>IF($D723="","",Y723*AD723/100)</f>
        <v/>
      </c>
      <c r="AA723" s="7">
        <f>IF($D723="","",Y723-Z723)</f>
        <v/>
      </c>
      <c r="AB723" s="7">
        <f>IF($D723="","",AA723-Q723)</f>
        <v/>
      </c>
      <c r="AD723">
        <f>IF($D723="","",IF($AP723=1,0,IF($AO723=1,Settings!$C$6,Settings!$C$7))*100)</f>
        <v/>
      </c>
      <c r="AH723" s="7" t="n"/>
      <c r="AK723" s="11" t="n"/>
      <c r="AM723">
        <f>IF($D723="","",IF(COUNTIF($D$2:$D723,$D723)=1,1,0))</f>
        <v/>
      </c>
      <c r="AN723">
        <f>IF($AM723=1,SUMPRODUCT(--($AQ$2:$AQ$1001&lt;$AQ723))+1,"")</f>
        <v/>
      </c>
      <c r="AO723">
        <f>IF($D723="","",IF(OR($U723=TRUE(),$U723="TRUE"),1,0))</f>
        <v/>
      </c>
      <c r="AP723">
        <f>IF($D723="","",IF($AC723="Yes",1,0))</f>
        <v/>
      </c>
      <c r="AQ723">
        <f>IF($AM723=1,IFERROR(VALUE(MID($D723,2,20)),1000000000)+ROW()/100000,"")</f>
        <v/>
      </c>
    </row>
    <row r="724">
      <c r="G724" s="11" t="n"/>
      <c r="Q724" s="7">
        <f>IF($D724="","",P724*Y724/100)</f>
        <v/>
      </c>
      <c r="R724" s="7" t="n"/>
      <c r="X724" s="7" t="n"/>
      <c r="Y724" s="7" t="n"/>
      <c r="Z724" s="7">
        <f>IF($D724="","",Y724*AD724/100)</f>
        <v/>
      </c>
      <c r="AA724" s="7">
        <f>IF($D724="","",Y724-Z724)</f>
        <v/>
      </c>
      <c r="AB724" s="7">
        <f>IF($D724="","",AA724-Q724)</f>
        <v/>
      </c>
      <c r="AD724">
        <f>IF($D724="","",IF($AP724=1,0,IF($AO724=1,Settings!$C$6,Settings!$C$7))*100)</f>
        <v/>
      </c>
      <c r="AH724" s="7" t="n"/>
      <c r="AK724" s="11" t="n"/>
      <c r="AM724">
        <f>IF($D724="","",IF(COUNTIF($D$2:$D724,$D724)=1,1,0))</f>
        <v/>
      </c>
      <c r="AN724">
        <f>IF($AM724=1,SUMPRODUCT(--($AQ$2:$AQ$1001&lt;$AQ724))+1,"")</f>
        <v/>
      </c>
      <c r="AO724">
        <f>IF($D724="","",IF(OR($U724=TRUE(),$U724="TRUE"),1,0))</f>
        <v/>
      </c>
      <c r="AP724">
        <f>IF($D724="","",IF($AC724="Yes",1,0))</f>
        <v/>
      </c>
      <c r="AQ724">
        <f>IF($AM724=1,IFERROR(VALUE(MID($D724,2,20)),1000000000)+ROW()/100000,"")</f>
        <v/>
      </c>
    </row>
    <row r="725">
      <c r="G725" s="11" t="n"/>
      <c r="Q725" s="7">
        <f>IF($D725="","",P725*Y725/100)</f>
        <v/>
      </c>
      <c r="R725" s="7" t="n"/>
      <c r="X725" s="7" t="n"/>
      <c r="Y725" s="7" t="n"/>
      <c r="Z725" s="7">
        <f>IF($D725="","",Y725*AD725/100)</f>
        <v/>
      </c>
      <c r="AA725" s="7">
        <f>IF($D725="","",Y725-Z725)</f>
        <v/>
      </c>
      <c r="AB725" s="7">
        <f>IF($D725="","",AA725-Q725)</f>
        <v/>
      </c>
      <c r="AD725">
        <f>IF($D725="","",IF($AP725=1,0,IF($AO725=1,Settings!$C$6,Settings!$C$7))*100)</f>
        <v/>
      </c>
      <c r="AH725" s="7" t="n"/>
      <c r="AK725" s="11" t="n"/>
      <c r="AM725">
        <f>IF($D725="","",IF(COUNTIF($D$2:$D725,$D725)=1,1,0))</f>
        <v/>
      </c>
      <c r="AN725">
        <f>IF($AM725=1,SUMPRODUCT(--($AQ$2:$AQ$1001&lt;$AQ725))+1,"")</f>
        <v/>
      </c>
      <c r="AO725">
        <f>IF($D725="","",IF(OR($U725=TRUE(),$U725="TRUE"),1,0))</f>
        <v/>
      </c>
      <c r="AP725">
        <f>IF($D725="","",IF($AC725="Yes",1,0))</f>
        <v/>
      </c>
      <c r="AQ725">
        <f>IF($AM725=1,IFERROR(VALUE(MID($D725,2,20)),1000000000)+ROW()/100000,"")</f>
        <v/>
      </c>
    </row>
    <row r="726">
      <c r="G726" s="11" t="n"/>
      <c r="Q726" s="7">
        <f>IF($D726="","",P726*Y726/100)</f>
        <v/>
      </c>
      <c r="R726" s="7" t="n"/>
      <c r="X726" s="7" t="n"/>
      <c r="Y726" s="7" t="n"/>
      <c r="Z726" s="7">
        <f>IF($D726="","",Y726*AD726/100)</f>
        <v/>
      </c>
      <c r="AA726" s="7">
        <f>IF($D726="","",Y726-Z726)</f>
        <v/>
      </c>
      <c r="AB726" s="7">
        <f>IF($D726="","",AA726-Q726)</f>
        <v/>
      </c>
      <c r="AD726">
        <f>IF($D726="","",IF($AP726=1,0,IF($AO726=1,Settings!$C$6,Settings!$C$7))*100)</f>
        <v/>
      </c>
      <c r="AH726" s="7" t="n"/>
      <c r="AK726" s="11" t="n"/>
      <c r="AM726">
        <f>IF($D726="","",IF(COUNTIF($D$2:$D726,$D726)=1,1,0))</f>
        <v/>
      </c>
      <c r="AN726">
        <f>IF($AM726=1,SUMPRODUCT(--($AQ$2:$AQ$1001&lt;$AQ726))+1,"")</f>
        <v/>
      </c>
      <c r="AO726">
        <f>IF($D726="","",IF(OR($U726=TRUE(),$U726="TRUE"),1,0))</f>
        <v/>
      </c>
      <c r="AP726">
        <f>IF($D726="","",IF($AC726="Yes",1,0))</f>
        <v/>
      </c>
      <c r="AQ726">
        <f>IF($AM726=1,IFERROR(VALUE(MID($D726,2,20)),1000000000)+ROW()/100000,"")</f>
        <v/>
      </c>
    </row>
    <row r="727">
      <c r="G727" s="11" t="n"/>
      <c r="Q727" s="7">
        <f>IF($D727="","",P727*Y727/100)</f>
        <v/>
      </c>
      <c r="R727" s="7" t="n"/>
      <c r="X727" s="7" t="n"/>
      <c r="Y727" s="7" t="n"/>
      <c r="Z727" s="7">
        <f>IF($D727="","",Y727*AD727/100)</f>
        <v/>
      </c>
      <c r="AA727" s="7">
        <f>IF($D727="","",Y727-Z727)</f>
        <v/>
      </c>
      <c r="AB727" s="7">
        <f>IF($D727="","",AA727-Q727)</f>
        <v/>
      </c>
      <c r="AD727">
        <f>IF($D727="","",IF($AP727=1,0,IF($AO727=1,Settings!$C$6,Settings!$C$7))*100)</f>
        <v/>
      </c>
      <c r="AH727" s="7" t="n"/>
      <c r="AK727" s="11" t="n"/>
      <c r="AM727">
        <f>IF($D727="","",IF(COUNTIF($D$2:$D727,$D727)=1,1,0))</f>
        <v/>
      </c>
      <c r="AN727">
        <f>IF($AM727=1,SUMPRODUCT(--($AQ$2:$AQ$1001&lt;$AQ727))+1,"")</f>
        <v/>
      </c>
      <c r="AO727">
        <f>IF($D727="","",IF(OR($U727=TRUE(),$U727="TRUE"),1,0))</f>
        <v/>
      </c>
      <c r="AP727">
        <f>IF($D727="","",IF($AC727="Yes",1,0))</f>
        <v/>
      </c>
      <c r="AQ727">
        <f>IF($AM727=1,IFERROR(VALUE(MID($D727,2,20)),1000000000)+ROW()/100000,"")</f>
        <v/>
      </c>
    </row>
    <row r="728">
      <c r="G728" s="11" t="n"/>
      <c r="Q728" s="7">
        <f>IF($D728="","",P728*Y728/100)</f>
        <v/>
      </c>
      <c r="R728" s="7" t="n"/>
      <c r="X728" s="7" t="n"/>
      <c r="Y728" s="7" t="n"/>
      <c r="Z728" s="7">
        <f>IF($D728="","",Y728*AD728/100)</f>
        <v/>
      </c>
      <c r="AA728" s="7">
        <f>IF($D728="","",Y728-Z728)</f>
        <v/>
      </c>
      <c r="AB728" s="7">
        <f>IF($D728="","",AA728-Q728)</f>
        <v/>
      </c>
      <c r="AD728">
        <f>IF($D728="","",IF($AP728=1,0,IF($AO728=1,Settings!$C$6,Settings!$C$7))*100)</f>
        <v/>
      </c>
      <c r="AH728" s="7" t="n"/>
      <c r="AK728" s="11" t="n"/>
      <c r="AM728">
        <f>IF($D728="","",IF(COUNTIF($D$2:$D728,$D728)=1,1,0))</f>
        <v/>
      </c>
      <c r="AN728">
        <f>IF($AM728=1,SUMPRODUCT(--($AQ$2:$AQ$1001&lt;$AQ728))+1,"")</f>
        <v/>
      </c>
      <c r="AO728">
        <f>IF($D728="","",IF(OR($U728=TRUE(),$U728="TRUE"),1,0))</f>
        <v/>
      </c>
      <c r="AP728">
        <f>IF($D728="","",IF($AC728="Yes",1,0))</f>
        <v/>
      </c>
      <c r="AQ728">
        <f>IF($AM728=1,IFERROR(VALUE(MID($D728,2,20)),1000000000)+ROW()/100000,"")</f>
        <v/>
      </c>
    </row>
    <row r="729">
      <c r="G729" s="11" t="n"/>
      <c r="Q729" s="7">
        <f>IF($D729="","",P729*Y729/100)</f>
        <v/>
      </c>
      <c r="R729" s="7" t="n"/>
      <c r="X729" s="7" t="n"/>
      <c r="Y729" s="7" t="n"/>
      <c r="Z729" s="7">
        <f>IF($D729="","",Y729*AD729/100)</f>
        <v/>
      </c>
      <c r="AA729" s="7">
        <f>IF($D729="","",Y729-Z729)</f>
        <v/>
      </c>
      <c r="AB729" s="7">
        <f>IF($D729="","",AA729-Q729)</f>
        <v/>
      </c>
      <c r="AD729">
        <f>IF($D729="","",IF($AP729=1,0,IF($AO729=1,Settings!$C$6,Settings!$C$7))*100)</f>
        <v/>
      </c>
      <c r="AH729" s="7" t="n"/>
      <c r="AK729" s="11" t="n"/>
      <c r="AM729">
        <f>IF($D729="","",IF(COUNTIF($D$2:$D729,$D729)=1,1,0))</f>
        <v/>
      </c>
      <c r="AN729">
        <f>IF($AM729=1,SUMPRODUCT(--($AQ$2:$AQ$1001&lt;$AQ729))+1,"")</f>
        <v/>
      </c>
      <c r="AO729">
        <f>IF($D729="","",IF(OR($U729=TRUE(),$U729="TRUE"),1,0))</f>
        <v/>
      </c>
      <c r="AP729">
        <f>IF($D729="","",IF($AC729="Yes",1,0))</f>
        <v/>
      </c>
      <c r="AQ729">
        <f>IF($AM729=1,IFERROR(VALUE(MID($D729,2,20)),1000000000)+ROW()/100000,"")</f>
        <v/>
      </c>
    </row>
    <row r="730">
      <c r="G730" s="11" t="n"/>
      <c r="Q730" s="7">
        <f>IF($D730="","",P730*Y730/100)</f>
        <v/>
      </c>
      <c r="R730" s="7" t="n"/>
      <c r="X730" s="7" t="n"/>
      <c r="Y730" s="7" t="n"/>
      <c r="Z730" s="7">
        <f>IF($D730="","",Y730*AD730/100)</f>
        <v/>
      </c>
      <c r="AA730" s="7">
        <f>IF($D730="","",Y730-Z730)</f>
        <v/>
      </c>
      <c r="AB730" s="7">
        <f>IF($D730="","",AA730-Q730)</f>
        <v/>
      </c>
      <c r="AD730">
        <f>IF($D730="","",IF($AP730=1,0,IF($AO730=1,Settings!$C$6,Settings!$C$7))*100)</f>
        <v/>
      </c>
      <c r="AH730" s="7" t="n"/>
      <c r="AK730" s="11" t="n"/>
      <c r="AM730">
        <f>IF($D730="","",IF(COUNTIF($D$2:$D730,$D730)=1,1,0))</f>
        <v/>
      </c>
      <c r="AN730">
        <f>IF($AM730=1,SUMPRODUCT(--($AQ$2:$AQ$1001&lt;$AQ730))+1,"")</f>
        <v/>
      </c>
      <c r="AO730">
        <f>IF($D730="","",IF(OR($U730=TRUE(),$U730="TRUE"),1,0))</f>
        <v/>
      </c>
      <c r="AP730">
        <f>IF($D730="","",IF($AC730="Yes",1,0))</f>
        <v/>
      </c>
      <c r="AQ730">
        <f>IF($AM730=1,IFERROR(VALUE(MID($D730,2,20)),1000000000)+ROW()/100000,"")</f>
        <v/>
      </c>
    </row>
    <row r="731">
      <c r="G731" s="11" t="n"/>
      <c r="Q731" s="7">
        <f>IF($D731="","",P731*Y731/100)</f>
        <v/>
      </c>
      <c r="R731" s="7" t="n"/>
      <c r="X731" s="7" t="n"/>
      <c r="Y731" s="7" t="n"/>
      <c r="Z731" s="7">
        <f>IF($D731="","",Y731*AD731/100)</f>
        <v/>
      </c>
      <c r="AA731" s="7">
        <f>IF($D731="","",Y731-Z731)</f>
        <v/>
      </c>
      <c r="AB731" s="7">
        <f>IF($D731="","",AA731-Q731)</f>
        <v/>
      </c>
      <c r="AD731">
        <f>IF($D731="","",IF($AP731=1,0,IF($AO731=1,Settings!$C$6,Settings!$C$7))*100)</f>
        <v/>
      </c>
      <c r="AH731" s="7" t="n"/>
      <c r="AK731" s="11" t="n"/>
      <c r="AM731">
        <f>IF($D731="","",IF(COUNTIF($D$2:$D731,$D731)=1,1,0))</f>
        <v/>
      </c>
      <c r="AN731">
        <f>IF($AM731=1,SUMPRODUCT(--($AQ$2:$AQ$1001&lt;$AQ731))+1,"")</f>
        <v/>
      </c>
      <c r="AO731">
        <f>IF($D731="","",IF(OR($U731=TRUE(),$U731="TRUE"),1,0))</f>
        <v/>
      </c>
      <c r="AP731">
        <f>IF($D731="","",IF($AC731="Yes",1,0))</f>
        <v/>
      </c>
      <c r="AQ731">
        <f>IF($AM731=1,IFERROR(VALUE(MID($D731,2,20)),1000000000)+ROW()/100000,"")</f>
        <v/>
      </c>
    </row>
    <row r="732">
      <c r="G732" s="11" t="n"/>
      <c r="Q732" s="7">
        <f>IF($D732="","",P732*Y732/100)</f>
        <v/>
      </c>
      <c r="R732" s="7" t="n"/>
      <c r="X732" s="7" t="n"/>
      <c r="Y732" s="7" t="n"/>
      <c r="Z732" s="7">
        <f>IF($D732="","",Y732*AD732/100)</f>
        <v/>
      </c>
      <c r="AA732" s="7">
        <f>IF($D732="","",Y732-Z732)</f>
        <v/>
      </c>
      <c r="AB732" s="7">
        <f>IF($D732="","",AA732-Q732)</f>
        <v/>
      </c>
      <c r="AD732">
        <f>IF($D732="","",IF($AP732=1,0,IF($AO732=1,Settings!$C$6,Settings!$C$7))*100)</f>
        <v/>
      </c>
      <c r="AH732" s="7" t="n"/>
      <c r="AK732" s="11" t="n"/>
      <c r="AM732">
        <f>IF($D732="","",IF(COUNTIF($D$2:$D732,$D732)=1,1,0))</f>
        <v/>
      </c>
      <c r="AN732">
        <f>IF($AM732=1,SUMPRODUCT(--($AQ$2:$AQ$1001&lt;$AQ732))+1,"")</f>
        <v/>
      </c>
      <c r="AO732">
        <f>IF($D732="","",IF(OR($U732=TRUE(),$U732="TRUE"),1,0))</f>
        <v/>
      </c>
      <c r="AP732">
        <f>IF($D732="","",IF($AC732="Yes",1,0))</f>
        <v/>
      </c>
      <c r="AQ732">
        <f>IF($AM732=1,IFERROR(VALUE(MID($D732,2,20)),1000000000)+ROW()/100000,"")</f>
        <v/>
      </c>
    </row>
    <row r="733">
      <c r="G733" s="11" t="n"/>
      <c r="Q733" s="7">
        <f>IF($D733="","",P733*Y733/100)</f>
        <v/>
      </c>
      <c r="R733" s="7" t="n"/>
      <c r="X733" s="7" t="n"/>
      <c r="Y733" s="7" t="n"/>
      <c r="Z733" s="7">
        <f>IF($D733="","",Y733*AD733/100)</f>
        <v/>
      </c>
      <c r="AA733" s="7">
        <f>IF($D733="","",Y733-Z733)</f>
        <v/>
      </c>
      <c r="AB733" s="7">
        <f>IF($D733="","",AA733-Q733)</f>
        <v/>
      </c>
      <c r="AD733">
        <f>IF($D733="","",IF($AP733=1,0,IF($AO733=1,Settings!$C$6,Settings!$C$7))*100)</f>
        <v/>
      </c>
      <c r="AH733" s="7" t="n"/>
      <c r="AK733" s="11" t="n"/>
      <c r="AM733">
        <f>IF($D733="","",IF(COUNTIF($D$2:$D733,$D733)=1,1,0))</f>
        <v/>
      </c>
      <c r="AN733">
        <f>IF($AM733=1,SUMPRODUCT(--($AQ$2:$AQ$1001&lt;$AQ733))+1,"")</f>
        <v/>
      </c>
      <c r="AO733">
        <f>IF($D733="","",IF(OR($U733=TRUE(),$U733="TRUE"),1,0))</f>
        <v/>
      </c>
      <c r="AP733">
        <f>IF($D733="","",IF($AC733="Yes",1,0))</f>
        <v/>
      </c>
      <c r="AQ733">
        <f>IF($AM733=1,IFERROR(VALUE(MID($D733,2,20)),1000000000)+ROW()/100000,"")</f>
        <v/>
      </c>
    </row>
    <row r="734">
      <c r="G734" s="11" t="n"/>
      <c r="Q734" s="7">
        <f>IF($D734="","",P734*Y734/100)</f>
        <v/>
      </c>
      <c r="R734" s="7" t="n"/>
      <c r="X734" s="7" t="n"/>
      <c r="Y734" s="7" t="n"/>
      <c r="Z734" s="7">
        <f>IF($D734="","",Y734*AD734/100)</f>
        <v/>
      </c>
      <c r="AA734" s="7">
        <f>IF($D734="","",Y734-Z734)</f>
        <v/>
      </c>
      <c r="AB734" s="7">
        <f>IF($D734="","",AA734-Q734)</f>
        <v/>
      </c>
      <c r="AD734">
        <f>IF($D734="","",IF($AP734=1,0,IF($AO734=1,Settings!$C$6,Settings!$C$7))*100)</f>
        <v/>
      </c>
      <c r="AH734" s="7" t="n"/>
      <c r="AK734" s="11" t="n"/>
      <c r="AM734">
        <f>IF($D734="","",IF(COUNTIF($D$2:$D734,$D734)=1,1,0))</f>
        <v/>
      </c>
      <c r="AN734">
        <f>IF($AM734=1,SUMPRODUCT(--($AQ$2:$AQ$1001&lt;$AQ734))+1,"")</f>
        <v/>
      </c>
      <c r="AO734">
        <f>IF($D734="","",IF(OR($U734=TRUE(),$U734="TRUE"),1,0))</f>
        <v/>
      </c>
      <c r="AP734">
        <f>IF($D734="","",IF($AC734="Yes",1,0))</f>
        <v/>
      </c>
      <c r="AQ734">
        <f>IF($AM734=1,IFERROR(VALUE(MID($D734,2,20)),1000000000)+ROW()/100000,"")</f>
        <v/>
      </c>
    </row>
    <row r="735">
      <c r="G735" s="11" t="n"/>
      <c r="Q735" s="7">
        <f>IF($D735="","",P735*Y735/100)</f>
        <v/>
      </c>
      <c r="R735" s="7" t="n"/>
      <c r="X735" s="7" t="n"/>
      <c r="Y735" s="7" t="n"/>
      <c r="Z735" s="7">
        <f>IF($D735="","",Y735*AD735/100)</f>
        <v/>
      </c>
      <c r="AA735" s="7">
        <f>IF($D735="","",Y735-Z735)</f>
        <v/>
      </c>
      <c r="AB735" s="7">
        <f>IF($D735="","",AA735-Q735)</f>
        <v/>
      </c>
      <c r="AD735">
        <f>IF($D735="","",IF($AP735=1,0,IF($AO735=1,Settings!$C$6,Settings!$C$7))*100)</f>
        <v/>
      </c>
      <c r="AH735" s="7" t="n"/>
      <c r="AK735" s="11" t="n"/>
      <c r="AM735">
        <f>IF($D735="","",IF(COUNTIF($D$2:$D735,$D735)=1,1,0))</f>
        <v/>
      </c>
      <c r="AN735">
        <f>IF($AM735=1,SUMPRODUCT(--($AQ$2:$AQ$1001&lt;$AQ735))+1,"")</f>
        <v/>
      </c>
      <c r="AO735">
        <f>IF($D735="","",IF(OR($U735=TRUE(),$U735="TRUE"),1,0))</f>
        <v/>
      </c>
      <c r="AP735">
        <f>IF($D735="","",IF($AC735="Yes",1,0))</f>
        <v/>
      </c>
      <c r="AQ735">
        <f>IF($AM735=1,IFERROR(VALUE(MID($D735,2,20)),1000000000)+ROW()/100000,"")</f>
        <v/>
      </c>
    </row>
    <row r="736">
      <c r="G736" s="11" t="n"/>
      <c r="Q736" s="7">
        <f>IF($D736="","",P736*Y736/100)</f>
        <v/>
      </c>
      <c r="R736" s="7" t="n"/>
      <c r="X736" s="7" t="n"/>
      <c r="Y736" s="7" t="n"/>
      <c r="Z736" s="7">
        <f>IF($D736="","",Y736*AD736/100)</f>
        <v/>
      </c>
      <c r="AA736" s="7">
        <f>IF($D736="","",Y736-Z736)</f>
        <v/>
      </c>
      <c r="AB736" s="7">
        <f>IF($D736="","",AA736-Q736)</f>
        <v/>
      </c>
      <c r="AD736">
        <f>IF($D736="","",IF($AP736=1,0,IF($AO736=1,Settings!$C$6,Settings!$C$7))*100)</f>
        <v/>
      </c>
      <c r="AH736" s="7" t="n"/>
      <c r="AK736" s="11" t="n"/>
      <c r="AM736">
        <f>IF($D736="","",IF(COUNTIF($D$2:$D736,$D736)=1,1,0))</f>
        <v/>
      </c>
      <c r="AN736">
        <f>IF($AM736=1,SUMPRODUCT(--($AQ$2:$AQ$1001&lt;$AQ736))+1,"")</f>
        <v/>
      </c>
      <c r="AO736">
        <f>IF($D736="","",IF(OR($U736=TRUE(),$U736="TRUE"),1,0))</f>
        <v/>
      </c>
      <c r="AP736">
        <f>IF($D736="","",IF($AC736="Yes",1,0))</f>
        <v/>
      </c>
      <c r="AQ736">
        <f>IF($AM736=1,IFERROR(VALUE(MID($D736,2,20)),1000000000)+ROW()/100000,"")</f>
        <v/>
      </c>
    </row>
    <row r="737">
      <c r="G737" s="11" t="n"/>
      <c r="Q737" s="7">
        <f>IF($D737="","",P737*Y737/100)</f>
        <v/>
      </c>
      <c r="R737" s="7" t="n"/>
      <c r="X737" s="7" t="n"/>
      <c r="Y737" s="7" t="n"/>
      <c r="Z737" s="7">
        <f>IF($D737="","",Y737*AD737/100)</f>
        <v/>
      </c>
      <c r="AA737" s="7">
        <f>IF($D737="","",Y737-Z737)</f>
        <v/>
      </c>
      <c r="AB737" s="7">
        <f>IF($D737="","",AA737-Q737)</f>
        <v/>
      </c>
      <c r="AD737">
        <f>IF($D737="","",IF($AP737=1,0,IF($AO737=1,Settings!$C$6,Settings!$C$7))*100)</f>
        <v/>
      </c>
      <c r="AH737" s="7" t="n"/>
      <c r="AK737" s="11" t="n"/>
      <c r="AM737">
        <f>IF($D737="","",IF(COUNTIF($D$2:$D737,$D737)=1,1,0))</f>
        <v/>
      </c>
      <c r="AN737">
        <f>IF($AM737=1,SUMPRODUCT(--($AQ$2:$AQ$1001&lt;$AQ737))+1,"")</f>
        <v/>
      </c>
      <c r="AO737">
        <f>IF($D737="","",IF(OR($U737=TRUE(),$U737="TRUE"),1,0))</f>
        <v/>
      </c>
      <c r="AP737">
        <f>IF($D737="","",IF($AC737="Yes",1,0))</f>
        <v/>
      </c>
      <c r="AQ737">
        <f>IF($AM737=1,IFERROR(VALUE(MID($D737,2,20)),1000000000)+ROW()/100000,"")</f>
        <v/>
      </c>
    </row>
    <row r="738">
      <c r="G738" s="11" t="n"/>
      <c r="Q738" s="7">
        <f>IF($D738="","",P738*Y738/100)</f>
        <v/>
      </c>
      <c r="R738" s="7" t="n"/>
      <c r="X738" s="7" t="n"/>
      <c r="Y738" s="7" t="n"/>
      <c r="Z738" s="7">
        <f>IF($D738="","",Y738*AD738/100)</f>
        <v/>
      </c>
      <c r="AA738" s="7">
        <f>IF($D738="","",Y738-Z738)</f>
        <v/>
      </c>
      <c r="AB738" s="7">
        <f>IF($D738="","",AA738-Q738)</f>
        <v/>
      </c>
      <c r="AD738">
        <f>IF($D738="","",IF($AP738=1,0,IF($AO738=1,Settings!$C$6,Settings!$C$7))*100)</f>
        <v/>
      </c>
      <c r="AH738" s="7" t="n"/>
      <c r="AK738" s="11" t="n"/>
      <c r="AM738">
        <f>IF($D738="","",IF(COUNTIF($D$2:$D738,$D738)=1,1,0))</f>
        <v/>
      </c>
      <c r="AN738">
        <f>IF($AM738=1,SUMPRODUCT(--($AQ$2:$AQ$1001&lt;$AQ738))+1,"")</f>
        <v/>
      </c>
      <c r="AO738">
        <f>IF($D738="","",IF(OR($U738=TRUE(),$U738="TRUE"),1,0))</f>
        <v/>
      </c>
      <c r="AP738">
        <f>IF($D738="","",IF($AC738="Yes",1,0))</f>
        <v/>
      </c>
      <c r="AQ738">
        <f>IF($AM738=1,IFERROR(VALUE(MID($D738,2,20)),1000000000)+ROW()/100000,"")</f>
        <v/>
      </c>
    </row>
    <row r="739">
      <c r="G739" s="11" t="n"/>
      <c r="Q739" s="7">
        <f>IF($D739="","",P739*Y739/100)</f>
        <v/>
      </c>
      <c r="R739" s="7" t="n"/>
      <c r="X739" s="7" t="n"/>
      <c r="Y739" s="7" t="n"/>
      <c r="Z739" s="7">
        <f>IF($D739="","",Y739*AD739/100)</f>
        <v/>
      </c>
      <c r="AA739" s="7">
        <f>IF($D739="","",Y739-Z739)</f>
        <v/>
      </c>
      <c r="AB739" s="7">
        <f>IF($D739="","",AA739-Q739)</f>
        <v/>
      </c>
      <c r="AD739">
        <f>IF($D739="","",IF($AP739=1,0,IF($AO739=1,Settings!$C$6,Settings!$C$7))*100)</f>
        <v/>
      </c>
      <c r="AH739" s="7" t="n"/>
      <c r="AK739" s="11" t="n"/>
      <c r="AM739">
        <f>IF($D739="","",IF(COUNTIF($D$2:$D739,$D739)=1,1,0))</f>
        <v/>
      </c>
      <c r="AN739">
        <f>IF($AM739=1,SUMPRODUCT(--($AQ$2:$AQ$1001&lt;$AQ739))+1,"")</f>
        <v/>
      </c>
      <c r="AO739">
        <f>IF($D739="","",IF(OR($U739=TRUE(),$U739="TRUE"),1,0))</f>
        <v/>
      </c>
      <c r="AP739">
        <f>IF($D739="","",IF($AC739="Yes",1,0))</f>
        <v/>
      </c>
      <c r="AQ739">
        <f>IF($AM739=1,IFERROR(VALUE(MID($D739,2,20)),1000000000)+ROW()/100000,"")</f>
        <v/>
      </c>
    </row>
    <row r="740">
      <c r="G740" s="11" t="n"/>
      <c r="Q740" s="7">
        <f>IF($D740="","",P740*Y740/100)</f>
        <v/>
      </c>
      <c r="R740" s="7" t="n"/>
      <c r="X740" s="7" t="n"/>
      <c r="Y740" s="7" t="n"/>
      <c r="Z740" s="7">
        <f>IF($D740="","",Y740*AD740/100)</f>
        <v/>
      </c>
      <c r="AA740" s="7">
        <f>IF($D740="","",Y740-Z740)</f>
        <v/>
      </c>
      <c r="AB740" s="7">
        <f>IF($D740="","",AA740-Q740)</f>
        <v/>
      </c>
      <c r="AD740">
        <f>IF($D740="","",IF($AP740=1,0,IF($AO740=1,Settings!$C$6,Settings!$C$7))*100)</f>
        <v/>
      </c>
      <c r="AH740" s="7" t="n"/>
      <c r="AK740" s="11" t="n"/>
      <c r="AM740">
        <f>IF($D740="","",IF(COUNTIF($D$2:$D740,$D740)=1,1,0))</f>
        <v/>
      </c>
      <c r="AN740">
        <f>IF($AM740=1,SUMPRODUCT(--($AQ$2:$AQ$1001&lt;$AQ740))+1,"")</f>
        <v/>
      </c>
      <c r="AO740">
        <f>IF($D740="","",IF(OR($U740=TRUE(),$U740="TRUE"),1,0))</f>
        <v/>
      </c>
      <c r="AP740">
        <f>IF($D740="","",IF($AC740="Yes",1,0))</f>
        <v/>
      </c>
      <c r="AQ740">
        <f>IF($AM740=1,IFERROR(VALUE(MID($D740,2,20)),1000000000)+ROW()/100000,"")</f>
        <v/>
      </c>
    </row>
    <row r="741">
      <c r="G741" s="11" t="n"/>
      <c r="Q741" s="7">
        <f>IF($D741="","",P741*Y741/100)</f>
        <v/>
      </c>
      <c r="R741" s="7" t="n"/>
      <c r="X741" s="7" t="n"/>
      <c r="Y741" s="7" t="n"/>
      <c r="Z741" s="7">
        <f>IF($D741="","",Y741*AD741/100)</f>
        <v/>
      </c>
      <c r="AA741" s="7">
        <f>IF($D741="","",Y741-Z741)</f>
        <v/>
      </c>
      <c r="AB741" s="7">
        <f>IF($D741="","",AA741-Q741)</f>
        <v/>
      </c>
      <c r="AD741">
        <f>IF($D741="","",IF($AP741=1,0,IF($AO741=1,Settings!$C$6,Settings!$C$7))*100)</f>
        <v/>
      </c>
      <c r="AH741" s="7" t="n"/>
      <c r="AK741" s="11" t="n"/>
      <c r="AM741">
        <f>IF($D741="","",IF(COUNTIF($D$2:$D741,$D741)=1,1,0))</f>
        <v/>
      </c>
      <c r="AN741">
        <f>IF($AM741=1,SUMPRODUCT(--($AQ$2:$AQ$1001&lt;$AQ741))+1,"")</f>
        <v/>
      </c>
      <c r="AO741">
        <f>IF($D741="","",IF(OR($U741=TRUE(),$U741="TRUE"),1,0))</f>
        <v/>
      </c>
      <c r="AP741">
        <f>IF($D741="","",IF($AC741="Yes",1,0))</f>
        <v/>
      </c>
      <c r="AQ741">
        <f>IF($AM741=1,IFERROR(VALUE(MID($D741,2,20)),1000000000)+ROW()/100000,"")</f>
        <v/>
      </c>
    </row>
    <row r="742">
      <c r="G742" s="11" t="n"/>
      <c r="Q742" s="7">
        <f>IF($D742="","",P742*Y742/100)</f>
        <v/>
      </c>
      <c r="R742" s="7" t="n"/>
      <c r="X742" s="7" t="n"/>
      <c r="Y742" s="7" t="n"/>
      <c r="Z742" s="7">
        <f>IF($D742="","",Y742*AD742/100)</f>
        <v/>
      </c>
      <c r="AA742" s="7">
        <f>IF($D742="","",Y742-Z742)</f>
        <v/>
      </c>
      <c r="AB742" s="7">
        <f>IF($D742="","",AA742-Q742)</f>
        <v/>
      </c>
      <c r="AD742">
        <f>IF($D742="","",IF($AP742=1,0,IF($AO742=1,Settings!$C$6,Settings!$C$7))*100)</f>
        <v/>
      </c>
      <c r="AH742" s="7" t="n"/>
      <c r="AK742" s="11" t="n"/>
      <c r="AM742">
        <f>IF($D742="","",IF(COUNTIF($D$2:$D742,$D742)=1,1,0))</f>
        <v/>
      </c>
      <c r="AN742">
        <f>IF($AM742=1,SUMPRODUCT(--($AQ$2:$AQ$1001&lt;$AQ742))+1,"")</f>
        <v/>
      </c>
      <c r="AO742">
        <f>IF($D742="","",IF(OR($U742=TRUE(),$U742="TRUE"),1,0))</f>
        <v/>
      </c>
      <c r="AP742">
        <f>IF($D742="","",IF($AC742="Yes",1,0))</f>
        <v/>
      </c>
      <c r="AQ742">
        <f>IF($AM742=1,IFERROR(VALUE(MID($D742,2,20)),1000000000)+ROW()/100000,"")</f>
        <v/>
      </c>
    </row>
    <row r="743">
      <c r="G743" s="11" t="n"/>
      <c r="Q743" s="7">
        <f>IF($D743="","",P743*Y743/100)</f>
        <v/>
      </c>
      <c r="R743" s="7" t="n"/>
      <c r="X743" s="7" t="n"/>
      <c r="Y743" s="7" t="n"/>
      <c r="Z743" s="7">
        <f>IF($D743="","",Y743*AD743/100)</f>
        <v/>
      </c>
      <c r="AA743" s="7">
        <f>IF($D743="","",Y743-Z743)</f>
        <v/>
      </c>
      <c r="AB743" s="7">
        <f>IF($D743="","",AA743-Q743)</f>
        <v/>
      </c>
      <c r="AD743">
        <f>IF($D743="","",IF($AP743=1,0,IF($AO743=1,Settings!$C$6,Settings!$C$7))*100)</f>
        <v/>
      </c>
      <c r="AH743" s="7" t="n"/>
      <c r="AK743" s="11" t="n"/>
      <c r="AM743">
        <f>IF($D743="","",IF(COUNTIF($D$2:$D743,$D743)=1,1,0))</f>
        <v/>
      </c>
      <c r="AN743">
        <f>IF($AM743=1,SUMPRODUCT(--($AQ$2:$AQ$1001&lt;$AQ743))+1,"")</f>
        <v/>
      </c>
      <c r="AO743">
        <f>IF($D743="","",IF(OR($U743=TRUE(),$U743="TRUE"),1,0))</f>
        <v/>
      </c>
      <c r="AP743">
        <f>IF($D743="","",IF($AC743="Yes",1,0))</f>
        <v/>
      </c>
      <c r="AQ743">
        <f>IF($AM743=1,IFERROR(VALUE(MID($D743,2,20)),1000000000)+ROW()/100000,"")</f>
        <v/>
      </c>
    </row>
    <row r="744">
      <c r="G744" s="11" t="n"/>
      <c r="Q744" s="7">
        <f>IF($D744="","",P744*Y744/100)</f>
        <v/>
      </c>
      <c r="R744" s="7" t="n"/>
      <c r="X744" s="7" t="n"/>
      <c r="Y744" s="7" t="n"/>
      <c r="Z744" s="7">
        <f>IF($D744="","",Y744*AD744/100)</f>
        <v/>
      </c>
      <c r="AA744" s="7">
        <f>IF($D744="","",Y744-Z744)</f>
        <v/>
      </c>
      <c r="AB744" s="7">
        <f>IF($D744="","",AA744-Q744)</f>
        <v/>
      </c>
      <c r="AD744">
        <f>IF($D744="","",IF($AP744=1,0,IF($AO744=1,Settings!$C$6,Settings!$C$7))*100)</f>
        <v/>
      </c>
      <c r="AH744" s="7" t="n"/>
      <c r="AK744" s="11" t="n"/>
      <c r="AM744">
        <f>IF($D744="","",IF(COUNTIF($D$2:$D744,$D744)=1,1,0))</f>
        <v/>
      </c>
      <c r="AN744">
        <f>IF($AM744=1,SUMPRODUCT(--($AQ$2:$AQ$1001&lt;$AQ744))+1,"")</f>
        <v/>
      </c>
      <c r="AO744">
        <f>IF($D744="","",IF(OR($U744=TRUE(),$U744="TRUE"),1,0))</f>
        <v/>
      </c>
      <c r="AP744">
        <f>IF($D744="","",IF($AC744="Yes",1,0))</f>
        <v/>
      </c>
      <c r="AQ744">
        <f>IF($AM744=1,IFERROR(VALUE(MID($D744,2,20)),1000000000)+ROW()/100000,"")</f>
        <v/>
      </c>
    </row>
    <row r="745">
      <c r="G745" s="11" t="n"/>
      <c r="Q745" s="7">
        <f>IF($D745="","",P745*Y745/100)</f>
        <v/>
      </c>
      <c r="R745" s="7" t="n"/>
      <c r="X745" s="7" t="n"/>
      <c r="Y745" s="7" t="n"/>
      <c r="Z745" s="7">
        <f>IF($D745="","",Y745*AD745/100)</f>
        <v/>
      </c>
      <c r="AA745" s="7">
        <f>IF($D745="","",Y745-Z745)</f>
        <v/>
      </c>
      <c r="AB745" s="7">
        <f>IF($D745="","",AA745-Q745)</f>
        <v/>
      </c>
      <c r="AD745">
        <f>IF($D745="","",IF($AP745=1,0,IF($AO745=1,Settings!$C$6,Settings!$C$7))*100)</f>
        <v/>
      </c>
      <c r="AH745" s="7" t="n"/>
      <c r="AK745" s="11" t="n"/>
      <c r="AM745">
        <f>IF($D745="","",IF(COUNTIF($D$2:$D745,$D745)=1,1,0))</f>
        <v/>
      </c>
      <c r="AN745">
        <f>IF($AM745=1,SUMPRODUCT(--($AQ$2:$AQ$1001&lt;$AQ745))+1,"")</f>
        <v/>
      </c>
      <c r="AO745">
        <f>IF($D745="","",IF(OR($U745=TRUE(),$U745="TRUE"),1,0))</f>
        <v/>
      </c>
      <c r="AP745">
        <f>IF($D745="","",IF($AC745="Yes",1,0))</f>
        <v/>
      </c>
      <c r="AQ745">
        <f>IF($AM745=1,IFERROR(VALUE(MID($D745,2,20)),1000000000)+ROW()/100000,"")</f>
        <v/>
      </c>
    </row>
    <row r="746">
      <c r="G746" s="11" t="n"/>
      <c r="Q746" s="7">
        <f>IF($D746="","",P746*Y746/100)</f>
        <v/>
      </c>
      <c r="R746" s="7" t="n"/>
      <c r="X746" s="7" t="n"/>
      <c r="Y746" s="7" t="n"/>
      <c r="Z746" s="7">
        <f>IF($D746="","",Y746*AD746/100)</f>
        <v/>
      </c>
      <c r="AA746" s="7">
        <f>IF($D746="","",Y746-Z746)</f>
        <v/>
      </c>
      <c r="AB746" s="7">
        <f>IF($D746="","",AA746-Q746)</f>
        <v/>
      </c>
      <c r="AD746">
        <f>IF($D746="","",IF($AP746=1,0,IF($AO746=1,Settings!$C$6,Settings!$C$7))*100)</f>
        <v/>
      </c>
      <c r="AH746" s="7" t="n"/>
      <c r="AK746" s="11" t="n"/>
      <c r="AM746">
        <f>IF($D746="","",IF(COUNTIF($D$2:$D746,$D746)=1,1,0))</f>
        <v/>
      </c>
      <c r="AN746">
        <f>IF($AM746=1,SUMPRODUCT(--($AQ$2:$AQ$1001&lt;$AQ746))+1,"")</f>
        <v/>
      </c>
      <c r="AO746">
        <f>IF($D746="","",IF(OR($U746=TRUE(),$U746="TRUE"),1,0))</f>
        <v/>
      </c>
      <c r="AP746">
        <f>IF($D746="","",IF($AC746="Yes",1,0))</f>
        <v/>
      </c>
      <c r="AQ746">
        <f>IF($AM746=1,IFERROR(VALUE(MID($D746,2,20)),1000000000)+ROW()/100000,"")</f>
        <v/>
      </c>
    </row>
    <row r="747">
      <c r="G747" s="11" t="n"/>
      <c r="Q747" s="7">
        <f>IF($D747="","",P747*Y747/100)</f>
        <v/>
      </c>
      <c r="R747" s="7" t="n"/>
      <c r="X747" s="7" t="n"/>
      <c r="Y747" s="7" t="n"/>
      <c r="Z747" s="7">
        <f>IF($D747="","",Y747*AD747/100)</f>
        <v/>
      </c>
      <c r="AA747" s="7">
        <f>IF($D747="","",Y747-Z747)</f>
        <v/>
      </c>
      <c r="AB747" s="7">
        <f>IF($D747="","",AA747-Q747)</f>
        <v/>
      </c>
      <c r="AD747">
        <f>IF($D747="","",IF($AP747=1,0,IF($AO747=1,Settings!$C$6,Settings!$C$7))*100)</f>
        <v/>
      </c>
      <c r="AH747" s="7" t="n"/>
      <c r="AK747" s="11" t="n"/>
      <c r="AM747">
        <f>IF($D747="","",IF(COUNTIF($D$2:$D747,$D747)=1,1,0))</f>
        <v/>
      </c>
      <c r="AN747">
        <f>IF($AM747=1,SUMPRODUCT(--($AQ$2:$AQ$1001&lt;$AQ747))+1,"")</f>
        <v/>
      </c>
      <c r="AO747">
        <f>IF($D747="","",IF(OR($U747=TRUE(),$U747="TRUE"),1,0))</f>
        <v/>
      </c>
      <c r="AP747">
        <f>IF($D747="","",IF($AC747="Yes",1,0))</f>
        <v/>
      </c>
      <c r="AQ747">
        <f>IF($AM747=1,IFERROR(VALUE(MID($D747,2,20)),1000000000)+ROW()/100000,"")</f>
        <v/>
      </c>
    </row>
    <row r="748">
      <c r="G748" s="11" t="n"/>
      <c r="Q748" s="7">
        <f>IF($D748="","",P748*Y748/100)</f>
        <v/>
      </c>
      <c r="R748" s="7" t="n"/>
      <c r="X748" s="7" t="n"/>
      <c r="Y748" s="7" t="n"/>
      <c r="Z748" s="7">
        <f>IF($D748="","",Y748*AD748/100)</f>
        <v/>
      </c>
      <c r="AA748" s="7">
        <f>IF($D748="","",Y748-Z748)</f>
        <v/>
      </c>
      <c r="AB748" s="7">
        <f>IF($D748="","",AA748-Q748)</f>
        <v/>
      </c>
      <c r="AD748">
        <f>IF($D748="","",IF($AP748=1,0,IF($AO748=1,Settings!$C$6,Settings!$C$7))*100)</f>
        <v/>
      </c>
      <c r="AH748" s="7" t="n"/>
      <c r="AK748" s="11" t="n"/>
      <c r="AM748">
        <f>IF($D748="","",IF(COUNTIF($D$2:$D748,$D748)=1,1,0))</f>
        <v/>
      </c>
      <c r="AN748">
        <f>IF($AM748=1,SUMPRODUCT(--($AQ$2:$AQ$1001&lt;$AQ748))+1,"")</f>
        <v/>
      </c>
      <c r="AO748">
        <f>IF($D748="","",IF(OR($U748=TRUE(),$U748="TRUE"),1,0))</f>
        <v/>
      </c>
      <c r="AP748">
        <f>IF($D748="","",IF($AC748="Yes",1,0))</f>
        <v/>
      </c>
      <c r="AQ748">
        <f>IF($AM748=1,IFERROR(VALUE(MID($D748,2,20)),1000000000)+ROW()/100000,"")</f>
        <v/>
      </c>
    </row>
    <row r="749">
      <c r="G749" s="11" t="n"/>
      <c r="Q749" s="7">
        <f>IF($D749="","",P749*Y749/100)</f>
        <v/>
      </c>
      <c r="R749" s="7" t="n"/>
      <c r="X749" s="7" t="n"/>
      <c r="Y749" s="7" t="n"/>
      <c r="Z749" s="7">
        <f>IF($D749="","",Y749*AD749/100)</f>
        <v/>
      </c>
      <c r="AA749" s="7">
        <f>IF($D749="","",Y749-Z749)</f>
        <v/>
      </c>
      <c r="AB749" s="7">
        <f>IF($D749="","",AA749-Q749)</f>
        <v/>
      </c>
      <c r="AD749">
        <f>IF($D749="","",IF($AP749=1,0,IF($AO749=1,Settings!$C$6,Settings!$C$7))*100)</f>
        <v/>
      </c>
      <c r="AH749" s="7" t="n"/>
      <c r="AK749" s="11" t="n"/>
      <c r="AM749">
        <f>IF($D749="","",IF(COUNTIF($D$2:$D749,$D749)=1,1,0))</f>
        <v/>
      </c>
      <c r="AN749">
        <f>IF($AM749=1,SUMPRODUCT(--($AQ$2:$AQ$1001&lt;$AQ749))+1,"")</f>
        <v/>
      </c>
      <c r="AO749">
        <f>IF($D749="","",IF(OR($U749=TRUE(),$U749="TRUE"),1,0))</f>
        <v/>
      </c>
      <c r="AP749">
        <f>IF($D749="","",IF($AC749="Yes",1,0))</f>
        <v/>
      </c>
      <c r="AQ749">
        <f>IF($AM749=1,IFERROR(VALUE(MID($D749,2,20)),1000000000)+ROW()/100000,"")</f>
        <v/>
      </c>
    </row>
    <row r="750">
      <c r="G750" s="11" t="n"/>
      <c r="Q750" s="7">
        <f>IF($D750="","",P750*Y750/100)</f>
        <v/>
      </c>
      <c r="R750" s="7" t="n"/>
      <c r="X750" s="7" t="n"/>
      <c r="Y750" s="7" t="n"/>
      <c r="Z750" s="7">
        <f>IF($D750="","",Y750*AD750/100)</f>
        <v/>
      </c>
      <c r="AA750" s="7">
        <f>IF($D750="","",Y750-Z750)</f>
        <v/>
      </c>
      <c r="AB750" s="7">
        <f>IF($D750="","",AA750-Q750)</f>
        <v/>
      </c>
      <c r="AD750">
        <f>IF($D750="","",IF($AP750=1,0,IF($AO750=1,Settings!$C$6,Settings!$C$7))*100)</f>
        <v/>
      </c>
      <c r="AH750" s="7" t="n"/>
      <c r="AK750" s="11" t="n"/>
      <c r="AM750">
        <f>IF($D750="","",IF(COUNTIF($D$2:$D750,$D750)=1,1,0))</f>
        <v/>
      </c>
      <c r="AN750">
        <f>IF($AM750=1,SUMPRODUCT(--($AQ$2:$AQ$1001&lt;$AQ750))+1,"")</f>
        <v/>
      </c>
      <c r="AO750">
        <f>IF($D750="","",IF(OR($U750=TRUE(),$U750="TRUE"),1,0))</f>
        <v/>
      </c>
      <c r="AP750">
        <f>IF($D750="","",IF($AC750="Yes",1,0))</f>
        <v/>
      </c>
      <c r="AQ750">
        <f>IF($AM750=1,IFERROR(VALUE(MID($D750,2,20)),1000000000)+ROW()/100000,"")</f>
        <v/>
      </c>
    </row>
    <row r="751">
      <c r="G751" s="11" t="n"/>
      <c r="Q751" s="7">
        <f>IF($D751="","",P751*Y751/100)</f>
        <v/>
      </c>
      <c r="R751" s="7" t="n"/>
      <c r="X751" s="7" t="n"/>
      <c r="Y751" s="7" t="n"/>
      <c r="Z751" s="7">
        <f>IF($D751="","",Y751*AD751/100)</f>
        <v/>
      </c>
      <c r="AA751" s="7">
        <f>IF($D751="","",Y751-Z751)</f>
        <v/>
      </c>
      <c r="AB751" s="7">
        <f>IF($D751="","",AA751-Q751)</f>
        <v/>
      </c>
      <c r="AD751">
        <f>IF($D751="","",IF($AP751=1,0,IF($AO751=1,Settings!$C$6,Settings!$C$7))*100)</f>
        <v/>
      </c>
      <c r="AH751" s="7" t="n"/>
      <c r="AK751" s="11" t="n"/>
      <c r="AM751">
        <f>IF($D751="","",IF(COUNTIF($D$2:$D751,$D751)=1,1,0))</f>
        <v/>
      </c>
      <c r="AN751">
        <f>IF($AM751=1,SUMPRODUCT(--($AQ$2:$AQ$1001&lt;$AQ751))+1,"")</f>
        <v/>
      </c>
      <c r="AO751">
        <f>IF($D751="","",IF(OR($U751=TRUE(),$U751="TRUE"),1,0))</f>
        <v/>
      </c>
      <c r="AP751">
        <f>IF($D751="","",IF($AC751="Yes",1,0))</f>
        <v/>
      </c>
      <c r="AQ751">
        <f>IF($AM751=1,IFERROR(VALUE(MID($D751,2,20)),1000000000)+ROW()/100000,"")</f>
        <v/>
      </c>
    </row>
    <row r="752">
      <c r="G752" s="11" t="n"/>
      <c r="Q752" s="7">
        <f>IF($D752="","",P752*Y752/100)</f>
        <v/>
      </c>
      <c r="R752" s="7" t="n"/>
      <c r="X752" s="7" t="n"/>
      <c r="Y752" s="7" t="n"/>
      <c r="Z752" s="7">
        <f>IF($D752="","",Y752*AD752/100)</f>
        <v/>
      </c>
      <c r="AA752" s="7">
        <f>IF($D752="","",Y752-Z752)</f>
        <v/>
      </c>
      <c r="AB752" s="7">
        <f>IF($D752="","",AA752-Q752)</f>
        <v/>
      </c>
      <c r="AD752">
        <f>IF($D752="","",IF($AP752=1,0,IF($AO752=1,Settings!$C$6,Settings!$C$7))*100)</f>
        <v/>
      </c>
      <c r="AH752" s="7" t="n"/>
      <c r="AK752" s="11" t="n"/>
      <c r="AM752">
        <f>IF($D752="","",IF(COUNTIF($D$2:$D752,$D752)=1,1,0))</f>
        <v/>
      </c>
      <c r="AN752">
        <f>IF($AM752=1,SUMPRODUCT(--($AQ$2:$AQ$1001&lt;$AQ752))+1,"")</f>
        <v/>
      </c>
      <c r="AO752">
        <f>IF($D752="","",IF(OR($U752=TRUE(),$U752="TRUE"),1,0))</f>
        <v/>
      </c>
      <c r="AP752">
        <f>IF($D752="","",IF($AC752="Yes",1,0))</f>
        <v/>
      </c>
      <c r="AQ752">
        <f>IF($AM752=1,IFERROR(VALUE(MID($D752,2,20)),1000000000)+ROW()/100000,"")</f>
        <v/>
      </c>
    </row>
    <row r="753">
      <c r="G753" s="11" t="n"/>
      <c r="Q753" s="7">
        <f>IF($D753="","",P753*Y753/100)</f>
        <v/>
      </c>
      <c r="R753" s="7" t="n"/>
      <c r="X753" s="7" t="n"/>
      <c r="Y753" s="7" t="n"/>
      <c r="Z753" s="7">
        <f>IF($D753="","",Y753*AD753/100)</f>
        <v/>
      </c>
      <c r="AA753" s="7">
        <f>IF($D753="","",Y753-Z753)</f>
        <v/>
      </c>
      <c r="AB753" s="7">
        <f>IF($D753="","",AA753-Q753)</f>
        <v/>
      </c>
      <c r="AD753">
        <f>IF($D753="","",IF($AP753=1,0,IF($AO753=1,Settings!$C$6,Settings!$C$7))*100)</f>
        <v/>
      </c>
      <c r="AH753" s="7" t="n"/>
      <c r="AK753" s="11" t="n"/>
      <c r="AM753">
        <f>IF($D753="","",IF(COUNTIF($D$2:$D753,$D753)=1,1,0))</f>
        <v/>
      </c>
      <c r="AN753">
        <f>IF($AM753=1,SUMPRODUCT(--($AQ$2:$AQ$1001&lt;$AQ753))+1,"")</f>
        <v/>
      </c>
      <c r="AO753">
        <f>IF($D753="","",IF(OR($U753=TRUE(),$U753="TRUE"),1,0))</f>
        <v/>
      </c>
      <c r="AP753">
        <f>IF($D753="","",IF($AC753="Yes",1,0))</f>
        <v/>
      </c>
      <c r="AQ753">
        <f>IF($AM753=1,IFERROR(VALUE(MID($D753,2,20)),1000000000)+ROW()/100000,"")</f>
        <v/>
      </c>
    </row>
    <row r="754">
      <c r="G754" s="11" t="n"/>
      <c r="Q754" s="7">
        <f>IF($D754="","",P754*Y754/100)</f>
        <v/>
      </c>
      <c r="R754" s="7" t="n"/>
      <c r="X754" s="7" t="n"/>
      <c r="Y754" s="7" t="n"/>
      <c r="Z754" s="7">
        <f>IF($D754="","",Y754*AD754/100)</f>
        <v/>
      </c>
      <c r="AA754" s="7">
        <f>IF($D754="","",Y754-Z754)</f>
        <v/>
      </c>
      <c r="AB754" s="7">
        <f>IF($D754="","",AA754-Q754)</f>
        <v/>
      </c>
      <c r="AD754">
        <f>IF($D754="","",IF($AP754=1,0,IF($AO754=1,Settings!$C$6,Settings!$C$7))*100)</f>
        <v/>
      </c>
      <c r="AH754" s="7" t="n"/>
      <c r="AK754" s="11" t="n"/>
      <c r="AM754">
        <f>IF($D754="","",IF(COUNTIF($D$2:$D754,$D754)=1,1,0))</f>
        <v/>
      </c>
      <c r="AN754">
        <f>IF($AM754=1,SUMPRODUCT(--($AQ$2:$AQ$1001&lt;$AQ754))+1,"")</f>
        <v/>
      </c>
      <c r="AO754">
        <f>IF($D754="","",IF(OR($U754=TRUE(),$U754="TRUE"),1,0))</f>
        <v/>
      </c>
      <c r="AP754">
        <f>IF($D754="","",IF($AC754="Yes",1,0))</f>
        <v/>
      </c>
      <c r="AQ754">
        <f>IF($AM754=1,IFERROR(VALUE(MID($D754,2,20)),1000000000)+ROW()/100000,"")</f>
        <v/>
      </c>
    </row>
    <row r="755">
      <c r="G755" s="11" t="n"/>
      <c r="Q755" s="7">
        <f>IF($D755="","",P755*Y755/100)</f>
        <v/>
      </c>
      <c r="R755" s="7" t="n"/>
      <c r="X755" s="7" t="n"/>
      <c r="Y755" s="7" t="n"/>
      <c r="Z755" s="7">
        <f>IF($D755="","",Y755*AD755/100)</f>
        <v/>
      </c>
      <c r="AA755" s="7">
        <f>IF($D755="","",Y755-Z755)</f>
        <v/>
      </c>
      <c r="AB755" s="7">
        <f>IF($D755="","",AA755-Q755)</f>
        <v/>
      </c>
      <c r="AD755">
        <f>IF($D755="","",IF($AP755=1,0,IF($AO755=1,Settings!$C$6,Settings!$C$7))*100)</f>
        <v/>
      </c>
      <c r="AH755" s="7" t="n"/>
      <c r="AK755" s="11" t="n"/>
      <c r="AM755">
        <f>IF($D755="","",IF(COUNTIF($D$2:$D755,$D755)=1,1,0))</f>
        <v/>
      </c>
      <c r="AN755">
        <f>IF($AM755=1,SUMPRODUCT(--($AQ$2:$AQ$1001&lt;$AQ755))+1,"")</f>
        <v/>
      </c>
      <c r="AO755">
        <f>IF($D755="","",IF(OR($U755=TRUE(),$U755="TRUE"),1,0))</f>
        <v/>
      </c>
      <c r="AP755">
        <f>IF($D755="","",IF($AC755="Yes",1,0))</f>
        <v/>
      </c>
      <c r="AQ755">
        <f>IF($AM755=1,IFERROR(VALUE(MID($D755,2,20)),1000000000)+ROW()/100000,"")</f>
        <v/>
      </c>
    </row>
    <row r="756">
      <c r="G756" s="11" t="n"/>
      <c r="Q756" s="7">
        <f>IF($D756="","",P756*Y756/100)</f>
        <v/>
      </c>
      <c r="R756" s="7" t="n"/>
      <c r="X756" s="7" t="n"/>
      <c r="Y756" s="7" t="n"/>
      <c r="Z756" s="7">
        <f>IF($D756="","",Y756*AD756/100)</f>
        <v/>
      </c>
      <c r="AA756" s="7">
        <f>IF($D756="","",Y756-Z756)</f>
        <v/>
      </c>
      <c r="AB756" s="7">
        <f>IF($D756="","",AA756-Q756)</f>
        <v/>
      </c>
      <c r="AD756">
        <f>IF($D756="","",IF($AP756=1,0,IF($AO756=1,Settings!$C$6,Settings!$C$7))*100)</f>
        <v/>
      </c>
      <c r="AH756" s="7" t="n"/>
      <c r="AK756" s="11" t="n"/>
      <c r="AM756">
        <f>IF($D756="","",IF(COUNTIF($D$2:$D756,$D756)=1,1,0))</f>
        <v/>
      </c>
      <c r="AN756">
        <f>IF($AM756=1,SUMPRODUCT(--($AQ$2:$AQ$1001&lt;$AQ756))+1,"")</f>
        <v/>
      </c>
      <c r="AO756">
        <f>IF($D756="","",IF(OR($U756=TRUE(),$U756="TRUE"),1,0))</f>
        <v/>
      </c>
      <c r="AP756">
        <f>IF($D756="","",IF($AC756="Yes",1,0))</f>
        <v/>
      </c>
      <c r="AQ756">
        <f>IF($AM756=1,IFERROR(VALUE(MID($D756,2,20)),1000000000)+ROW()/100000,"")</f>
        <v/>
      </c>
    </row>
    <row r="757">
      <c r="G757" s="11" t="n"/>
      <c r="Q757" s="7">
        <f>IF($D757="","",P757*Y757/100)</f>
        <v/>
      </c>
      <c r="R757" s="7" t="n"/>
      <c r="X757" s="7" t="n"/>
      <c r="Y757" s="7" t="n"/>
      <c r="Z757" s="7">
        <f>IF($D757="","",Y757*AD757/100)</f>
        <v/>
      </c>
      <c r="AA757" s="7">
        <f>IF($D757="","",Y757-Z757)</f>
        <v/>
      </c>
      <c r="AB757" s="7">
        <f>IF($D757="","",AA757-Q757)</f>
        <v/>
      </c>
      <c r="AD757">
        <f>IF($D757="","",IF($AP757=1,0,IF($AO757=1,Settings!$C$6,Settings!$C$7))*100)</f>
        <v/>
      </c>
      <c r="AH757" s="7" t="n"/>
      <c r="AK757" s="11" t="n"/>
      <c r="AM757">
        <f>IF($D757="","",IF(COUNTIF($D$2:$D757,$D757)=1,1,0))</f>
        <v/>
      </c>
      <c r="AN757">
        <f>IF($AM757=1,SUMPRODUCT(--($AQ$2:$AQ$1001&lt;$AQ757))+1,"")</f>
        <v/>
      </c>
      <c r="AO757">
        <f>IF($D757="","",IF(OR($U757=TRUE(),$U757="TRUE"),1,0))</f>
        <v/>
      </c>
      <c r="AP757">
        <f>IF($D757="","",IF($AC757="Yes",1,0))</f>
        <v/>
      </c>
      <c r="AQ757">
        <f>IF($AM757=1,IFERROR(VALUE(MID($D757,2,20)),1000000000)+ROW()/100000,"")</f>
        <v/>
      </c>
    </row>
    <row r="758">
      <c r="G758" s="11" t="n"/>
      <c r="Q758" s="7">
        <f>IF($D758="","",P758*Y758/100)</f>
        <v/>
      </c>
      <c r="R758" s="7" t="n"/>
      <c r="X758" s="7" t="n"/>
      <c r="Y758" s="7" t="n"/>
      <c r="Z758" s="7">
        <f>IF($D758="","",Y758*AD758/100)</f>
        <v/>
      </c>
      <c r="AA758" s="7">
        <f>IF($D758="","",Y758-Z758)</f>
        <v/>
      </c>
      <c r="AB758" s="7">
        <f>IF($D758="","",AA758-Q758)</f>
        <v/>
      </c>
      <c r="AD758">
        <f>IF($D758="","",IF($AP758=1,0,IF($AO758=1,Settings!$C$6,Settings!$C$7))*100)</f>
        <v/>
      </c>
      <c r="AH758" s="7" t="n"/>
      <c r="AK758" s="11" t="n"/>
      <c r="AM758">
        <f>IF($D758="","",IF(COUNTIF($D$2:$D758,$D758)=1,1,0))</f>
        <v/>
      </c>
      <c r="AN758">
        <f>IF($AM758=1,SUMPRODUCT(--($AQ$2:$AQ$1001&lt;$AQ758))+1,"")</f>
        <v/>
      </c>
      <c r="AO758">
        <f>IF($D758="","",IF(OR($U758=TRUE(),$U758="TRUE"),1,0))</f>
        <v/>
      </c>
      <c r="AP758">
        <f>IF($D758="","",IF($AC758="Yes",1,0))</f>
        <v/>
      </c>
      <c r="AQ758">
        <f>IF($AM758=1,IFERROR(VALUE(MID($D758,2,20)),1000000000)+ROW()/100000,"")</f>
        <v/>
      </c>
    </row>
    <row r="759">
      <c r="G759" s="11" t="n"/>
      <c r="Q759" s="7">
        <f>IF($D759="","",P759*Y759/100)</f>
        <v/>
      </c>
      <c r="R759" s="7" t="n"/>
      <c r="X759" s="7" t="n"/>
      <c r="Y759" s="7" t="n"/>
      <c r="Z759" s="7">
        <f>IF($D759="","",Y759*AD759/100)</f>
        <v/>
      </c>
      <c r="AA759" s="7">
        <f>IF($D759="","",Y759-Z759)</f>
        <v/>
      </c>
      <c r="AB759" s="7">
        <f>IF($D759="","",AA759-Q759)</f>
        <v/>
      </c>
      <c r="AD759">
        <f>IF($D759="","",IF($AP759=1,0,IF($AO759=1,Settings!$C$6,Settings!$C$7))*100)</f>
        <v/>
      </c>
      <c r="AH759" s="7" t="n"/>
      <c r="AK759" s="11" t="n"/>
      <c r="AM759">
        <f>IF($D759="","",IF(COUNTIF($D$2:$D759,$D759)=1,1,0))</f>
        <v/>
      </c>
      <c r="AN759">
        <f>IF($AM759=1,SUMPRODUCT(--($AQ$2:$AQ$1001&lt;$AQ759))+1,"")</f>
        <v/>
      </c>
      <c r="AO759">
        <f>IF($D759="","",IF(OR($U759=TRUE(),$U759="TRUE"),1,0))</f>
        <v/>
      </c>
      <c r="AP759">
        <f>IF($D759="","",IF($AC759="Yes",1,0))</f>
        <v/>
      </c>
      <c r="AQ759">
        <f>IF($AM759=1,IFERROR(VALUE(MID($D759,2,20)),1000000000)+ROW()/100000,"")</f>
        <v/>
      </c>
    </row>
    <row r="760">
      <c r="G760" s="11" t="n"/>
      <c r="Q760" s="7">
        <f>IF($D760="","",P760*Y760/100)</f>
        <v/>
      </c>
      <c r="R760" s="7" t="n"/>
      <c r="X760" s="7" t="n"/>
      <c r="Y760" s="7" t="n"/>
      <c r="Z760" s="7">
        <f>IF($D760="","",Y760*AD760/100)</f>
        <v/>
      </c>
      <c r="AA760" s="7">
        <f>IF($D760="","",Y760-Z760)</f>
        <v/>
      </c>
      <c r="AB760" s="7">
        <f>IF($D760="","",AA760-Q760)</f>
        <v/>
      </c>
      <c r="AD760">
        <f>IF($D760="","",IF($AP760=1,0,IF($AO760=1,Settings!$C$6,Settings!$C$7))*100)</f>
        <v/>
      </c>
      <c r="AH760" s="7" t="n"/>
      <c r="AK760" s="11" t="n"/>
      <c r="AM760">
        <f>IF($D760="","",IF(COUNTIF($D$2:$D760,$D760)=1,1,0))</f>
        <v/>
      </c>
      <c r="AN760">
        <f>IF($AM760=1,SUMPRODUCT(--($AQ$2:$AQ$1001&lt;$AQ760))+1,"")</f>
        <v/>
      </c>
      <c r="AO760">
        <f>IF($D760="","",IF(OR($U760=TRUE(),$U760="TRUE"),1,0))</f>
        <v/>
      </c>
      <c r="AP760">
        <f>IF($D760="","",IF($AC760="Yes",1,0))</f>
        <v/>
      </c>
      <c r="AQ760">
        <f>IF($AM760=1,IFERROR(VALUE(MID($D760,2,20)),1000000000)+ROW()/100000,"")</f>
        <v/>
      </c>
    </row>
    <row r="761">
      <c r="G761" s="11" t="n"/>
      <c r="Q761" s="7">
        <f>IF($D761="","",P761*Y761/100)</f>
        <v/>
      </c>
      <c r="R761" s="7" t="n"/>
      <c r="X761" s="7" t="n"/>
      <c r="Y761" s="7" t="n"/>
      <c r="Z761" s="7">
        <f>IF($D761="","",Y761*AD761/100)</f>
        <v/>
      </c>
      <c r="AA761" s="7">
        <f>IF($D761="","",Y761-Z761)</f>
        <v/>
      </c>
      <c r="AB761" s="7">
        <f>IF($D761="","",AA761-Q761)</f>
        <v/>
      </c>
      <c r="AD761">
        <f>IF($D761="","",IF($AP761=1,0,IF($AO761=1,Settings!$C$6,Settings!$C$7))*100)</f>
        <v/>
      </c>
      <c r="AH761" s="7" t="n"/>
      <c r="AK761" s="11" t="n"/>
      <c r="AM761">
        <f>IF($D761="","",IF(COUNTIF($D$2:$D761,$D761)=1,1,0))</f>
        <v/>
      </c>
      <c r="AN761">
        <f>IF($AM761=1,SUMPRODUCT(--($AQ$2:$AQ$1001&lt;$AQ761))+1,"")</f>
        <v/>
      </c>
      <c r="AO761">
        <f>IF($D761="","",IF(OR($U761=TRUE(),$U761="TRUE"),1,0))</f>
        <v/>
      </c>
      <c r="AP761">
        <f>IF($D761="","",IF($AC761="Yes",1,0))</f>
        <v/>
      </c>
      <c r="AQ761">
        <f>IF($AM761=1,IFERROR(VALUE(MID($D761,2,20)),1000000000)+ROW()/100000,"")</f>
        <v/>
      </c>
    </row>
    <row r="762">
      <c r="G762" s="11" t="n"/>
      <c r="Q762" s="7">
        <f>IF($D762="","",P762*Y762/100)</f>
        <v/>
      </c>
      <c r="R762" s="7" t="n"/>
      <c r="X762" s="7" t="n"/>
      <c r="Y762" s="7" t="n"/>
      <c r="Z762" s="7">
        <f>IF($D762="","",Y762*AD762/100)</f>
        <v/>
      </c>
      <c r="AA762" s="7">
        <f>IF($D762="","",Y762-Z762)</f>
        <v/>
      </c>
      <c r="AB762" s="7">
        <f>IF($D762="","",AA762-Q762)</f>
        <v/>
      </c>
      <c r="AD762">
        <f>IF($D762="","",IF($AP762=1,0,IF($AO762=1,Settings!$C$6,Settings!$C$7))*100)</f>
        <v/>
      </c>
      <c r="AH762" s="7" t="n"/>
      <c r="AK762" s="11" t="n"/>
      <c r="AM762">
        <f>IF($D762="","",IF(COUNTIF($D$2:$D762,$D762)=1,1,0))</f>
        <v/>
      </c>
      <c r="AN762">
        <f>IF($AM762=1,SUMPRODUCT(--($AQ$2:$AQ$1001&lt;$AQ762))+1,"")</f>
        <v/>
      </c>
      <c r="AO762">
        <f>IF($D762="","",IF(OR($U762=TRUE(),$U762="TRUE"),1,0))</f>
        <v/>
      </c>
      <c r="AP762">
        <f>IF($D762="","",IF($AC762="Yes",1,0))</f>
        <v/>
      </c>
      <c r="AQ762">
        <f>IF($AM762=1,IFERROR(VALUE(MID($D762,2,20)),1000000000)+ROW()/100000,"")</f>
        <v/>
      </c>
    </row>
    <row r="763">
      <c r="G763" s="11" t="n"/>
      <c r="Q763" s="7">
        <f>IF($D763="","",P763*Y763/100)</f>
        <v/>
      </c>
      <c r="R763" s="7" t="n"/>
      <c r="X763" s="7" t="n"/>
      <c r="Y763" s="7" t="n"/>
      <c r="Z763" s="7">
        <f>IF($D763="","",Y763*AD763/100)</f>
        <v/>
      </c>
      <c r="AA763" s="7">
        <f>IF($D763="","",Y763-Z763)</f>
        <v/>
      </c>
      <c r="AB763" s="7">
        <f>IF($D763="","",AA763-Q763)</f>
        <v/>
      </c>
      <c r="AD763">
        <f>IF($D763="","",IF($AP763=1,0,IF($AO763=1,Settings!$C$6,Settings!$C$7))*100)</f>
        <v/>
      </c>
      <c r="AH763" s="7" t="n"/>
      <c r="AK763" s="11" t="n"/>
      <c r="AM763">
        <f>IF($D763="","",IF(COUNTIF($D$2:$D763,$D763)=1,1,0))</f>
        <v/>
      </c>
      <c r="AN763">
        <f>IF($AM763=1,SUMPRODUCT(--($AQ$2:$AQ$1001&lt;$AQ763))+1,"")</f>
        <v/>
      </c>
      <c r="AO763">
        <f>IF($D763="","",IF(OR($U763=TRUE(),$U763="TRUE"),1,0))</f>
        <v/>
      </c>
      <c r="AP763">
        <f>IF($D763="","",IF($AC763="Yes",1,0))</f>
        <v/>
      </c>
      <c r="AQ763">
        <f>IF($AM763=1,IFERROR(VALUE(MID($D763,2,20)),1000000000)+ROW()/100000,"")</f>
        <v/>
      </c>
    </row>
    <row r="764">
      <c r="G764" s="11" t="n"/>
      <c r="Q764" s="7">
        <f>IF($D764="","",P764*Y764/100)</f>
        <v/>
      </c>
      <c r="R764" s="7" t="n"/>
      <c r="X764" s="7" t="n"/>
      <c r="Y764" s="7" t="n"/>
      <c r="Z764" s="7">
        <f>IF($D764="","",Y764*AD764/100)</f>
        <v/>
      </c>
      <c r="AA764" s="7">
        <f>IF($D764="","",Y764-Z764)</f>
        <v/>
      </c>
      <c r="AB764" s="7">
        <f>IF($D764="","",AA764-Q764)</f>
        <v/>
      </c>
      <c r="AD764">
        <f>IF($D764="","",IF($AP764=1,0,IF($AO764=1,Settings!$C$6,Settings!$C$7))*100)</f>
        <v/>
      </c>
      <c r="AH764" s="7" t="n"/>
      <c r="AK764" s="11" t="n"/>
      <c r="AM764">
        <f>IF($D764="","",IF(COUNTIF($D$2:$D764,$D764)=1,1,0))</f>
        <v/>
      </c>
      <c r="AN764">
        <f>IF($AM764=1,SUMPRODUCT(--($AQ$2:$AQ$1001&lt;$AQ764))+1,"")</f>
        <v/>
      </c>
      <c r="AO764">
        <f>IF($D764="","",IF(OR($U764=TRUE(),$U764="TRUE"),1,0))</f>
        <v/>
      </c>
      <c r="AP764">
        <f>IF($D764="","",IF($AC764="Yes",1,0))</f>
        <v/>
      </c>
      <c r="AQ764">
        <f>IF($AM764=1,IFERROR(VALUE(MID($D764,2,20)),1000000000)+ROW()/100000,"")</f>
        <v/>
      </c>
    </row>
    <row r="765">
      <c r="G765" s="11" t="n"/>
      <c r="Q765" s="7">
        <f>IF($D765="","",P765*Y765/100)</f>
        <v/>
      </c>
      <c r="R765" s="7" t="n"/>
      <c r="X765" s="7" t="n"/>
      <c r="Y765" s="7" t="n"/>
      <c r="Z765" s="7">
        <f>IF($D765="","",Y765*AD765/100)</f>
        <v/>
      </c>
      <c r="AA765" s="7">
        <f>IF($D765="","",Y765-Z765)</f>
        <v/>
      </c>
      <c r="AB765" s="7">
        <f>IF($D765="","",AA765-Q765)</f>
        <v/>
      </c>
      <c r="AD765">
        <f>IF($D765="","",IF($AP765=1,0,IF($AO765=1,Settings!$C$6,Settings!$C$7))*100)</f>
        <v/>
      </c>
      <c r="AH765" s="7" t="n"/>
      <c r="AK765" s="11" t="n"/>
      <c r="AM765">
        <f>IF($D765="","",IF(COUNTIF($D$2:$D765,$D765)=1,1,0))</f>
        <v/>
      </c>
      <c r="AN765">
        <f>IF($AM765=1,SUMPRODUCT(--($AQ$2:$AQ$1001&lt;$AQ765))+1,"")</f>
        <v/>
      </c>
      <c r="AO765">
        <f>IF($D765="","",IF(OR($U765=TRUE(),$U765="TRUE"),1,0))</f>
        <v/>
      </c>
      <c r="AP765">
        <f>IF($D765="","",IF($AC765="Yes",1,0))</f>
        <v/>
      </c>
      <c r="AQ765">
        <f>IF($AM765=1,IFERROR(VALUE(MID($D765,2,20)),1000000000)+ROW()/100000,"")</f>
        <v/>
      </c>
    </row>
    <row r="766">
      <c r="G766" s="11" t="n"/>
      <c r="Q766" s="7">
        <f>IF($D766="","",P766*Y766/100)</f>
        <v/>
      </c>
      <c r="R766" s="7" t="n"/>
      <c r="X766" s="7" t="n"/>
      <c r="Y766" s="7" t="n"/>
      <c r="Z766" s="7">
        <f>IF($D766="","",Y766*AD766/100)</f>
        <v/>
      </c>
      <c r="AA766" s="7">
        <f>IF($D766="","",Y766-Z766)</f>
        <v/>
      </c>
      <c r="AB766" s="7">
        <f>IF($D766="","",AA766-Q766)</f>
        <v/>
      </c>
      <c r="AD766">
        <f>IF($D766="","",IF($AP766=1,0,IF($AO766=1,Settings!$C$6,Settings!$C$7))*100)</f>
        <v/>
      </c>
      <c r="AH766" s="7" t="n"/>
      <c r="AK766" s="11" t="n"/>
      <c r="AM766">
        <f>IF($D766="","",IF(COUNTIF($D$2:$D766,$D766)=1,1,0))</f>
        <v/>
      </c>
      <c r="AN766">
        <f>IF($AM766=1,SUMPRODUCT(--($AQ$2:$AQ$1001&lt;$AQ766))+1,"")</f>
        <v/>
      </c>
      <c r="AO766">
        <f>IF($D766="","",IF(OR($U766=TRUE(),$U766="TRUE"),1,0))</f>
        <v/>
      </c>
      <c r="AP766">
        <f>IF($D766="","",IF($AC766="Yes",1,0))</f>
        <v/>
      </c>
      <c r="AQ766">
        <f>IF($AM766=1,IFERROR(VALUE(MID($D766,2,20)),1000000000)+ROW()/100000,"")</f>
        <v/>
      </c>
    </row>
    <row r="767">
      <c r="G767" s="11" t="n"/>
      <c r="Q767" s="7">
        <f>IF($D767="","",P767*Y767/100)</f>
        <v/>
      </c>
      <c r="R767" s="7" t="n"/>
      <c r="X767" s="7" t="n"/>
      <c r="Y767" s="7" t="n"/>
      <c r="Z767" s="7">
        <f>IF($D767="","",Y767*AD767/100)</f>
        <v/>
      </c>
      <c r="AA767" s="7">
        <f>IF($D767="","",Y767-Z767)</f>
        <v/>
      </c>
      <c r="AB767" s="7">
        <f>IF($D767="","",AA767-Q767)</f>
        <v/>
      </c>
      <c r="AD767">
        <f>IF($D767="","",IF($AP767=1,0,IF($AO767=1,Settings!$C$6,Settings!$C$7))*100)</f>
        <v/>
      </c>
      <c r="AH767" s="7" t="n"/>
      <c r="AK767" s="11" t="n"/>
      <c r="AM767">
        <f>IF($D767="","",IF(COUNTIF($D$2:$D767,$D767)=1,1,0))</f>
        <v/>
      </c>
      <c r="AN767">
        <f>IF($AM767=1,SUMPRODUCT(--($AQ$2:$AQ$1001&lt;$AQ767))+1,"")</f>
        <v/>
      </c>
      <c r="AO767">
        <f>IF($D767="","",IF(OR($U767=TRUE(),$U767="TRUE"),1,0))</f>
        <v/>
      </c>
      <c r="AP767">
        <f>IF($D767="","",IF($AC767="Yes",1,0))</f>
        <v/>
      </c>
      <c r="AQ767">
        <f>IF($AM767=1,IFERROR(VALUE(MID($D767,2,20)),1000000000)+ROW()/100000,"")</f>
        <v/>
      </c>
    </row>
    <row r="768">
      <c r="G768" s="11" t="n"/>
      <c r="Q768" s="7">
        <f>IF($D768="","",P768*Y768/100)</f>
        <v/>
      </c>
      <c r="R768" s="7" t="n"/>
      <c r="X768" s="7" t="n"/>
      <c r="Y768" s="7" t="n"/>
      <c r="Z768" s="7">
        <f>IF($D768="","",Y768*AD768/100)</f>
        <v/>
      </c>
      <c r="AA768" s="7">
        <f>IF($D768="","",Y768-Z768)</f>
        <v/>
      </c>
      <c r="AB768" s="7">
        <f>IF($D768="","",AA768-Q768)</f>
        <v/>
      </c>
      <c r="AD768">
        <f>IF($D768="","",IF($AP768=1,0,IF($AO768=1,Settings!$C$6,Settings!$C$7))*100)</f>
        <v/>
      </c>
      <c r="AH768" s="7" t="n"/>
      <c r="AK768" s="11" t="n"/>
      <c r="AM768">
        <f>IF($D768="","",IF(COUNTIF($D$2:$D768,$D768)=1,1,0))</f>
        <v/>
      </c>
      <c r="AN768">
        <f>IF($AM768=1,SUMPRODUCT(--($AQ$2:$AQ$1001&lt;$AQ768))+1,"")</f>
        <v/>
      </c>
      <c r="AO768">
        <f>IF($D768="","",IF(OR($U768=TRUE(),$U768="TRUE"),1,0))</f>
        <v/>
      </c>
      <c r="AP768">
        <f>IF($D768="","",IF($AC768="Yes",1,0))</f>
        <v/>
      </c>
      <c r="AQ768">
        <f>IF($AM768=1,IFERROR(VALUE(MID($D768,2,20)),1000000000)+ROW()/100000,"")</f>
        <v/>
      </c>
    </row>
    <row r="769">
      <c r="G769" s="11" t="n"/>
      <c r="Q769" s="7">
        <f>IF($D769="","",P769*Y769/100)</f>
        <v/>
      </c>
      <c r="R769" s="7" t="n"/>
      <c r="X769" s="7" t="n"/>
      <c r="Y769" s="7" t="n"/>
      <c r="Z769" s="7">
        <f>IF($D769="","",Y769*AD769/100)</f>
        <v/>
      </c>
      <c r="AA769" s="7">
        <f>IF($D769="","",Y769-Z769)</f>
        <v/>
      </c>
      <c r="AB769" s="7">
        <f>IF($D769="","",AA769-Q769)</f>
        <v/>
      </c>
      <c r="AD769">
        <f>IF($D769="","",IF($AP769=1,0,IF($AO769=1,Settings!$C$6,Settings!$C$7))*100)</f>
        <v/>
      </c>
      <c r="AH769" s="7" t="n"/>
      <c r="AK769" s="11" t="n"/>
      <c r="AM769">
        <f>IF($D769="","",IF(COUNTIF($D$2:$D769,$D769)=1,1,0))</f>
        <v/>
      </c>
      <c r="AN769">
        <f>IF($AM769=1,SUMPRODUCT(--($AQ$2:$AQ$1001&lt;$AQ769))+1,"")</f>
        <v/>
      </c>
      <c r="AO769">
        <f>IF($D769="","",IF(OR($U769=TRUE(),$U769="TRUE"),1,0))</f>
        <v/>
      </c>
      <c r="AP769">
        <f>IF($D769="","",IF($AC769="Yes",1,0))</f>
        <v/>
      </c>
      <c r="AQ769">
        <f>IF($AM769=1,IFERROR(VALUE(MID($D769,2,20)),1000000000)+ROW()/100000,"")</f>
        <v/>
      </c>
    </row>
    <row r="770">
      <c r="G770" s="11" t="n"/>
      <c r="Q770" s="7">
        <f>IF($D770="","",P770*Y770/100)</f>
        <v/>
      </c>
      <c r="R770" s="7" t="n"/>
      <c r="X770" s="7" t="n"/>
      <c r="Y770" s="7" t="n"/>
      <c r="Z770" s="7">
        <f>IF($D770="","",Y770*AD770/100)</f>
        <v/>
      </c>
      <c r="AA770" s="7">
        <f>IF($D770="","",Y770-Z770)</f>
        <v/>
      </c>
      <c r="AB770" s="7">
        <f>IF($D770="","",AA770-Q770)</f>
        <v/>
      </c>
      <c r="AD770">
        <f>IF($D770="","",IF($AP770=1,0,IF($AO770=1,Settings!$C$6,Settings!$C$7))*100)</f>
        <v/>
      </c>
      <c r="AH770" s="7" t="n"/>
      <c r="AK770" s="11" t="n"/>
      <c r="AM770">
        <f>IF($D770="","",IF(COUNTIF($D$2:$D770,$D770)=1,1,0))</f>
        <v/>
      </c>
      <c r="AN770">
        <f>IF($AM770=1,SUMPRODUCT(--($AQ$2:$AQ$1001&lt;$AQ770))+1,"")</f>
        <v/>
      </c>
      <c r="AO770">
        <f>IF($D770="","",IF(OR($U770=TRUE(),$U770="TRUE"),1,0))</f>
        <v/>
      </c>
      <c r="AP770">
        <f>IF($D770="","",IF($AC770="Yes",1,0))</f>
        <v/>
      </c>
      <c r="AQ770">
        <f>IF($AM770=1,IFERROR(VALUE(MID($D770,2,20)),1000000000)+ROW()/100000,"")</f>
        <v/>
      </c>
    </row>
    <row r="771">
      <c r="G771" s="11" t="n"/>
      <c r="Q771" s="7">
        <f>IF($D771="","",P771*Y771/100)</f>
        <v/>
      </c>
      <c r="R771" s="7" t="n"/>
      <c r="X771" s="7" t="n"/>
      <c r="Y771" s="7" t="n"/>
      <c r="Z771" s="7">
        <f>IF($D771="","",Y771*AD771/100)</f>
        <v/>
      </c>
      <c r="AA771" s="7">
        <f>IF($D771="","",Y771-Z771)</f>
        <v/>
      </c>
      <c r="AB771" s="7">
        <f>IF($D771="","",AA771-Q771)</f>
        <v/>
      </c>
      <c r="AD771">
        <f>IF($D771="","",IF($AP771=1,0,IF($AO771=1,Settings!$C$6,Settings!$C$7))*100)</f>
        <v/>
      </c>
      <c r="AH771" s="7" t="n"/>
      <c r="AK771" s="11" t="n"/>
      <c r="AM771">
        <f>IF($D771="","",IF(COUNTIF($D$2:$D771,$D771)=1,1,0))</f>
        <v/>
      </c>
      <c r="AN771">
        <f>IF($AM771=1,SUMPRODUCT(--($AQ$2:$AQ$1001&lt;$AQ771))+1,"")</f>
        <v/>
      </c>
      <c r="AO771">
        <f>IF($D771="","",IF(OR($U771=TRUE(),$U771="TRUE"),1,0))</f>
        <v/>
      </c>
      <c r="AP771">
        <f>IF($D771="","",IF($AC771="Yes",1,0))</f>
        <v/>
      </c>
      <c r="AQ771">
        <f>IF($AM771=1,IFERROR(VALUE(MID($D771,2,20)),1000000000)+ROW()/100000,"")</f>
        <v/>
      </c>
    </row>
    <row r="772">
      <c r="G772" s="11" t="n"/>
      <c r="Q772" s="7">
        <f>IF($D772="","",P772*Y772/100)</f>
        <v/>
      </c>
      <c r="R772" s="7" t="n"/>
      <c r="X772" s="7" t="n"/>
      <c r="Y772" s="7" t="n"/>
      <c r="Z772" s="7">
        <f>IF($D772="","",Y772*AD772/100)</f>
        <v/>
      </c>
      <c r="AA772" s="7">
        <f>IF($D772="","",Y772-Z772)</f>
        <v/>
      </c>
      <c r="AB772" s="7">
        <f>IF($D772="","",AA772-Q772)</f>
        <v/>
      </c>
      <c r="AD772">
        <f>IF($D772="","",IF($AP772=1,0,IF($AO772=1,Settings!$C$6,Settings!$C$7))*100)</f>
        <v/>
      </c>
      <c r="AH772" s="7" t="n"/>
      <c r="AK772" s="11" t="n"/>
      <c r="AM772">
        <f>IF($D772="","",IF(COUNTIF($D$2:$D772,$D772)=1,1,0))</f>
        <v/>
      </c>
      <c r="AN772">
        <f>IF($AM772=1,SUMPRODUCT(--($AQ$2:$AQ$1001&lt;$AQ772))+1,"")</f>
        <v/>
      </c>
      <c r="AO772">
        <f>IF($D772="","",IF(OR($U772=TRUE(),$U772="TRUE"),1,0))</f>
        <v/>
      </c>
      <c r="AP772">
        <f>IF($D772="","",IF($AC772="Yes",1,0))</f>
        <v/>
      </c>
      <c r="AQ772">
        <f>IF($AM772=1,IFERROR(VALUE(MID($D772,2,20)),1000000000)+ROW()/100000,"")</f>
        <v/>
      </c>
    </row>
    <row r="773">
      <c r="G773" s="11" t="n"/>
      <c r="Q773" s="7">
        <f>IF($D773="","",P773*Y773/100)</f>
        <v/>
      </c>
      <c r="R773" s="7" t="n"/>
      <c r="X773" s="7" t="n"/>
      <c r="Y773" s="7" t="n"/>
      <c r="Z773" s="7">
        <f>IF($D773="","",Y773*AD773/100)</f>
        <v/>
      </c>
      <c r="AA773" s="7">
        <f>IF($D773="","",Y773-Z773)</f>
        <v/>
      </c>
      <c r="AB773" s="7">
        <f>IF($D773="","",AA773-Q773)</f>
        <v/>
      </c>
      <c r="AD773">
        <f>IF($D773="","",IF($AP773=1,0,IF($AO773=1,Settings!$C$6,Settings!$C$7))*100)</f>
        <v/>
      </c>
      <c r="AH773" s="7" t="n"/>
      <c r="AK773" s="11" t="n"/>
      <c r="AM773">
        <f>IF($D773="","",IF(COUNTIF($D$2:$D773,$D773)=1,1,0))</f>
        <v/>
      </c>
      <c r="AN773">
        <f>IF($AM773=1,SUMPRODUCT(--($AQ$2:$AQ$1001&lt;$AQ773))+1,"")</f>
        <v/>
      </c>
      <c r="AO773">
        <f>IF($D773="","",IF(OR($U773=TRUE(),$U773="TRUE"),1,0))</f>
        <v/>
      </c>
      <c r="AP773">
        <f>IF($D773="","",IF($AC773="Yes",1,0))</f>
        <v/>
      </c>
      <c r="AQ773">
        <f>IF($AM773=1,IFERROR(VALUE(MID($D773,2,20)),1000000000)+ROW()/100000,"")</f>
        <v/>
      </c>
    </row>
    <row r="774">
      <c r="G774" s="11" t="n"/>
      <c r="Q774" s="7">
        <f>IF($D774="","",P774*Y774/100)</f>
        <v/>
      </c>
      <c r="R774" s="7" t="n"/>
      <c r="X774" s="7" t="n"/>
      <c r="Y774" s="7" t="n"/>
      <c r="Z774" s="7">
        <f>IF($D774="","",Y774*AD774/100)</f>
        <v/>
      </c>
      <c r="AA774" s="7">
        <f>IF($D774="","",Y774-Z774)</f>
        <v/>
      </c>
      <c r="AB774" s="7">
        <f>IF($D774="","",AA774-Q774)</f>
        <v/>
      </c>
      <c r="AD774">
        <f>IF($D774="","",IF($AP774=1,0,IF($AO774=1,Settings!$C$6,Settings!$C$7))*100)</f>
        <v/>
      </c>
      <c r="AH774" s="7" t="n"/>
      <c r="AK774" s="11" t="n"/>
      <c r="AM774">
        <f>IF($D774="","",IF(COUNTIF($D$2:$D774,$D774)=1,1,0))</f>
        <v/>
      </c>
      <c r="AN774">
        <f>IF($AM774=1,SUMPRODUCT(--($AQ$2:$AQ$1001&lt;$AQ774))+1,"")</f>
        <v/>
      </c>
      <c r="AO774">
        <f>IF($D774="","",IF(OR($U774=TRUE(),$U774="TRUE"),1,0))</f>
        <v/>
      </c>
      <c r="AP774">
        <f>IF($D774="","",IF($AC774="Yes",1,0))</f>
        <v/>
      </c>
      <c r="AQ774">
        <f>IF($AM774=1,IFERROR(VALUE(MID($D774,2,20)),1000000000)+ROW()/100000,"")</f>
        <v/>
      </c>
    </row>
    <row r="775">
      <c r="G775" s="11" t="n"/>
      <c r="Q775" s="7">
        <f>IF($D775="","",P775*Y775/100)</f>
        <v/>
      </c>
      <c r="R775" s="7" t="n"/>
      <c r="X775" s="7" t="n"/>
      <c r="Y775" s="7" t="n"/>
      <c r="Z775" s="7">
        <f>IF($D775="","",Y775*AD775/100)</f>
        <v/>
      </c>
      <c r="AA775" s="7">
        <f>IF($D775="","",Y775-Z775)</f>
        <v/>
      </c>
      <c r="AB775" s="7">
        <f>IF($D775="","",AA775-Q775)</f>
        <v/>
      </c>
      <c r="AD775">
        <f>IF($D775="","",IF($AP775=1,0,IF($AO775=1,Settings!$C$6,Settings!$C$7))*100)</f>
        <v/>
      </c>
      <c r="AH775" s="7" t="n"/>
      <c r="AK775" s="11" t="n"/>
      <c r="AM775">
        <f>IF($D775="","",IF(COUNTIF($D$2:$D775,$D775)=1,1,0))</f>
        <v/>
      </c>
      <c r="AN775">
        <f>IF($AM775=1,SUMPRODUCT(--($AQ$2:$AQ$1001&lt;$AQ775))+1,"")</f>
        <v/>
      </c>
      <c r="AO775">
        <f>IF($D775="","",IF(OR($U775=TRUE(),$U775="TRUE"),1,0))</f>
        <v/>
      </c>
      <c r="AP775">
        <f>IF($D775="","",IF($AC775="Yes",1,0))</f>
        <v/>
      </c>
      <c r="AQ775">
        <f>IF($AM775=1,IFERROR(VALUE(MID($D775,2,20)),1000000000)+ROW()/100000,"")</f>
        <v/>
      </c>
    </row>
    <row r="776">
      <c r="G776" s="11" t="n"/>
      <c r="Q776" s="7">
        <f>IF($D776="","",P776*Y776/100)</f>
        <v/>
      </c>
      <c r="R776" s="7" t="n"/>
      <c r="X776" s="7" t="n"/>
      <c r="Y776" s="7" t="n"/>
      <c r="Z776" s="7">
        <f>IF($D776="","",Y776*AD776/100)</f>
        <v/>
      </c>
      <c r="AA776" s="7">
        <f>IF($D776="","",Y776-Z776)</f>
        <v/>
      </c>
      <c r="AB776" s="7">
        <f>IF($D776="","",AA776-Q776)</f>
        <v/>
      </c>
      <c r="AD776">
        <f>IF($D776="","",IF($AP776=1,0,IF($AO776=1,Settings!$C$6,Settings!$C$7))*100)</f>
        <v/>
      </c>
      <c r="AH776" s="7" t="n"/>
      <c r="AK776" s="11" t="n"/>
      <c r="AM776">
        <f>IF($D776="","",IF(COUNTIF($D$2:$D776,$D776)=1,1,0))</f>
        <v/>
      </c>
      <c r="AN776">
        <f>IF($AM776=1,SUMPRODUCT(--($AQ$2:$AQ$1001&lt;$AQ776))+1,"")</f>
        <v/>
      </c>
      <c r="AO776">
        <f>IF($D776="","",IF(OR($U776=TRUE(),$U776="TRUE"),1,0))</f>
        <v/>
      </c>
      <c r="AP776">
        <f>IF($D776="","",IF($AC776="Yes",1,0))</f>
        <v/>
      </c>
      <c r="AQ776">
        <f>IF($AM776=1,IFERROR(VALUE(MID($D776,2,20)),1000000000)+ROW()/100000,"")</f>
        <v/>
      </c>
    </row>
    <row r="777">
      <c r="G777" s="11" t="n"/>
      <c r="Q777" s="7">
        <f>IF($D777="","",P777*Y777/100)</f>
        <v/>
      </c>
      <c r="R777" s="7" t="n"/>
      <c r="X777" s="7" t="n"/>
      <c r="Y777" s="7" t="n"/>
      <c r="Z777" s="7">
        <f>IF($D777="","",Y777*AD777/100)</f>
        <v/>
      </c>
      <c r="AA777" s="7">
        <f>IF($D777="","",Y777-Z777)</f>
        <v/>
      </c>
      <c r="AB777" s="7">
        <f>IF($D777="","",AA777-Q777)</f>
        <v/>
      </c>
      <c r="AD777">
        <f>IF($D777="","",IF($AP777=1,0,IF($AO777=1,Settings!$C$6,Settings!$C$7))*100)</f>
        <v/>
      </c>
      <c r="AH777" s="7" t="n"/>
      <c r="AK777" s="11" t="n"/>
      <c r="AM777">
        <f>IF($D777="","",IF(COUNTIF($D$2:$D777,$D777)=1,1,0))</f>
        <v/>
      </c>
      <c r="AN777">
        <f>IF($AM777=1,SUMPRODUCT(--($AQ$2:$AQ$1001&lt;$AQ777))+1,"")</f>
        <v/>
      </c>
      <c r="AO777">
        <f>IF($D777="","",IF(OR($U777=TRUE(),$U777="TRUE"),1,0))</f>
        <v/>
      </c>
      <c r="AP777">
        <f>IF($D777="","",IF($AC777="Yes",1,0))</f>
        <v/>
      </c>
      <c r="AQ777">
        <f>IF($AM777=1,IFERROR(VALUE(MID($D777,2,20)),1000000000)+ROW()/100000,"")</f>
        <v/>
      </c>
    </row>
    <row r="778">
      <c r="G778" s="11" t="n"/>
      <c r="Q778" s="7">
        <f>IF($D778="","",P778*Y778/100)</f>
        <v/>
      </c>
      <c r="R778" s="7" t="n"/>
      <c r="X778" s="7" t="n"/>
      <c r="Y778" s="7" t="n"/>
      <c r="Z778" s="7">
        <f>IF($D778="","",Y778*AD778/100)</f>
        <v/>
      </c>
      <c r="AA778" s="7">
        <f>IF($D778="","",Y778-Z778)</f>
        <v/>
      </c>
      <c r="AB778" s="7">
        <f>IF($D778="","",AA778-Q778)</f>
        <v/>
      </c>
      <c r="AD778">
        <f>IF($D778="","",IF($AP778=1,0,IF($AO778=1,Settings!$C$6,Settings!$C$7))*100)</f>
        <v/>
      </c>
      <c r="AH778" s="7" t="n"/>
      <c r="AK778" s="11" t="n"/>
      <c r="AM778">
        <f>IF($D778="","",IF(COUNTIF($D$2:$D778,$D778)=1,1,0))</f>
        <v/>
      </c>
      <c r="AN778">
        <f>IF($AM778=1,SUMPRODUCT(--($AQ$2:$AQ$1001&lt;$AQ778))+1,"")</f>
        <v/>
      </c>
      <c r="AO778">
        <f>IF($D778="","",IF(OR($U778=TRUE(),$U778="TRUE"),1,0))</f>
        <v/>
      </c>
      <c r="AP778">
        <f>IF($D778="","",IF($AC778="Yes",1,0))</f>
        <v/>
      </c>
      <c r="AQ778">
        <f>IF($AM778=1,IFERROR(VALUE(MID($D778,2,20)),1000000000)+ROW()/100000,"")</f>
        <v/>
      </c>
    </row>
    <row r="779">
      <c r="G779" s="11" t="n"/>
      <c r="Q779" s="7">
        <f>IF($D779="","",P779*Y779/100)</f>
        <v/>
      </c>
      <c r="R779" s="7" t="n"/>
      <c r="X779" s="7" t="n"/>
      <c r="Y779" s="7" t="n"/>
      <c r="Z779" s="7">
        <f>IF($D779="","",Y779*AD779/100)</f>
        <v/>
      </c>
      <c r="AA779" s="7">
        <f>IF($D779="","",Y779-Z779)</f>
        <v/>
      </c>
      <c r="AB779" s="7">
        <f>IF($D779="","",AA779-Q779)</f>
        <v/>
      </c>
      <c r="AD779">
        <f>IF($D779="","",IF($AP779=1,0,IF($AO779=1,Settings!$C$6,Settings!$C$7))*100)</f>
        <v/>
      </c>
      <c r="AH779" s="7" t="n"/>
      <c r="AK779" s="11" t="n"/>
      <c r="AM779">
        <f>IF($D779="","",IF(COUNTIF($D$2:$D779,$D779)=1,1,0))</f>
        <v/>
      </c>
      <c r="AN779">
        <f>IF($AM779=1,SUMPRODUCT(--($AQ$2:$AQ$1001&lt;$AQ779))+1,"")</f>
        <v/>
      </c>
      <c r="AO779">
        <f>IF($D779="","",IF(OR($U779=TRUE(),$U779="TRUE"),1,0))</f>
        <v/>
      </c>
      <c r="AP779">
        <f>IF($D779="","",IF($AC779="Yes",1,0))</f>
        <v/>
      </c>
      <c r="AQ779">
        <f>IF($AM779=1,IFERROR(VALUE(MID($D779,2,20)),1000000000)+ROW()/100000,"")</f>
        <v/>
      </c>
    </row>
    <row r="780">
      <c r="G780" s="11" t="n"/>
      <c r="Q780" s="7">
        <f>IF($D780="","",P780*Y780/100)</f>
        <v/>
      </c>
      <c r="R780" s="7" t="n"/>
      <c r="X780" s="7" t="n"/>
      <c r="Y780" s="7" t="n"/>
      <c r="Z780" s="7">
        <f>IF($D780="","",Y780*AD780/100)</f>
        <v/>
      </c>
      <c r="AA780" s="7">
        <f>IF($D780="","",Y780-Z780)</f>
        <v/>
      </c>
      <c r="AB780" s="7">
        <f>IF($D780="","",AA780-Q780)</f>
        <v/>
      </c>
      <c r="AD780">
        <f>IF($D780="","",IF($AP780=1,0,IF($AO780=1,Settings!$C$6,Settings!$C$7))*100)</f>
        <v/>
      </c>
      <c r="AH780" s="7" t="n"/>
      <c r="AK780" s="11" t="n"/>
      <c r="AM780">
        <f>IF($D780="","",IF(COUNTIF($D$2:$D780,$D780)=1,1,0))</f>
        <v/>
      </c>
      <c r="AN780">
        <f>IF($AM780=1,SUMPRODUCT(--($AQ$2:$AQ$1001&lt;$AQ780))+1,"")</f>
        <v/>
      </c>
      <c r="AO780">
        <f>IF($D780="","",IF(OR($U780=TRUE(),$U780="TRUE"),1,0))</f>
        <v/>
      </c>
      <c r="AP780">
        <f>IF($D780="","",IF($AC780="Yes",1,0))</f>
        <v/>
      </c>
      <c r="AQ780">
        <f>IF($AM780=1,IFERROR(VALUE(MID($D780,2,20)),1000000000)+ROW()/100000,"")</f>
        <v/>
      </c>
    </row>
    <row r="781">
      <c r="G781" s="11" t="n"/>
      <c r="Q781" s="7">
        <f>IF($D781="","",P781*Y781/100)</f>
        <v/>
      </c>
      <c r="R781" s="7" t="n"/>
      <c r="X781" s="7" t="n"/>
      <c r="Y781" s="7" t="n"/>
      <c r="Z781" s="7">
        <f>IF($D781="","",Y781*AD781/100)</f>
        <v/>
      </c>
      <c r="AA781" s="7">
        <f>IF($D781="","",Y781-Z781)</f>
        <v/>
      </c>
      <c r="AB781" s="7">
        <f>IF($D781="","",AA781-Q781)</f>
        <v/>
      </c>
      <c r="AD781">
        <f>IF($D781="","",IF($AP781=1,0,IF($AO781=1,Settings!$C$6,Settings!$C$7))*100)</f>
        <v/>
      </c>
      <c r="AH781" s="7" t="n"/>
      <c r="AK781" s="11" t="n"/>
      <c r="AM781">
        <f>IF($D781="","",IF(COUNTIF($D$2:$D781,$D781)=1,1,0))</f>
        <v/>
      </c>
      <c r="AN781">
        <f>IF($AM781=1,SUMPRODUCT(--($AQ$2:$AQ$1001&lt;$AQ781))+1,"")</f>
        <v/>
      </c>
      <c r="AO781">
        <f>IF($D781="","",IF(OR($U781=TRUE(),$U781="TRUE"),1,0))</f>
        <v/>
      </c>
      <c r="AP781">
        <f>IF($D781="","",IF($AC781="Yes",1,0))</f>
        <v/>
      </c>
      <c r="AQ781">
        <f>IF($AM781=1,IFERROR(VALUE(MID($D781,2,20)),1000000000)+ROW()/100000,"")</f>
        <v/>
      </c>
    </row>
    <row r="782">
      <c r="G782" s="11" t="n"/>
      <c r="Q782" s="7">
        <f>IF($D782="","",P782*Y782/100)</f>
        <v/>
      </c>
      <c r="R782" s="7" t="n"/>
      <c r="X782" s="7" t="n"/>
      <c r="Y782" s="7" t="n"/>
      <c r="Z782" s="7">
        <f>IF($D782="","",Y782*AD782/100)</f>
        <v/>
      </c>
      <c r="AA782" s="7">
        <f>IF($D782="","",Y782-Z782)</f>
        <v/>
      </c>
      <c r="AB782" s="7">
        <f>IF($D782="","",AA782-Q782)</f>
        <v/>
      </c>
      <c r="AD782">
        <f>IF($D782="","",IF($AP782=1,0,IF($AO782=1,Settings!$C$6,Settings!$C$7))*100)</f>
        <v/>
      </c>
      <c r="AH782" s="7" t="n"/>
      <c r="AK782" s="11" t="n"/>
      <c r="AM782">
        <f>IF($D782="","",IF(COUNTIF($D$2:$D782,$D782)=1,1,0))</f>
        <v/>
      </c>
      <c r="AN782">
        <f>IF($AM782=1,SUMPRODUCT(--($AQ$2:$AQ$1001&lt;$AQ782))+1,"")</f>
        <v/>
      </c>
      <c r="AO782">
        <f>IF($D782="","",IF(OR($U782=TRUE(),$U782="TRUE"),1,0))</f>
        <v/>
      </c>
      <c r="AP782">
        <f>IF($D782="","",IF($AC782="Yes",1,0))</f>
        <v/>
      </c>
      <c r="AQ782">
        <f>IF($AM782=1,IFERROR(VALUE(MID($D782,2,20)),1000000000)+ROW()/100000,"")</f>
        <v/>
      </c>
    </row>
    <row r="783">
      <c r="G783" s="11" t="n"/>
      <c r="Q783" s="7">
        <f>IF($D783="","",P783*Y783/100)</f>
        <v/>
      </c>
      <c r="R783" s="7" t="n"/>
      <c r="X783" s="7" t="n"/>
      <c r="Y783" s="7" t="n"/>
      <c r="Z783" s="7">
        <f>IF($D783="","",Y783*AD783/100)</f>
        <v/>
      </c>
      <c r="AA783" s="7">
        <f>IF($D783="","",Y783-Z783)</f>
        <v/>
      </c>
      <c r="AB783" s="7">
        <f>IF($D783="","",AA783-Q783)</f>
        <v/>
      </c>
      <c r="AD783">
        <f>IF($D783="","",IF($AP783=1,0,IF($AO783=1,Settings!$C$6,Settings!$C$7))*100)</f>
        <v/>
      </c>
      <c r="AH783" s="7" t="n"/>
      <c r="AK783" s="11" t="n"/>
      <c r="AM783">
        <f>IF($D783="","",IF(COUNTIF($D$2:$D783,$D783)=1,1,0))</f>
        <v/>
      </c>
      <c r="AN783">
        <f>IF($AM783=1,SUMPRODUCT(--($AQ$2:$AQ$1001&lt;$AQ783))+1,"")</f>
        <v/>
      </c>
      <c r="AO783">
        <f>IF($D783="","",IF(OR($U783=TRUE(),$U783="TRUE"),1,0))</f>
        <v/>
      </c>
      <c r="AP783">
        <f>IF($D783="","",IF($AC783="Yes",1,0))</f>
        <v/>
      </c>
      <c r="AQ783">
        <f>IF($AM783=1,IFERROR(VALUE(MID($D783,2,20)),1000000000)+ROW()/100000,"")</f>
        <v/>
      </c>
    </row>
    <row r="784">
      <c r="G784" s="11" t="n"/>
      <c r="Q784" s="7">
        <f>IF($D784="","",P784*Y784/100)</f>
        <v/>
      </c>
      <c r="R784" s="7" t="n"/>
      <c r="X784" s="7" t="n"/>
      <c r="Y784" s="7" t="n"/>
      <c r="Z784" s="7">
        <f>IF($D784="","",Y784*AD784/100)</f>
        <v/>
      </c>
      <c r="AA784" s="7">
        <f>IF($D784="","",Y784-Z784)</f>
        <v/>
      </c>
      <c r="AB784" s="7">
        <f>IF($D784="","",AA784-Q784)</f>
        <v/>
      </c>
      <c r="AD784">
        <f>IF($D784="","",IF($AP784=1,0,IF($AO784=1,Settings!$C$6,Settings!$C$7))*100)</f>
        <v/>
      </c>
      <c r="AH784" s="7" t="n"/>
      <c r="AK784" s="11" t="n"/>
      <c r="AM784">
        <f>IF($D784="","",IF(COUNTIF($D$2:$D784,$D784)=1,1,0))</f>
        <v/>
      </c>
      <c r="AN784">
        <f>IF($AM784=1,SUMPRODUCT(--($AQ$2:$AQ$1001&lt;$AQ784))+1,"")</f>
        <v/>
      </c>
      <c r="AO784">
        <f>IF($D784="","",IF(OR($U784=TRUE(),$U784="TRUE"),1,0))</f>
        <v/>
      </c>
      <c r="AP784">
        <f>IF($D784="","",IF($AC784="Yes",1,0))</f>
        <v/>
      </c>
      <c r="AQ784">
        <f>IF($AM784=1,IFERROR(VALUE(MID($D784,2,20)),1000000000)+ROW()/100000,"")</f>
        <v/>
      </c>
    </row>
    <row r="785">
      <c r="G785" s="11" t="n"/>
      <c r="Q785" s="7">
        <f>IF($D785="","",P785*Y785/100)</f>
        <v/>
      </c>
      <c r="R785" s="7" t="n"/>
      <c r="X785" s="7" t="n"/>
      <c r="Y785" s="7" t="n"/>
      <c r="Z785" s="7">
        <f>IF($D785="","",Y785*AD785/100)</f>
        <v/>
      </c>
      <c r="AA785" s="7">
        <f>IF($D785="","",Y785-Z785)</f>
        <v/>
      </c>
      <c r="AB785" s="7">
        <f>IF($D785="","",AA785-Q785)</f>
        <v/>
      </c>
      <c r="AD785">
        <f>IF($D785="","",IF($AP785=1,0,IF($AO785=1,Settings!$C$6,Settings!$C$7))*100)</f>
        <v/>
      </c>
      <c r="AH785" s="7" t="n"/>
      <c r="AK785" s="11" t="n"/>
      <c r="AM785">
        <f>IF($D785="","",IF(COUNTIF($D$2:$D785,$D785)=1,1,0))</f>
        <v/>
      </c>
      <c r="AN785">
        <f>IF($AM785=1,SUMPRODUCT(--($AQ$2:$AQ$1001&lt;$AQ785))+1,"")</f>
        <v/>
      </c>
      <c r="AO785">
        <f>IF($D785="","",IF(OR($U785=TRUE(),$U785="TRUE"),1,0))</f>
        <v/>
      </c>
      <c r="AP785">
        <f>IF($D785="","",IF($AC785="Yes",1,0))</f>
        <v/>
      </c>
      <c r="AQ785">
        <f>IF($AM785=1,IFERROR(VALUE(MID($D785,2,20)),1000000000)+ROW()/100000,"")</f>
        <v/>
      </c>
    </row>
    <row r="786">
      <c r="G786" s="11" t="n"/>
      <c r="Q786" s="7">
        <f>IF($D786="","",P786*Y786/100)</f>
        <v/>
      </c>
      <c r="R786" s="7" t="n"/>
      <c r="X786" s="7" t="n"/>
      <c r="Y786" s="7" t="n"/>
      <c r="Z786" s="7">
        <f>IF($D786="","",Y786*AD786/100)</f>
        <v/>
      </c>
      <c r="AA786" s="7">
        <f>IF($D786="","",Y786-Z786)</f>
        <v/>
      </c>
      <c r="AB786" s="7">
        <f>IF($D786="","",AA786-Q786)</f>
        <v/>
      </c>
      <c r="AD786">
        <f>IF($D786="","",IF($AP786=1,0,IF($AO786=1,Settings!$C$6,Settings!$C$7))*100)</f>
        <v/>
      </c>
      <c r="AH786" s="7" t="n"/>
      <c r="AK786" s="11" t="n"/>
      <c r="AM786">
        <f>IF($D786="","",IF(COUNTIF($D$2:$D786,$D786)=1,1,0))</f>
        <v/>
      </c>
      <c r="AN786">
        <f>IF($AM786=1,SUMPRODUCT(--($AQ$2:$AQ$1001&lt;$AQ786))+1,"")</f>
        <v/>
      </c>
      <c r="AO786">
        <f>IF($D786="","",IF(OR($U786=TRUE(),$U786="TRUE"),1,0))</f>
        <v/>
      </c>
      <c r="AP786">
        <f>IF($D786="","",IF($AC786="Yes",1,0))</f>
        <v/>
      </c>
      <c r="AQ786">
        <f>IF($AM786=1,IFERROR(VALUE(MID($D786,2,20)),1000000000)+ROW()/100000,"")</f>
        <v/>
      </c>
    </row>
    <row r="787">
      <c r="G787" s="11" t="n"/>
      <c r="Q787" s="7">
        <f>IF($D787="","",P787*Y787/100)</f>
        <v/>
      </c>
      <c r="R787" s="7" t="n"/>
      <c r="X787" s="7" t="n"/>
      <c r="Y787" s="7" t="n"/>
      <c r="Z787" s="7">
        <f>IF($D787="","",Y787*AD787/100)</f>
        <v/>
      </c>
      <c r="AA787" s="7">
        <f>IF($D787="","",Y787-Z787)</f>
        <v/>
      </c>
      <c r="AB787" s="7">
        <f>IF($D787="","",AA787-Q787)</f>
        <v/>
      </c>
      <c r="AD787">
        <f>IF($D787="","",IF($AP787=1,0,IF($AO787=1,Settings!$C$6,Settings!$C$7))*100)</f>
        <v/>
      </c>
      <c r="AH787" s="7" t="n"/>
      <c r="AK787" s="11" t="n"/>
      <c r="AM787">
        <f>IF($D787="","",IF(COUNTIF($D$2:$D787,$D787)=1,1,0))</f>
        <v/>
      </c>
      <c r="AN787">
        <f>IF($AM787=1,SUMPRODUCT(--($AQ$2:$AQ$1001&lt;$AQ787))+1,"")</f>
        <v/>
      </c>
      <c r="AO787">
        <f>IF($D787="","",IF(OR($U787=TRUE(),$U787="TRUE"),1,0))</f>
        <v/>
      </c>
      <c r="AP787">
        <f>IF($D787="","",IF($AC787="Yes",1,0))</f>
        <v/>
      </c>
      <c r="AQ787">
        <f>IF($AM787=1,IFERROR(VALUE(MID($D787,2,20)),1000000000)+ROW()/100000,"")</f>
        <v/>
      </c>
    </row>
    <row r="788">
      <c r="G788" s="11" t="n"/>
      <c r="Q788" s="7">
        <f>IF($D788="","",P788*Y788/100)</f>
        <v/>
      </c>
      <c r="R788" s="7" t="n"/>
      <c r="X788" s="7" t="n"/>
      <c r="Y788" s="7" t="n"/>
      <c r="Z788" s="7">
        <f>IF($D788="","",Y788*AD788/100)</f>
        <v/>
      </c>
      <c r="AA788" s="7">
        <f>IF($D788="","",Y788-Z788)</f>
        <v/>
      </c>
      <c r="AB788" s="7">
        <f>IF($D788="","",AA788-Q788)</f>
        <v/>
      </c>
      <c r="AD788">
        <f>IF($D788="","",IF($AP788=1,0,IF($AO788=1,Settings!$C$6,Settings!$C$7))*100)</f>
        <v/>
      </c>
      <c r="AH788" s="7" t="n"/>
      <c r="AK788" s="11" t="n"/>
      <c r="AM788">
        <f>IF($D788="","",IF(COUNTIF($D$2:$D788,$D788)=1,1,0))</f>
        <v/>
      </c>
      <c r="AN788">
        <f>IF($AM788=1,SUMPRODUCT(--($AQ$2:$AQ$1001&lt;$AQ788))+1,"")</f>
        <v/>
      </c>
      <c r="AO788">
        <f>IF($D788="","",IF(OR($U788=TRUE(),$U788="TRUE"),1,0))</f>
        <v/>
      </c>
      <c r="AP788">
        <f>IF($D788="","",IF($AC788="Yes",1,0))</f>
        <v/>
      </c>
      <c r="AQ788">
        <f>IF($AM788=1,IFERROR(VALUE(MID($D788,2,20)),1000000000)+ROW()/100000,"")</f>
        <v/>
      </c>
    </row>
    <row r="789">
      <c r="G789" s="11" t="n"/>
      <c r="Q789" s="7">
        <f>IF($D789="","",P789*Y789/100)</f>
        <v/>
      </c>
      <c r="R789" s="7" t="n"/>
      <c r="X789" s="7" t="n"/>
      <c r="Y789" s="7" t="n"/>
      <c r="Z789" s="7">
        <f>IF($D789="","",Y789*AD789/100)</f>
        <v/>
      </c>
      <c r="AA789" s="7">
        <f>IF($D789="","",Y789-Z789)</f>
        <v/>
      </c>
      <c r="AB789" s="7">
        <f>IF($D789="","",AA789-Q789)</f>
        <v/>
      </c>
      <c r="AD789">
        <f>IF($D789="","",IF($AP789=1,0,IF($AO789=1,Settings!$C$6,Settings!$C$7))*100)</f>
        <v/>
      </c>
      <c r="AH789" s="7" t="n"/>
      <c r="AK789" s="11" t="n"/>
      <c r="AM789">
        <f>IF($D789="","",IF(COUNTIF($D$2:$D789,$D789)=1,1,0))</f>
        <v/>
      </c>
      <c r="AN789">
        <f>IF($AM789=1,SUMPRODUCT(--($AQ$2:$AQ$1001&lt;$AQ789))+1,"")</f>
        <v/>
      </c>
      <c r="AO789">
        <f>IF($D789="","",IF(OR($U789=TRUE(),$U789="TRUE"),1,0))</f>
        <v/>
      </c>
      <c r="AP789">
        <f>IF($D789="","",IF($AC789="Yes",1,0))</f>
        <v/>
      </c>
      <c r="AQ789">
        <f>IF($AM789=1,IFERROR(VALUE(MID($D789,2,20)),1000000000)+ROW()/100000,"")</f>
        <v/>
      </c>
    </row>
    <row r="790">
      <c r="G790" s="11" t="n"/>
      <c r="Q790" s="7">
        <f>IF($D790="","",P790*Y790/100)</f>
        <v/>
      </c>
      <c r="R790" s="7" t="n"/>
      <c r="X790" s="7" t="n"/>
      <c r="Y790" s="7" t="n"/>
      <c r="Z790" s="7">
        <f>IF($D790="","",Y790*AD790/100)</f>
        <v/>
      </c>
      <c r="AA790" s="7">
        <f>IF($D790="","",Y790-Z790)</f>
        <v/>
      </c>
      <c r="AB790" s="7">
        <f>IF($D790="","",AA790-Q790)</f>
        <v/>
      </c>
      <c r="AD790">
        <f>IF($D790="","",IF($AP790=1,0,IF($AO790=1,Settings!$C$6,Settings!$C$7))*100)</f>
        <v/>
      </c>
      <c r="AH790" s="7" t="n"/>
      <c r="AK790" s="11" t="n"/>
      <c r="AM790">
        <f>IF($D790="","",IF(COUNTIF($D$2:$D790,$D790)=1,1,0))</f>
        <v/>
      </c>
      <c r="AN790">
        <f>IF($AM790=1,SUMPRODUCT(--($AQ$2:$AQ$1001&lt;$AQ790))+1,"")</f>
        <v/>
      </c>
      <c r="AO790">
        <f>IF($D790="","",IF(OR($U790=TRUE(),$U790="TRUE"),1,0))</f>
        <v/>
      </c>
      <c r="AP790">
        <f>IF($D790="","",IF($AC790="Yes",1,0))</f>
        <v/>
      </c>
      <c r="AQ790">
        <f>IF($AM790=1,IFERROR(VALUE(MID($D790,2,20)),1000000000)+ROW()/100000,"")</f>
        <v/>
      </c>
    </row>
    <row r="791">
      <c r="G791" s="11" t="n"/>
      <c r="Q791" s="7">
        <f>IF($D791="","",P791*Y791/100)</f>
        <v/>
      </c>
      <c r="R791" s="7" t="n"/>
      <c r="X791" s="7" t="n"/>
      <c r="Y791" s="7" t="n"/>
      <c r="Z791" s="7">
        <f>IF($D791="","",Y791*AD791/100)</f>
        <v/>
      </c>
      <c r="AA791" s="7">
        <f>IF($D791="","",Y791-Z791)</f>
        <v/>
      </c>
      <c r="AB791" s="7">
        <f>IF($D791="","",AA791-Q791)</f>
        <v/>
      </c>
      <c r="AD791">
        <f>IF($D791="","",IF($AP791=1,0,IF($AO791=1,Settings!$C$6,Settings!$C$7))*100)</f>
        <v/>
      </c>
      <c r="AH791" s="7" t="n"/>
      <c r="AK791" s="11" t="n"/>
      <c r="AM791">
        <f>IF($D791="","",IF(COUNTIF($D$2:$D791,$D791)=1,1,0))</f>
        <v/>
      </c>
      <c r="AN791">
        <f>IF($AM791=1,SUMPRODUCT(--($AQ$2:$AQ$1001&lt;$AQ791))+1,"")</f>
        <v/>
      </c>
      <c r="AO791">
        <f>IF($D791="","",IF(OR($U791=TRUE(),$U791="TRUE"),1,0))</f>
        <v/>
      </c>
      <c r="AP791">
        <f>IF($D791="","",IF($AC791="Yes",1,0))</f>
        <v/>
      </c>
      <c r="AQ791">
        <f>IF($AM791=1,IFERROR(VALUE(MID($D791,2,20)),1000000000)+ROW()/100000,"")</f>
        <v/>
      </c>
    </row>
    <row r="792">
      <c r="G792" s="11" t="n"/>
      <c r="Q792" s="7">
        <f>IF($D792="","",P792*Y792/100)</f>
        <v/>
      </c>
      <c r="R792" s="7" t="n"/>
      <c r="X792" s="7" t="n"/>
      <c r="Y792" s="7" t="n"/>
      <c r="Z792" s="7">
        <f>IF($D792="","",Y792*AD792/100)</f>
        <v/>
      </c>
      <c r="AA792" s="7">
        <f>IF($D792="","",Y792-Z792)</f>
        <v/>
      </c>
      <c r="AB792" s="7">
        <f>IF($D792="","",AA792-Q792)</f>
        <v/>
      </c>
      <c r="AD792">
        <f>IF($D792="","",IF($AP792=1,0,IF($AO792=1,Settings!$C$6,Settings!$C$7))*100)</f>
        <v/>
      </c>
      <c r="AH792" s="7" t="n"/>
      <c r="AK792" s="11" t="n"/>
      <c r="AM792">
        <f>IF($D792="","",IF(COUNTIF($D$2:$D792,$D792)=1,1,0))</f>
        <v/>
      </c>
      <c r="AN792">
        <f>IF($AM792=1,SUMPRODUCT(--($AQ$2:$AQ$1001&lt;$AQ792))+1,"")</f>
        <v/>
      </c>
      <c r="AO792">
        <f>IF($D792="","",IF(OR($U792=TRUE(),$U792="TRUE"),1,0))</f>
        <v/>
      </c>
      <c r="AP792">
        <f>IF($D792="","",IF($AC792="Yes",1,0))</f>
        <v/>
      </c>
      <c r="AQ792">
        <f>IF($AM792=1,IFERROR(VALUE(MID($D792,2,20)),1000000000)+ROW()/100000,"")</f>
        <v/>
      </c>
    </row>
    <row r="793">
      <c r="G793" s="11" t="n"/>
      <c r="Q793" s="7">
        <f>IF($D793="","",P793*Y793/100)</f>
        <v/>
      </c>
      <c r="R793" s="7" t="n"/>
      <c r="X793" s="7" t="n"/>
      <c r="Y793" s="7" t="n"/>
      <c r="Z793" s="7">
        <f>IF($D793="","",Y793*AD793/100)</f>
        <v/>
      </c>
      <c r="AA793" s="7">
        <f>IF($D793="","",Y793-Z793)</f>
        <v/>
      </c>
      <c r="AB793" s="7">
        <f>IF($D793="","",AA793-Q793)</f>
        <v/>
      </c>
      <c r="AD793">
        <f>IF($D793="","",IF($AP793=1,0,IF($AO793=1,Settings!$C$6,Settings!$C$7))*100)</f>
        <v/>
      </c>
      <c r="AH793" s="7" t="n"/>
      <c r="AK793" s="11" t="n"/>
      <c r="AM793">
        <f>IF($D793="","",IF(COUNTIF($D$2:$D793,$D793)=1,1,0))</f>
        <v/>
      </c>
      <c r="AN793">
        <f>IF($AM793=1,SUMPRODUCT(--($AQ$2:$AQ$1001&lt;$AQ793))+1,"")</f>
        <v/>
      </c>
      <c r="AO793">
        <f>IF($D793="","",IF(OR($U793=TRUE(),$U793="TRUE"),1,0))</f>
        <v/>
      </c>
      <c r="AP793">
        <f>IF($D793="","",IF($AC793="Yes",1,0))</f>
        <v/>
      </c>
      <c r="AQ793">
        <f>IF($AM793=1,IFERROR(VALUE(MID($D793,2,20)),1000000000)+ROW()/100000,"")</f>
        <v/>
      </c>
    </row>
    <row r="794">
      <c r="G794" s="11" t="n"/>
      <c r="Q794" s="7">
        <f>IF($D794="","",P794*Y794/100)</f>
        <v/>
      </c>
      <c r="R794" s="7" t="n"/>
      <c r="X794" s="7" t="n"/>
      <c r="Y794" s="7" t="n"/>
      <c r="Z794" s="7">
        <f>IF($D794="","",Y794*AD794/100)</f>
        <v/>
      </c>
      <c r="AA794" s="7">
        <f>IF($D794="","",Y794-Z794)</f>
        <v/>
      </c>
      <c r="AB794" s="7">
        <f>IF($D794="","",AA794-Q794)</f>
        <v/>
      </c>
      <c r="AD794">
        <f>IF($D794="","",IF($AP794=1,0,IF($AO794=1,Settings!$C$6,Settings!$C$7))*100)</f>
        <v/>
      </c>
      <c r="AH794" s="7" t="n"/>
      <c r="AK794" s="11" t="n"/>
      <c r="AM794">
        <f>IF($D794="","",IF(COUNTIF($D$2:$D794,$D794)=1,1,0))</f>
        <v/>
      </c>
      <c r="AN794">
        <f>IF($AM794=1,SUMPRODUCT(--($AQ$2:$AQ$1001&lt;$AQ794))+1,"")</f>
        <v/>
      </c>
      <c r="AO794">
        <f>IF($D794="","",IF(OR($U794=TRUE(),$U794="TRUE"),1,0))</f>
        <v/>
      </c>
      <c r="AP794">
        <f>IF($D794="","",IF($AC794="Yes",1,0))</f>
        <v/>
      </c>
      <c r="AQ794">
        <f>IF($AM794=1,IFERROR(VALUE(MID($D794,2,20)),1000000000)+ROW()/100000,"")</f>
        <v/>
      </c>
    </row>
    <row r="795">
      <c r="G795" s="11" t="n"/>
      <c r="Q795" s="7">
        <f>IF($D795="","",P795*Y795/100)</f>
        <v/>
      </c>
      <c r="R795" s="7" t="n"/>
      <c r="X795" s="7" t="n"/>
      <c r="Y795" s="7" t="n"/>
      <c r="Z795" s="7">
        <f>IF($D795="","",Y795*AD795/100)</f>
        <v/>
      </c>
      <c r="AA795" s="7">
        <f>IF($D795="","",Y795-Z795)</f>
        <v/>
      </c>
      <c r="AB795" s="7">
        <f>IF($D795="","",AA795-Q795)</f>
        <v/>
      </c>
      <c r="AD795">
        <f>IF($D795="","",IF($AP795=1,0,IF($AO795=1,Settings!$C$6,Settings!$C$7))*100)</f>
        <v/>
      </c>
      <c r="AH795" s="7" t="n"/>
      <c r="AK795" s="11" t="n"/>
      <c r="AM795">
        <f>IF($D795="","",IF(COUNTIF($D$2:$D795,$D795)=1,1,0))</f>
        <v/>
      </c>
      <c r="AN795">
        <f>IF($AM795=1,SUMPRODUCT(--($AQ$2:$AQ$1001&lt;$AQ795))+1,"")</f>
        <v/>
      </c>
      <c r="AO795">
        <f>IF($D795="","",IF(OR($U795=TRUE(),$U795="TRUE"),1,0))</f>
        <v/>
      </c>
      <c r="AP795">
        <f>IF($D795="","",IF($AC795="Yes",1,0))</f>
        <v/>
      </c>
      <c r="AQ795">
        <f>IF($AM795=1,IFERROR(VALUE(MID($D795,2,20)),1000000000)+ROW()/100000,"")</f>
        <v/>
      </c>
    </row>
    <row r="796">
      <c r="G796" s="11" t="n"/>
      <c r="Q796" s="7">
        <f>IF($D796="","",P796*Y796/100)</f>
        <v/>
      </c>
      <c r="R796" s="7" t="n"/>
      <c r="X796" s="7" t="n"/>
      <c r="Y796" s="7" t="n"/>
      <c r="Z796" s="7">
        <f>IF($D796="","",Y796*AD796/100)</f>
        <v/>
      </c>
      <c r="AA796" s="7">
        <f>IF($D796="","",Y796-Z796)</f>
        <v/>
      </c>
      <c r="AB796" s="7">
        <f>IF($D796="","",AA796-Q796)</f>
        <v/>
      </c>
      <c r="AD796">
        <f>IF($D796="","",IF($AP796=1,0,IF($AO796=1,Settings!$C$6,Settings!$C$7))*100)</f>
        <v/>
      </c>
      <c r="AH796" s="7" t="n"/>
      <c r="AK796" s="11" t="n"/>
      <c r="AM796">
        <f>IF($D796="","",IF(COUNTIF($D$2:$D796,$D796)=1,1,0))</f>
        <v/>
      </c>
      <c r="AN796">
        <f>IF($AM796=1,SUMPRODUCT(--($AQ$2:$AQ$1001&lt;$AQ796))+1,"")</f>
        <v/>
      </c>
      <c r="AO796">
        <f>IF($D796="","",IF(OR($U796=TRUE(),$U796="TRUE"),1,0))</f>
        <v/>
      </c>
      <c r="AP796">
        <f>IF($D796="","",IF($AC796="Yes",1,0))</f>
        <v/>
      </c>
      <c r="AQ796">
        <f>IF($AM796=1,IFERROR(VALUE(MID($D796,2,20)),1000000000)+ROW()/100000,"")</f>
        <v/>
      </c>
    </row>
    <row r="797">
      <c r="G797" s="11" t="n"/>
      <c r="Q797" s="7">
        <f>IF($D797="","",P797*Y797/100)</f>
        <v/>
      </c>
      <c r="R797" s="7" t="n"/>
      <c r="X797" s="7" t="n"/>
      <c r="Y797" s="7" t="n"/>
      <c r="Z797" s="7">
        <f>IF($D797="","",Y797*AD797/100)</f>
        <v/>
      </c>
      <c r="AA797" s="7">
        <f>IF($D797="","",Y797-Z797)</f>
        <v/>
      </c>
      <c r="AB797" s="7">
        <f>IF($D797="","",AA797-Q797)</f>
        <v/>
      </c>
      <c r="AD797">
        <f>IF($D797="","",IF($AP797=1,0,IF($AO797=1,Settings!$C$6,Settings!$C$7))*100)</f>
        <v/>
      </c>
      <c r="AH797" s="7" t="n"/>
      <c r="AK797" s="11" t="n"/>
      <c r="AM797">
        <f>IF($D797="","",IF(COUNTIF($D$2:$D797,$D797)=1,1,0))</f>
        <v/>
      </c>
      <c r="AN797">
        <f>IF($AM797=1,SUMPRODUCT(--($AQ$2:$AQ$1001&lt;$AQ797))+1,"")</f>
        <v/>
      </c>
      <c r="AO797">
        <f>IF($D797="","",IF(OR($U797=TRUE(),$U797="TRUE"),1,0))</f>
        <v/>
      </c>
      <c r="AP797">
        <f>IF($D797="","",IF($AC797="Yes",1,0))</f>
        <v/>
      </c>
      <c r="AQ797">
        <f>IF($AM797=1,IFERROR(VALUE(MID($D797,2,20)),1000000000)+ROW()/100000,"")</f>
        <v/>
      </c>
    </row>
    <row r="798">
      <c r="G798" s="11" t="n"/>
      <c r="Q798" s="7">
        <f>IF($D798="","",P798*Y798/100)</f>
        <v/>
      </c>
      <c r="R798" s="7" t="n"/>
      <c r="X798" s="7" t="n"/>
      <c r="Y798" s="7" t="n"/>
      <c r="Z798" s="7">
        <f>IF($D798="","",Y798*AD798/100)</f>
        <v/>
      </c>
      <c r="AA798" s="7">
        <f>IF($D798="","",Y798-Z798)</f>
        <v/>
      </c>
      <c r="AB798" s="7">
        <f>IF($D798="","",AA798-Q798)</f>
        <v/>
      </c>
      <c r="AD798">
        <f>IF($D798="","",IF($AP798=1,0,IF($AO798=1,Settings!$C$6,Settings!$C$7))*100)</f>
        <v/>
      </c>
      <c r="AH798" s="7" t="n"/>
      <c r="AK798" s="11" t="n"/>
      <c r="AM798">
        <f>IF($D798="","",IF(COUNTIF($D$2:$D798,$D798)=1,1,0))</f>
        <v/>
      </c>
      <c r="AN798">
        <f>IF($AM798=1,SUMPRODUCT(--($AQ$2:$AQ$1001&lt;$AQ798))+1,"")</f>
        <v/>
      </c>
      <c r="AO798">
        <f>IF($D798="","",IF(OR($U798=TRUE(),$U798="TRUE"),1,0))</f>
        <v/>
      </c>
      <c r="AP798">
        <f>IF($D798="","",IF($AC798="Yes",1,0))</f>
        <v/>
      </c>
      <c r="AQ798">
        <f>IF($AM798=1,IFERROR(VALUE(MID($D798,2,20)),1000000000)+ROW()/100000,"")</f>
        <v/>
      </c>
    </row>
    <row r="799">
      <c r="G799" s="11" t="n"/>
      <c r="Q799" s="7">
        <f>IF($D799="","",P799*Y799/100)</f>
        <v/>
      </c>
      <c r="R799" s="7" t="n"/>
      <c r="X799" s="7" t="n"/>
      <c r="Y799" s="7" t="n"/>
      <c r="Z799" s="7">
        <f>IF($D799="","",Y799*AD799/100)</f>
        <v/>
      </c>
      <c r="AA799" s="7">
        <f>IF($D799="","",Y799-Z799)</f>
        <v/>
      </c>
      <c r="AB799" s="7">
        <f>IF($D799="","",AA799-Q799)</f>
        <v/>
      </c>
      <c r="AD799">
        <f>IF($D799="","",IF($AP799=1,0,IF($AO799=1,Settings!$C$6,Settings!$C$7))*100)</f>
        <v/>
      </c>
      <c r="AH799" s="7" t="n"/>
      <c r="AK799" s="11" t="n"/>
      <c r="AM799">
        <f>IF($D799="","",IF(COUNTIF($D$2:$D799,$D799)=1,1,0))</f>
        <v/>
      </c>
      <c r="AN799">
        <f>IF($AM799=1,SUMPRODUCT(--($AQ$2:$AQ$1001&lt;$AQ799))+1,"")</f>
        <v/>
      </c>
      <c r="AO799">
        <f>IF($D799="","",IF(OR($U799=TRUE(),$U799="TRUE"),1,0))</f>
        <v/>
      </c>
      <c r="AP799">
        <f>IF($D799="","",IF($AC799="Yes",1,0))</f>
        <v/>
      </c>
      <c r="AQ799">
        <f>IF($AM799=1,IFERROR(VALUE(MID($D799,2,20)),1000000000)+ROW()/100000,"")</f>
        <v/>
      </c>
    </row>
    <row r="800">
      <c r="G800" s="11" t="n"/>
      <c r="Q800" s="7">
        <f>IF($D800="","",P800*Y800/100)</f>
        <v/>
      </c>
      <c r="R800" s="7" t="n"/>
      <c r="X800" s="7" t="n"/>
      <c r="Y800" s="7" t="n"/>
      <c r="Z800" s="7">
        <f>IF($D800="","",Y800*AD800/100)</f>
        <v/>
      </c>
      <c r="AA800" s="7">
        <f>IF($D800="","",Y800-Z800)</f>
        <v/>
      </c>
      <c r="AB800" s="7">
        <f>IF($D800="","",AA800-Q800)</f>
        <v/>
      </c>
      <c r="AD800">
        <f>IF($D800="","",IF($AP800=1,0,IF($AO800=1,Settings!$C$6,Settings!$C$7))*100)</f>
        <v/>
      </c>
      <c r="AH800" s="7" t="n"/>
      <c r="AK800" s="11" t="n"/>
      <c r="AM800">
        <f>IF($D800="","",IF(COUNTIF($D$2:$D800,$D800)=1,1,0))</f>
        <v/>
      </c>
      <c r="AN800">
        <f>IF($AM800=1,SUMPRODUCT(--($AQ$2:$AQ$1001&lt;$AQ800))+1,"")</f>
        <v/>
      </c>
      <c r="AO800">
        <f>IF($D800="","",IF(OR($U800=TRUE(),$U800="TRUE"),1,0))</f>
        <v/>
      </c>
      <c r="AP800">
        <f>IF($D800="","",IF($AC800="Yes",1,0))</f>
        <v/>
      </c>
      <c r="AQ800">
        <f>IF($AM800=1,IFERROR(VALUE(MID($D800,2,20)),1000000000)+ROW()/100000,"")</f>
        <v/>
      </c>
    </row>
    <row r="801">
      <c r="G801" s="11" t="n"/>
      <c r="Q801" s="7">
        <f>IF($D801="","",P801*Y801/100)</f>
        <v/>
      </c>
      <c r="R801" s="7" t="n"/>
      <c r="X801" s="7" t="n"/>
      <c r="Y801" s="7" t="n"/>
      <c r="Z801" s="7">
        <f>IF($D801="","",Y801*AD801/100)</f>
        <v/>
      </c>
      <c r="AA801" s="7">
        <f>IF($D801="","",Y801-Z801)</f>
        <v/>
      </c>
      <c r="AB801" s="7">
        <f>IF($D801="","",AA801-Q801)</f>
        <v/>
      </c>
      <c r="AD801">
        <f>IF($D801="","",IF($AP801=1,0,IF($AO801=1,Settings!$C$6,Settings!$C$7))*100)</f>
        <v/>
      </c>
      <c r="AH801" s="7" t="n"/>
      <c r="AK801" s="11" t="n"/>
      <c r="AM801">
        <f>IF($D801="","",IF(COUNTIF($D$2:$D801,$D801)=1,1,0))</f>
        <v/>
      </c>
      <c r="AN801">
        <f>IF($AM801=1,SUMPRODUCT(--($AQ$2:$AQ$1001&lt;$AQ801))+1,"")</f>
        <v/>
      </c>
      <c r="AO801">
        <f>IF($D801="","",IF(OR($U801=TRUE(),$U801="TRUE"),1,0))</f>
        <v/>
      </c>
      <c r="AP801">
        <f>IF($D801="","",IF($AC801="Yes",1,0))</f>
        <v/>
      </c>
      <c r="AQ801">
        <f>IF($AM801=1,IFERROR(VALUE(MID($D801,2,20)),1000000000)+ROW()/100000,"")</f>
        <v/>
      </c>
    </row>
    <row r="802">
      <c r="G802" s="11" t="n"/>
      <c r="Q802" s="7">
        <f>IF($D802="","",P802*Y802/100)</f>
        <v/>
      </c>
      <c r="R802" s="7" t="n"/>
      <c r="X802" s="7" t="n"/>
      <c r="Y802" s="7" t="n"/>
      <c r="Z802" s="7">
        <f>IF($D802="","",Y802*AD802/100)</f>
        <v/>
      </c>
      <c r="AA802" s="7">
        <f>IF($D802="","",Y802-Z802)</f>
        <v/>
      </c>
      <c r="AB802" s="7">
        <f>IF($D802="","",AA802-Q802)</f>
        <v/>
      </c>
      <c r="AD802">
        <f>IF($D802="","",IF($AP802=1,0,IF($AO802=1,Settings!$C$6,Settings!$C$7))*100)</f>
        <v/>
      </c>
      <c r="AH802" s="7" t="n"/>
      <c r="AK802" s="11" t="n"/>
      <c r="AM802">
        <f>IF($D802="","",IF(COUNTIF($D$2:$D802,$D802)=1,1,0))</f>
        <v/>
      </c>
      <c r="AN802">
        <f>IF($AM802=1,SUMPRODUCT(--($AQ$2:$AQ$1001&lt;$AQ802))+1,"")</f>
        <v/>
      </c>
      <c r="AO802">
        <f>IF($D802="","",IF(OR($U802=TRUE(),$U802="TRUE"),1,0))</f>
        <v/>
      </c>
      <c r="AP802">
        <f>IF($D802="","",IF($AC802="Yes",1,0))</f>
        <v/>
      </c>
      <c r="AQ802">
        <f>IF($AM802=1,IFERROR(VALUE(MID($D802,2,20)),1000000000)+ROW()/100000,"")</f>
        <v/>
      </c>
    </row>
    <row r="803">
      <c r="G803" s="11" t="n"/>
      <c r="Q803" s="7">
        <f>IF($D803="","",P803*Y803/100)</f>
        <v/>
      </c>
      <c r="R803" s="7" t="n"/>
      <c r="X803" s="7" t="n"/>
      <c r="Y803" s="7" t="n"/>
      <c r="Z803" s="7">
        <f>IF($D803="","",Y803*AD803/100)</f>
        <v/>
      </c>
      <c r="AA803" s="7">
        <f>IF($D803="","",Y803-Z803)</f>
        <v/>
      </c>
      <c r="AB803" s="7">
        <f>IF($D803="","",AA803-Q803)</f>
        <v/>
      </c>
      <c r="AD803">
        <f>IF($D803="","",IF($AP803=1,0,IF($AO803=1,Settings!$C$6,Settings!$C$7))*100)</f>
        <v/>
      </c>
      <c r="AH803" s="7" t="n"/>
      <c r="AK803" s="11" t="n"/>
      <c r="AM803">
        <f>IF($D803="","",IF(COUNTIF($D$2:$D803,$D803)=1,1,0))</f>
        <v/>
      </c>
      <c r="AN803">
        <f>IF($AM803=1,SUMPRODUCT(--($AQ$2:$AQ$1001&lt;$AQ803))+1,"")</f>
        <v/>
      </c>
      <c r="AO803">
        <f>IF($D803="","",IF(OR($U803=TRUE(),$U803="TRUE"),1,0))</f>
        <v/>
      </c>
      <c r="AP803">
        <f>IF($D803="","",IF($AC803="Yes",1,0))</f>
        <v/>
      </c>
      <c r="AQ803">
        <f>IF($AM803=1,IFERROR(VALUE(MID($D803,2,20)),1000000000)+ROW()/100000,"")</f>
        <v/>
      </c>
    </row>
    <row r="804">
      <c r="G804" s="11" t="n"/>
      <c r="Q804" s="7">
        <f>IF($D804="","",P804*Y804/100)</f>
        <v/>
      </c>
      <c r="R804" s="7" t="n"/>
      <c r="X804" s="7" t="n"/>
      <c r="Y804" s="7" t="n"/>
      <c r="Z804" s="7">
        <f>IF($D804="","",Y804*AD804/100)</f>
        <v/>
      </c>
      <c r="AA804" s="7">
        <f>IF($D804="","",Y804-Z804)</f>
        <v/>
      </c>
      <c r="AB804" s="7">
        <f>IF($D804="","",AA804-Q804)</f>
        <v/>
      </c>
      <c r="AD804">
        <f>IF($D804="","",IF($AP804=1,0,IF($AO804=1,Settings!$C$6,Settings!$C$7))*100)</f>
        <v/>
      </c>
      <c r="AH804" s="7" t="n"/>
      <c r="AK804" s="11" t="n"/>
      <c r="AM804">
        <f>IF($D804="","",IF(COUNTIF($D$2:$D804,$D804)=1,1,0))</f>
        <v/>
      </c>
      <c r="AN804">
        <f>IF($AM804=1,SUMPRODUCT(--($AQ$2:$AQ$1001&lt;$AQ804))+1,"")</f>
        <v/>
      </c>
      <c r="AO804">
        <f>IF($D804="","",IF(OR($U804=TRUE(),$U804="TRUE"),1,0))</f>
        <v/>
      </c>
      <c r="AP804">
        <f>IF($D804="","",IF($AC804="Yes",1,0))</f>
        <v/>
      </c>
      <c r="AQ804">
        <f>IF($AM804=1,IFERROR(VALUE(MID($D804,2,20)),1000000000)+ROW()/100000,"")</f>
        <v/>
      </c>
    </row>
    <row r="805">
      <c r="G805" s="11" t="n"/>
      <c r="Q805" s="7">
        <f>IF($D805="","",P805*Y805/100)</f>
        <v/>
      </c>
      <c r="R805" s="7" t="n"/>
      <c r="X805" s="7" t="n"/>
      <c r="Y805" s="7" t="n"/>
      <c r="Z805" s="7">
        <f>IF($D805="","",Y805*AD805/100)</f>
        <v/>
      </c>
      <c r="AA805" s="7">
        <f>IF($D805="","",Y805-Z805)</f>
        <v/>
      </c>
      <c r="AB805" s="7">
        <f>IF($D805="","",AA805-Q805)</f>
        <v/>
      </c>
      <c r="AD805">
        <f>IF($D805="","",IF($AP805=1,0,IF($AO805=1,Settings!$C$6,Settings!$C$7))*100)</f>
        <v/>
      </c>
      <c r="AH805" s="7" t="n"/>
      <c r="AK805" s="11" t="n"/>
      <c r="AM805">
        <f>IF($D805="","",IF(COUNTIF($D$2:$D805,$D805)=1,1,0))</f>
        <v/>
      </c>
      <c r="AN805">
        <f>IF($AM805=1,SUMPRODUCT(--($AQ$2:$AQ$1001&lt;$AQ805))+1,"")</f>
        <v/>
      </c>
      <c r="AO805">
        <f>IF($D805="","",IF(OR($U805=TRUE(),$U805="TRUE"),1,0))</f>
        <v/>
      </c>
      <c r="AP805">
        <f>IF($D805="","",IF($AC805="Yes",1,0))</f>
        <v/>
      </c>
      <c r="AQ805">
        <f>IF($AM805=1,IFERROR(VALUE(MID($D805,2,20)),1000000000)+ROW()/100000,"")</f>
        <v/>
      </c>
    </row>
    <row r="806">
      <c r="G806" s="11" t="n"/>
      <c r="Q806" s="7">
        <f>IF($D806="","",P806*Y806/100)</f>
        <v/>
      </c>
      <c r="R806" s="7" t="n"/>
      <c r="X806" s="7" t="n"/>
      <c r="Y806" s="7" t="n"/>
      <c r="Z806" s="7">
        <f>IF($D806="","",Y806*AD806/100)</f>
        <v/>
      </c>
      <c r="AA806" s="7">
        <f>IF($D806="","",Y806-Z806)</f>
        <v/>
      </c>
      <c r="AB806" s="7">
        <f>IF($D806="","",AA806-Q806)</f>
        <v/>
      </c>
      <c r="AD806">
        <f>IF($D806="","",IF($AP806=1,0,IF($AO806=1,Settings!$C$6,Settings!$C$7))*100)</f>
        <v/>
      </c>
      <c r="AH806" s="7" t="n"/>
      <c r="AK806" s="11" t="n"/>
      <c r="AM806">
        <f>IF($D806="","",IF(COUNTIF($D$2:$D806,$D806)=1,1,0))</f>
        <v/>
      </c>
      <c r="AN806">
        <f>IF($AM806=1,SUMPRODUCT(--($AQ$2:$AQ$1001&lt;$AQ806))+1,"")</f>
        <v/>
      </c>
      <c r="AO806">
        <f>IF($D806="","",IF(OR($U806=TRUE(),$U806="TRUE"),1,0))</f>
        <v/>
      </c>
      <c r="AP806">
        <f>IF($D806="","",IF($AC806="Yes",1,0))</f>
        <v/>
      </c>
      <c r="AQ806">
        <f>IF($AM806=1,IFERROR(VALUE(MID($D806,2,20)),1000000000)+ROW()/100000,"")</f>
        <v/>
      </c>
    </row>
    <row r="807">
      <c r="G807" s="11" t="n"/>
      <c r="Q807" s="7">
        <f>IF($D807="","",P807*Y807/100)</f>
        <v/>
      </c>
      <c r="R807" s="7" t="n"/>
      <c r="X807" s="7" t="n"/>
      <c r="Y807" s="7" t="n"/>
      <c r="Z807" s="7">
        <f>IF($D807="","",Y807*AD807/100)</f>
        <v/>
      </c>
      <c r="AA807" s="7">
        <f>IF($D807="","",Y807-Z807)</f>
        <v/>
      </c>
      <c r="AB807" s="7">
        <f>IF($D807="","",AA807-Q807)</f>
        <v/>
      </c>
      <c r="AD807">
        <f>IF($D807="","",IF($AP807=1,0,IF($AO807=1,Settings!$C$6,Settings!$C$7))*100)</f>
        <v/>
      </c>
      <c r="AH807" s="7" t="n"/>
      <c r="AK807" s="11" t="n"/>
      <c r="AM807">
        <f>IF($D807="","",IF(COUNTIF($D$2:$D807,$D807)=1,1,0))</f>
        <v/>
      </c>
      <c r="AN807">
        <f>IF($AM807=1,SUMPRODUCT(--($AQ$2:$AQ$1001&lt;$AQ807))+1,"")</f>
        <v/>
      </c>
      <c r="AO807">
        <f>IF($D807="","",IF(OR($U807=TRUE(),$U807="TRUE"),1,0))</f>
        <v/>
      </c>
      <c r="AP807">
        <f>IF($D807="","",IF($AC807="Yes",1,0))</f>
        <v/>
      </c>
      <c r="AQ807">
        <f>IF($AM807=1,IFERROR(VALUE(MID($D807,2,20)),1000000000)+ROW()/100000,"")</f>
        <v/>
      </c>
    </row>
    <row r="808">
      <c r="G808" s="11" t="n"/>
      <c r="Q808" s="7">
        <f>IF($D808="","",P808*Y808/100)</f>
        <v/>
      </c>
      <c r="R808" s="7" t="n"/>
      <c r="X808" s="7" t="n"/>
      <c r="Y808" s="7" t="n"/>
      <c r="Z808" s="7">
        <f>IF($D808="","",Y808*AD808/100)</f>
        <v/>
      </c>
      <c r="AA808" s="7">
        <f>IF($D808="","",Y808-Z808)</f>
        <v/>
      </c>
      <c r="AB808" s="7">
        <f>IF($D808="","",AA808-Q808)</f>
        <v/>
      </c>
      <c r="AD808">
        <f>IF($D808="","",IF($AP808=1,0,IF($AO808=1,Settings!$C$6,Settings!$C$7))*100)</f>
        <v/>
      </c>
      <c r="AH808" s="7" t="n"/>
      <c r="AK808" s="11" t="n"/>
      <c r="AM808">
        <f>IF($D808="","",IF(COUNTIF($D$2:$D808,$D808)=1,1,0))</f>
        <v/>
      </c>
      <c r="AN808">
        <f>IF($AM808=1,SUMPRODUCT(--($AQ$2:$AQ$1001&lt;$AQ808))+1,"")</f>
        <v/>
      </c>
      <c r="AO808">
        <f>IF($D808="","",IF(OR($U808=TRUE(),$U808="TRUE"),1,0))</f>
        <v/>
      </c>
      <c r="AP808">
        <f>IF($D808="","",IF($AC808="Yes",1,0))</f>
        <v/>
      </c>
      <c r="AQ808">
        <f>IF($AM808=1,IFERROR(VALUE(MID($D808,2,20)),1000000000)+ROW()/100000,"")</f>
        <v/>
      </c>
    </row>
    <row r="809">
      <c r="G809" s="11" t="n"/>
      <c r="Q809" s="7">
        <f>IF($D809="","",P809*Y809/100)</f>
        <v/>
      </c>
      <c r="R809" s="7" t="n"/>
      <c r="X809" s="7" t="n"/>
      <c r="Y809" s="7" t="n"/>
      <c r="Z809" s="7">
        <f>IF($D809="","",Y809*AD809/100)</f>
        <v/>
      </c>
      <c r="AA809" s="7">
        <f>IF($D809="","",Y809-Z809)</f>
        <v/>
      </c>
      <c r="AB809" s="7">
        <f>IF($D809="","",AA809-Q809)</f>
        <v/>
      </c>
      <c r="AD809">
        <f>IF($D809="","",IF($AP809=1,0,IF($AO809=1,Settings!$C$6,Settings!$C$7))*100)</f>
        <v/>
      </c>
      <c r="AH809" s="7" t="n"/>
      <c r="AK809" s="11" t="n"/>
      <c r="AM809">
        <f>IF($D809="","",IF(COUNTIF($D$2:$D809,$D809)=1,1,0))</f>
        <v/>
      </c>
      <c r="AN809">
        <f>IF($AM809=1,SUMPRODUCT(--($AQ$2:$AQ$1001&lt;$AQ809))+1,"")</f>
        <v/>
      </c>
      <c r="AO809">
        <f>IF($D809="","",IF(OR($U809=TRUE(),$U809="TRUE"),1,0))</f>
        <v/>
      </c>
      <c r="AP809">
        <f>IF($D809="","",IF($AC809="Yes",1,0))</f>
        <v/>
      </c>
      <c r="AQ809">
        <f>IF($AM809=1,IFERROR(VALUE(MID($D809,2,20)),1000000000)+ROW()/100000,"")</f>
        <v/>
      </c>
    </row>
    <row r="810">
      <c r="G810" s="11" t="n"/>
      <c r="Q810" s="7">
        <f>IF($D810="","",P810*Y810/100)</f>
        <v/>
      </c>
      <c r="R810" s="7" t="n"/>
      <c r="X810" s="7" t="n"/>
      <c r="Y810" s="7" t="n"/>
      <c r="Z810" s="7">
        <f>IF($D810="","",Y810*AD810/100)</f>
        <v/>
      </c>
      <c r="AA810" s="7">
        <f>IF($D810="","",Y810-Z810)</f>
        <v/>
      </c>
      <c r="AB810" s="7">
        <f>IF($D810="","",AA810-Q810)</f>
        <v/>
      </c>
      <c r="AD810">
        <f>IF($D810="","",IF($AP810=1,0,IF($AO810=1,Settings!$C$6,Settings!$C$7))*100)</f>
        <v/>
      </c>
      <c r="AH810" s="7" t="n"/>
      <c r="AK810" s="11" t="n"/>
      <c r="AM810">
        <f>IF($D810="","",IF(COUNTIF($D$2:$D810,$D810)=1,1,0))</f>
        <v/>
      </c>
      <c r="AN810">
        <f>IF($AM810=1,SUMPRODUCT(--($AQ$2:$AQ$1001&lt;$AQ810))+1,"")</f>
        <v/>
      </c>
      <c r="AO810">
        <f>IF($D810="","",IF(OR($U810=TRUE(),$U810="TRUE"),1,0))</f>
        <v/>
      </c>
      <c r="AP810">
        <f>IF($D810="","",IF($AC810="Yes",1,0))</f>
        <v/>
      </c>
      <c r="AQ810">
        <f>IF($AM810=1,IFERROR(VALUE(MID($D810,2,20)),1000000000)+ROW()/100000,"")</f>
        <v/>
      </c>
    </row>
    <row r="811">
      <c r="G811" s="11" t="n"/>
      <c r="Q811" s="7">
        <f>IF($D811="","",P811*Y811/100)</f>
        <v/>
      </c>
      <c r="R811" s="7" t="n"/>
      <c r="X811" s="7" t="n"/>
      <c r="Y811" s="7" t="n"/>
      <c r="Z811" s="7">
        <f>IF($D811="","",Y811*AD811/100)</f>
        <v/>
      </c>
      <c r="AA811" s="7">
        <f>IF($D811="","",Y811-Z811)</f>
        <v/>
      </c>
      <c r="AB811" s="7">
        <f>IF($D811="","",AA811-Q811)</f>
        <v/>
      </c>
      <c r="AD811">
        <f>IF($D811="","",IF($AP811=1,0,IF($AO811=1,Settings!$C$6,Settings!$C$7))*100)</f>
        <v/>
      </c>
      <c r="AH811" s="7" t="n"/>
      <c r="AK811" s="11" t="n"/>
      <c r="AM811">
        <f>IF($D811="","",IF(COUNTIF($D$2:$D811,$D811)=1,1,0))</f>
        <v/>
      </c>
      <c r="AN811">
        <f>IF($AM811=1,SUMPRODUCT(--($AQ$2:$AQ$1001&lt;$AQ811))+1,"")</f>
        <v/>
      </c>
      <c r="AO811">
        <f>IF($D811="","",IF(OR($U811=TRUE(),$U811="TRUE"),1,0))</f>
        <v/>
      </c>
      <c r="AP811">
        <f>IF($D811="","",IF($AC811="Yes",1,0))</f>
        <v/>
      </c>
      <c r="AQ811">
        <f>IF($AM811=1,IFERROR(VALUE(MID($D811,2,20)),1000000000)+ROW()/100000,"")</f>
        <v/>
      </c>
    </row>
    <row r="812">
      <c r="G812" s="11" t="n"/>
      <c r="Q812" s="7">
        <f>IF($D812="","",P812*Y812/100)</f>
        <v/>
      </c>
      <c r="R812" s="7" t="n"/>
      <c r="X812" s="7" t="n"/>
      <c r="Y812" s="7" t="n"/>
      <c r="Z812" s="7">
        <f>IF($D812="","",Y812*AD812/100)</f>
        <v/>
      </c>
      <c r="AA812" s="7">
        <f>IF($D812="","",Y812-Z812)</f>
        <v/>
      </c>
      <c r="AB812" s="7">
        <f>IF($D812="","",AA812-Q812)</f>
        <v/>
      </c>
      <c r="AD812">
        <f>IF($D812="","",IF($AP812=1,0,IF($AO812=1,Settings!$C$6,Settings!$C$7))*100)</f>
        <v/>
      </c>
      <c r="AH812" s="7" t="n"/>
      <c r="AK812" s="11" t="n"/>
      <c r="AM812">
        <f>IF($D812="","",IF(COUNTIF($D$2:$D812,$D812)=1,1,0))</f>
        <v/>
      </c>
      <c r="AN812">
        <f>IF($AM812=1,SUMPRODUCT(--($AQ$2:$AQ$1001&lt;$AQ812))+1,"")</f>
        <v/>
      </c>
      <c r="AO812">
        <f>IF($D812="","",IF(OR($U812=TRUE(),$U812="TRUE"),1,0))</f>
        <v/>
      </c>
      <c r="AP812">
        <f>IF($D812="","",IF($AC812="Yes",1,0))</f>
        <v/>
      </c>
      <c r="AQ812">
        <f>IF($AM812=1,IFERROR(VALUE(MID($D812,2,20)),1000000000)+ROW()/100000,"")</f>
        <v/>
      </c>
    </row>
    <row r="813">
      <c r="G813" s="11" t="n"/>
      <c r="Q813" s="7">
        <f>IF($D813="","",P813*Y813/100)</f>
        <v/>
      </c>
      <c r="R813" s="7" t="n"/>
      <c r="X813" s="7" t="n"/>
      <c r="Y813" s="7" t="n"/>
      <c r="Z813" s="7">
        <f>IF($D813="","",Y813*AD813/100)</f>
        <v/>
      </c>
      <c r="AA813" s="7">
        <f>IF($D813="","",Y813-Z813)</f>
        <v/>
      </c>
      <c r="AB813" s="7">
        <f>IF($D813="","",AA813-Q813)</f>
        <v/>
      </c>
      <c r="AD813">
        <f>IF($D813="","",IF($AP813=1,0,IF($AO813=1,Settings!$C$6,Settings!$C$7))*100)</f>
        <v/>
      </c>
      <c r="AH813" s="7" t="n"/>
      <c r="AK813" s="11" t="n"/>
      <c r="AM813">
        <f>IF($D813="","",IF(COUNTIF($D$2:$D813,$D813)=1,1,0))</f>
        <v/>
      </c>
      <c r="AN813">
        <f>IF($AM813=1,SUMPRODUCT(--($AQ$2:$AQ$1001&lt;$AQ813))+1,"")</f>
        <v/>
      </c>
      <c r="AO813">
        <f>IF($D813="","",IF(OR($U813=TRUE(),$U813="TRUE"),1,0))</f>
        <v/>
      </c>
      <c r="AP813">
        <f>IF($D813="","",IF($AC813="Yes",1,0))</f>
        <v/>
      </c>
      <c r="AQ813">
        <f>IF($AM813=1,IFERROR(VALUE(MID($D813,2,20)),1000000000)+ROW()/100000,"")</f>
        <v/>
      </c>
    </row>
    <row r="814">
      <c r="G814" s="11" t="n"/>
      <c r="Q814" s="7">
        <f>IF($D814="","",P814*Y814/100)</f>
        <v/>
      </c>
      <c r="R814" s="7" t="n"/>
      <c r="X814" s="7" t="n"/>
      <c r="Y814" s="7" t="n"/>
      <c r="Z814" s="7">
        <f>IF($D814="","",Y814*AD814/100)</f>
        <v/>
      </c>
      <c r="AA814" s="7">
        <f>IF($D814="","",Y814-Z814)</f>
        <v/>
      </c>
      <c r="AB814" s="7">
        <f>IF($D814="","",AA814-Q814)</f>
        <v/>
      </c>
      <c r="AD814">
        <f>IF($D814="","",IF($AP814=1,0,IF($AO814=1,Settings!$C$6,Settings!$C$7))*100)</f>
        <v/>
      </c>
      <c r="AH814" s="7" t="n"/>
      <c r="AK814" s="11" t="n"/>
      <c r="AM814">
        <f>IF($D814="","",IF(COUNTIF($D$2:$D814,$D814)=1,1,0))</f>
        <v/>
      </c>
      <c r="AN814">
        <f>IF($AM814=1,SUMPRODUCT(--($AQ$2:$AQ$1001&lt;$AQ814))+1,"")</f>
        <v/>
      </c>
      <c r="AO814">
        <f>IF($D814="","",IF(OR($U814=TRUE(),$U814="TRUE"),1,0))</f>
        <v/>
      </c>
      <c r="AP814">
        <f>IF($D814="","",IF($AC814="Yes",1,0))</f>
        <v/>
      </c>
      <c r="AQ814">
        <f>IF($AM814=1,IFERROR(VALUE(MID($D814,2,20)),1000000000)+ROW()/100000,"")</f>
        <v/>
      </c>
    </row>
    <row r="815">
      <c r="G815" s="11" t="n"/>
      <c r="Q815" s="7">
        <f>IF($D815="","",P815*Y815/100)</f>
        <v/>
      </c>
      <c r="R815" s="7" t="n"/>
      <c r="X815" s="7" t="n"/>
      <c r="Y815" s="7" t="n"/>
      <c r="Z815" s="7">
        <f>IF($D815="","",Y815*AD815/100)</f>
        <v/>
      </c>
      <c r="AA815" s="7">
        <f>IF($D815="","",Y815-Z815)</f>
        <v/>
      </c>
      <c r="AB815" s="7">
        <f>IF($D815="","",AA815-Q815)</f>
        <v/>
      </c>
      <c r="AD815">
        <f>IF($D815="","",IF($AP815=1,0,IF($AO815=1,Settings!$C$6,Settings!$C$7))*100)</f>
        <v/>
      </c>
      <c r="AH815" s="7" t="n"/>
      <c r="AK815" s="11" t="n"/>
      <c r="AM815">
        <f>IF($D815="","",IF(COUNTIF($D$2:$D815,$D815)=1,1,0))</f>
        <v/>
      </c>
      <c r="AN815">
        <f>IF($AM815=1,SUMPRODUCT(--($AQ$2:$AQ$1001&lt;$AQ815))+1,"")</f>
        <v/>
      </c>
      <c r="AO815">
        <f>IF($D815="","",IF(OR($U815=TRUE(),$U815="TRUE"),1,0))</f>
        <v/>
      </c>
      <c r="AP815">
        <f>IF($D815="","",IF($AC815="Yes",1,0))</f>
        <v/>
      </c>
      <c r="AQ815">
        <f>IF($AM815=1,IFERROR(VALUE(MID($D815,2,20)),1000000000)+ROW()/100000,"")</f>
        <v/>
      </c>
    </row>
    <row r="816">
      <c r="G816" s="11" t="n"/>
      <c r="Q816" s="7">
        <f>IF($D816="","",P816*Y816/100)</f>
        <v/>
      </c>
      <c r="R816" s="7" t="n"/>
      <c r="X816" s="7" t="n"/>
      <c r="Y816" s="7" t="n"/>
      <c r="Z816" s="7">
        <f>IF($D816="","",Y816*AD816/100)</f>
        <v/>
      </c>
      <c r="AA816" s="7">
        <f>IF($D816="","",Y816-Z816)</f>
        <v/>
      </c>
      <c r="AB816" s="7">
        <f>IF($D816="","",AA816-Q816)</f>
        <v/>
      </c>
      <c r="AD816">
        <f>IF($D816="","",IF($AP816=1,0,IF($AO816=1,Settings!$C$6,Settings!$C$7))*100)</f>
        <v/>
      </c>
      <c r="AH816" s="7" t="n"/>
      <c r="AK816" s="11" t="n"/>
      <c r="AM816">
        <f>IF($D816="","",IF(COUNTIF($D$2:$D816,$D816)=1,1,0))</f>
        <v/>
      </c>
      <c r="AN816">
        <f>IF($AM816=1,SUMPRODUCT(--($AQ$2:$AQ$1001&lt;$AQ816))+1,"")</f>
        <v/>
      </c>
      <c r="AO816">
        <f>IF($D816="","",IF(OR($U816=TRUE(),$U816="TRUE"),1,0))</f>
        <v/>
      </c>
      <c r="AP816">
        <f>IF($D816="","",IF($AC816="Yes",1,0))</f>
        <v/>
      </c>
      <c r="AQ816">
        <f>IF($AM816=1,IFERROR(VALUE(MID($D816,2,20)),1000000000)+ROW()/100000,"")</f>
        <v/>
      </c>
    </row>
    <row r="817">
      <c r="G817" s="11" t="n"/>
      <c r="Q817" s="7">
        <f>IF($D817="","",P817*Y817/100)</f>
        <v/>
      </c>
      <c r="R817" s="7" t="n"/>
      <c r="X817" s="7" t="n"/>
      <c r="Y817" s="7" t="n"/>
      <c r="Z817" s="7">
        <f>IF($D817="","",Y817*AD817/100)</f>
        <v/>
      </c>
      <c r="AA817" s="7">
        <f>IF($D817="","",Y817-Z817)</f>
        <v/>
      </c>
      <c r="AB817" s="7">
        <f>IF($D817="","",AA817-Q817)</f>
        <v/>
      </c>
      <c r="AD817">
        <f>IF($D817="","",IF($AP817=1,0,IF($AO817=1,Settings!$C$6,Settings!$C$7))*100)</f>
        <v/>
      </c>
      <c r="AH817" s="7" t="n"/>
      <c r="AK817" s="11" t="n"/>
      <c r="AM817">
        <f>IF($D817="","",IF(COUNTIF($D$2:$D817,$D817)=1,1,0))</f>
        <v/>
      </c>
      <c r="AN817">
        <f>IF($AM817=1,SUMPRODUCT(--($AQ$2:$AQ$1001&lt;$AQ817))+1,"")</f>
        <v/>
      </c>
      <c r="AO817">
        <f>IF($D817="","",IF(OR($U817=TRUE(),$U817="TRUE"),1,0))</f>
        <v/>
      </c>
      <c r="AP817">
        <f>IF($D817="","",IF($AC817="Yes",1,0))</f>
        <v/>
      </c>
      <c r="AQ817">
        <f>IF($AM817=1,IFERROR(VALUE(MID($D817,2,20)),1000000000)+ROW()/100000,"")</f>
        <v/>
      </c>
    </row>
    <row r="818">
      <c r="G818" s="11" t="n"/>
      <c r="Q818" s="7">
        <f>IF($D818="","",P818*Y818/100)</f>
        <v/>
      </c>
      <c r="R818" s="7" t="n"/>
      <c r="X818" s="7" t="n"/>
      <c r="Y818" s="7" t="n"/>
      <c r="Z818" s="7">
        <f>IF($D818="","",Y818*AD818/100)</f>
        <v/>
      </c>
      <c r="AA818" s="7">
        <f>IF($D818="","",Y818-Z818)</f>
        <v/>
      </c>
      <c r="AB818" s="7">
        <f>IF($D818="","",AA818-Q818)</f>
        <v/>
      </c>
      <c r="AD818">
        <f>IF($D818="","",IF($AP818=1,0,IF($AO818=1,Settings!$C$6,Settings!$C$7))*100)</f>
        <v/>
      </c>
      <c r="AH818" s="7" t="n"/>
      <c r="AK818" s="11" t="n"/>
      <c r="AM818">
        <f>IF($D818="","",IF(COUNTIF($D$2:$D818,$D818)=1,1,0))</f>
        <v/>
      </c>
      <c r="AN818">
        <f>IF($AM818=1,SUMPRODUCT(--($AQ$2:$AQ$1001&lt;$AQ818))+1,"")</f>
        <v/>
      </c>
      <c r="AO818">
        <f>IF($D818="","",IF(OR($U818=TRUE(),$U818="TRUE"),1,0))</f>
        <v/>
      </c>
      <c r="AP818">
        <f>IF($D818="","",IF($AC818="Yes",1,0))</f>
        <v/>
      </c>
      <c r="AQ818">
        <f>IF($AM818=1,IFERROR(VALUE(MID($D818,2,20)),1000000000)+ROW()/100000,"")</f>
        <v/>
      </c>
    </row>
    <row r="819">
      <c r="G819" s="11" t="n"/>
      <c r="Q819" s="7">
        <f>IF($D819="","",P819*Y819/100)</f>
        <v/>
      </c>
      <c r="R819" s="7" t="n"/>
      <c r="X819" s="7" t="n"/>
      <c r="Y819" s="7" t="n"/>
      <c r="Z819" s="7">
        <f>IF($D819="","",Y819*AD819/100)</f>
        <v/>
      </c>
      <c r="AA819" s="7">
        <f>IF($D819="","",Y819-Z819)</f>
        <v/>
      </c>
      <c r="AB819" s="7">
        <f>IF($D819="","",AA819-Q819)</f>
        <v/>
      </c>
      <c r="AD819">
        <f>IF($D819="","",IF($AP819=1,0,IF($AO819=1,Settings!$C$6,Settings!$C$7))*100)</f>
        <v/>
      </c>
      <c r="AH819" s="7" t="n"/>
      <c r="AK819" s="11" t="n"/>
      <c r="AM819">
        <f>IF($D819="","",IF(COUNTIF($D$2:$D819,$D819)=1,1,0))</f>
        <v/>
      </c>
      <c r="AN819">
        <f>IF($AM819=1,SUMPRODUCT(--($AQ$2:$AQ$1001&lt;$AQ819))+1,"")</f>
        <v/>
      </c>
      <c r="AO819">
        <f>IF($D819="","",IF(OR($U819=TRUE(),$U819="TRUE"),1,0))</f>
        <v/>
      </c>
      <c r="AP819">
        <f>IF($D819="","",IF($AC819="Yes",1,0))</f>
        <v/>
      </c>
      <c r="AQ819">
        <f>IF($AM819=1,IFERROR(VALUE(MID($D819,2,20)),1000000000)+ROW()/100000,"")</f>
        <v/>
      </c>
    </row>
    <row r="820">
      <c r="G820" s="11" t="n"/>
      <c r="Q820" s="7">
        <f>IF($D820="","",P820*Y820/100)</f>
        <v/>
      </c>
      <c r="R820" s="7" t="n"/>
      <c r="X820" s="7" t="n"/>
      <c r="Y820" s="7" t="n"/>
      <c r="Z820" s="7">
        <f>IF($D820="","",Y820*AD820/100)</f>
        <v/>
      </c>
      <c r="AA820" s="7">
        <f>IF($D820="","",Y820-Z820)</f>
        <v/>
      </c>
      <c r="AB820" s="7">
        <f>IF($D820="","",AA820-Q820)</f>
        <v/>
      </c>
      <c r="AD820">
        <f>IF($D820="","",IF($AP820=1,0,IF($AO820=1,Settings!$C$6,Settings!$C$7))*100)</f>
        <v/>
      </c>
      <c r="AH820" s="7" t="n"/>
      <c r="AK820" s="11" t="n"/>
      <c r="AM820">
        <f>IF($D820="","",IF(COUNTIF($D$2:$D820,$D820)=1,1,0))</f>
        <v/>
      </c>
      <c r="AN820">
        <f>IF($AM820=1,SUMPRODUCT(--($AQ$2:$AQ$1001&lt;$AQ820))+1,"")</f>
        <v/>
      </c>
      <c r="AO820">
        <f>IF($D820="","",IF(OR($U820=TRUE(),$U820="TRUE"),1,0))</f>
        <v/>
      </c>
      <c r="AP820">
        <f>IF($D820="","",IF($AC820="Yes",1,0))</f>
        <v/>
      </c>
      <c r="AQ820">
        <f>IF($AM820=1,IFERROR(VALUE(MID($D820,2,20)),1000000000)+ROW()/100000,"")</f>
        <v/>
      </c>
    </row>
    <row r="821">
      <c r="G821" s="11" t="n"/>
      <c r="Q821" s="7">
        <f>IF($D821="","",P821*Y821/100)</f>
        <v/>
      </c>
      <c r="R821" s="7" t="n"/>
      <c r="X821" s="7" t="n"/>
      <c r="Y821" s="7" t="n"/>
      <c r="Z821" s="7">
        <f>IF($D821="","",Y821*AD821/100)</f>
        <v/>
      </c>
      <c r="AA821" s="7">
        <f>IF($D821="","",Y821-Z821)</f>
        <v/>
      </c>
      <c r="AB821" s="7">
        <f>IF($D821="","",AA821-Q821)</f>
        <v/>
      </c>
      <c r="AD821">
        <f>IF($D821="","",IF($AP821=1,0,IF($AO821=1,Settings!$C$6,Settings!$C$7))*100)</f>
        <v/>
      </c>
      <c r="AH821" s="7" t="n"/>
      <c r="AK821" s="11" t="n"/>
      <c r="AM821">
        <f>IF($D821="","",IF(COUNTIF($D$2:$D821,$D821)=1,1,0))</f>
        <v/>
      </c>
      <c r="AN821">
        <f>IF($AM821=1,SUMPRODUCT(--($AQ$2:$AQ$1001&lt;$AQ821))+1,"")</f>
        <v/>
      </c>
      <c r="AO821">
        <f>IF($D821="","",IF(OR($U821=TRUE(),$U821="TRUE"),1,0))</f>
        <v/>
      </c>
      <c r="AP821">
        <f>IF($D821="","",IF($AC821="Yes",1,0))</f>
        <v/>
      </c>
      <c r="AQ821">
        <f>IF($AM821=1,IFERROR(VALUE(MID($D821,2,20)),1000000000)+ROW()/100000,"")</f>
        <v/>
      </c>
    </row>
    <row r="822">
      <c r="G822" s="11" t="n"/>
      <c r="Q822" s="7">
        <f>IF($D822="","",P822*Y822/100)</f>
        <v/>
      </c>
      <c r="R822" s="7" t="n"/>
      <c r="X822" s="7" t="n"/>
      <c r="Y822" s="7" t="n"/>
      <c r="Z822" s="7">
        <f>IF($D822="","",Y822*AD822/100)</f>
        <v/>
      </c>
      <c r="AA822" s="7">
        <f>IF($D822="","",Y822-Z822)</f>
        <v/>
      </c>
      <c r="AB822" s="7">
        <f>IF($D822="","",AA822-Q822)</f>
        <v/>
      </c>
      <c r="AD822">
        <f>IF($D822="","",IF($AP822=1,0,IF($AO822=1,Settings!$C$6,Settings!$C$7))*100)</f>
        <v/>
      </c>
      <c r="AH822" s="7" t="n"/>
      <c r="AK822" s="11" t="n"/>
      <c r="AM822">
        <f>IF($D822="","",IF(COUNTIF($D$2:$D822,$D822)=1,1,0))</f>
        <v/>
      </c>
      <c r="AN822">
        <f>IF($AM822=1,SUMPRODUCT(--($AQ$2:$AQ$1001&lt;$AQ822))+1,"")</f>
        <v/>
      </c>
      <c r="AO822">
        <f>IF($D822="","",IF(OR($U822=TRUE(),$U822="TRUE"),1,0))</f>
        <v/>
      </c>
      <c r="AP822">
        <f>IF($D822="","",IF($AC822="Yes",1,0))</f>
        <v/>
      </c>
      <c r="AQ822">
        <f>IF($AM822=1,IFERROR(VALUE(MID($D822,2,20)),1000000000)+ROW()/100000,"")</f>
        <v/>
      </c>
    </row>
    <row r="823">
      <c r="G823" s="11" t="n"/>
      <c r="Q823" s="7">
        <f>IF($D823="","",P823*Y823/100)</f>
        <v/>
      </c>
      <c r="R823" s="7" t="n"/>
      <c r="X823" s="7" t="n"/>
      <c r="Y823" s="7" t="n"/>
      <c r="Z823" s="7">
        <f>IF($D823="","",Y823*AD823/100)</f>
        <v/>
      </c>
      <c r="AA823" s="7">
        <f>IF($D823="","",Y823-Z823)</f>
        <v/>
      </c>
      <c r="AB823" s="7">
        <f>IF($D823="","",AA823-Q823)</f>
        <v/>
      </c>
      <c r="AD823">
        <f>IF($D823="","",IF($AP823=1,0,IF($AO823=1,Settings!$C$6,Settings!$C$7))*100)</f>
        <v/>
      </c>
      <c r="AH823" s="7" t="n"/>
      <c r="AK823" s="11" t="n"/>
      <c r="AM823">
        <f>IF($D823="","",IF(COUNTIF($D$2:$D823,$D823)=1,1,0))</f>
        <v/>
      </c>
      <c r="AN823">
        <f>IF($AM823=1,SUMPRODUCT(--($AQ$2:$AQ$1001&lt;$AQ823))+1,"")</f>
        <v/>
      </c>
      <c r="AO823">
        <f>IF($D823="","",IF(OR($U823=TRUE(),$U823="TRUE"),1,0))</f>
        <v/>
      </c>
      <c r="AP823">
        <f>IF($D823="","",IF($AC823="Yes",1,0))</f>
        <v/>
      </c>
      <c r="AQ823">
        <f>IF($AM823=1,IFERROR(VALUE(MID($D823,2,20)),1000000000)+ROW()/100000,"")</f>
        <v/>
      </c>
    </row>
    <row r="824">
      <c r="G824" s="11" t="n"/>
      <c r="Q824" s="7">
        <f>IF($D824="","",P824*Y824/100)</f>
        <v/>
      </c>
      <c r="R824" s="7" t="n"/>
      <c r="X824" s="7" t="n"/>
      <c r="Y824" s="7" t="n"/>
      <c r="Z824" s="7">
        <f>IF($D824="","",Y824*AD824/100)</f>
        <v/>
      </c>
      <c r="AA824" s="7">
        <f>IF($D824="","",Y824-Z824)</f>
        <v/>
      </c>
      <c r="AB824" s="7">
        <f>IF($D824="","",AA824-Q824)</f>
        <v/>
      </c>
      <c r="AD824">
        <f>IF($D824="","",IF($AP824=1,0,IF($AO824=1,Settings!$C$6,Settings!$C$7))*100)</f>
        <v/>
      </c>
      <c r="AH824" s="7" t="n"/>
      <c r="AK824" s="11" t="n"/>
      <c r="AM824">
        <f>IF($D824="","",IF(COUNTIF($D$2:$D824,$D824)=1,1,0))</f>
        <v/>
      </c>
      <c r="AN824">
        <f>IF($AM824=1,SUMPRODUCT(--($AQ$2:$AQ$1001&lt;$AQ824))+1,"")</f>
        <v/>
      </c>
      <c r="AO824">
        <f>IF($D824="","",IF(OR($U824=TRUE(),$U824="TRUE"),1,0))</f>
        <v/>
      </c>
      <c r="AP824">
        <f>IF($D824="","",IF($AC824="Yes",1,0))</f>
        <v/>
      </c>
      <c r="AQ824">
        <f>IF($AM824=1,IFERROR(VALUE(MID($D824,2,20)),1000000000)+ROW()/100000,"")</f>
        <v/>
      </c>
    </row>
    <row r="825">
      <c r="G825" s="11" t="n"/>
      <c r="Q825" s="7">
        <f>IF($D825="","",P825*Y825/100)</f>
        <v/>
      </c>
      <c r="R825" s="7" t="n"/>
      <c r="X825" s="7" t="n"/>
      <c r="Y825" s="7" t="n"/>
      <c r="Z825" s="7">
        <f>IF($D825="","",Y825*AD825/100)</f>
        <v/>
      </c>
      <c r="AA825" s="7">
        <f>IF($D825="","",Y825-Z825)</f>
        <v/>
      </c>
      <c r="AB825" s="7">
        <f>IF($D825="","",AA825-Q825)</f>
        <v/>
      </c>
      <c r="AD825">
        <f>IF($D825="","",IF($AP825=1,0,IF($AO825=1,Settings!$C$6,Settings!$C$7))*100)</f>
        <v/>
      </c>
      <c r="AH825" s="7" t="n"/>
      <c r="AK825" s="11" t="n"/>
      <c r="AM825">
        <f>IF($D825="","",IF(COUNTIF($D$2:$D825,$D825)=1,1,0))</f>
        <v/>
      </c>
      <c r="AN825">
        <f>IF($AM825=1,SUMPRODUCT(--($AQ$2:$AQ$1001&lt;$AQ825))+1,"")</f>
        <v/>
      </c>
      <c r="AO825">
        <f>IF($D825="","",IF(OR($U825=TRUE(),$U825="TRUE"),1,0))</f>
        <v/>
      </c>
      <c r="AP825">
        <f>IF($D825="","",IF($AC825="Yes",1,0))</f>
        <v/>
      </c>
      <c r="AQ825">
        <f>IF($AM825=1,IFERROR(VALUE(MID($D825,2,20)),1000000000)+ROW()/100000,"")</f>
        <v/>
      </c>
    </row>
    <row r="826">
      <c r="G826" s="11" t="n"/>
      <c r="Q826" s="7">
        <f>IF($D826="","",P826*Y826/100)</f>
        <v/>
      </c>
      <c r="R826" s="7" t="n"/>
      <c r="X826" s="7" t="n"/>
      <c r="Y826" s="7" t="n"/>
      <c r="Z826" s="7">
        <f>IF($D826="","",Y826*AD826/100)</f>
        <v/>
      </c>
      <c r="AA826" s="7">
        <f>IF($D826="","",Y826-Z826)</f>
        <v/>
      </c>
      <c r="AB826" s="7">
        <f>IF($D826="","",AA826-Q826)</f>
        <v/>
      </c>
      <c r="AD826">
        <f>IF($D826="","",IF($AP826=1,0,IF($AO826=1,Settings!$C$6,Settings!$C$7))*100)</f>
        <v/>
      </c>
      <c r="AH826" s="7" t="n"/>
      <c r="AK826" s="11" t="n"/>
      <c r="AM826">
        <f>IF($D826="","",IF(COUNTIF($D$2:$D826,$D826)=1,1,0))</f>
        <v/>
      </c>
      <c r="AN826">
        <f>IF($AM826=1,SUMPRODUCT(--($AQ$2:$AQ$1001&lt;$AQ826))+1,"")</f>
        <v/>
      </c>
      <c r="AO826">
        <f>IF($D826="","",IF(OR($U826=TRUE(),$U826="TRUE"),1,0))</f>
        <v/>
      </c>
      <c r="AP826">
        <f>IF($D826="","",IF($AC826="Yes",1,0))</f>
        <v/>
      </c>
      <c r="AQ826">
        <f>IF($AM826=1,IFERROR(VALUE(MID($D826,2,20)),1000000000)+ROW()/100000,"")</f>
        <v/>
      </c>
    </row>
    <row r="827">
      <c r="G827" s="11" t="n"/>
      <c r="Q827" s="7">
        <f>IF($D827="","",P827*Y827/100)</f>
        <v/>
      </c>
      <c r="R827" s="7" t="n"/>
      <c r="X827" s="7" t="n"/>
      <c r="Y827" s="7" t="n"/>
      <c r="Z827" s="7">
        <f>IF($D827="","",Y827*AD827/100)</f>
        <v/>
      </c>
      <c r="AA827" s="7">
        <f>IF($D827="","",Y827-Z827)</f>
        <v/>
      </c>
      <c r="AB827" s="7">
        <f>IF($D827="","",AA827-Q827)</f>
        <v/>
      </c>
      <c r="AD827">
        <f>IF($D827="","",IF($AP827=1,0,IF($AO827=1,Settings!$C$6,Settings!$C$7))*100)</f>
        <v/>
      </c>
      <c r="AH827" s="7" t="n"/>
      <c r="AK827" s="11" t="n"/>
      <c r="AM827">
        <f>IF($D827="","",IF(COUNTIF($D$2:$D827,$D827)=1,1,0))</f>
        <v/>
      </c>
      <c r="AN827">
        <f>IF($AM827=1,SUMPRODUCT(--($AQ$2:$AQ$1001&lt;$AQ827))+1,"")</f>
        <v/>
      </c>
      <c r="AO827">
        <f>IF($D827="","",IF(OR($U827=TRUE(),$U827="TRUE"),1,0))</f>
        <v/>
      </c>
      <c r="AP827">
        <f>IF($D827="","",IF($AC827="Yes",1,0))</f>
        <v/>
      </c>
      <c r="AQ827">
        <f>IF($AM827=1,IFERROR(VALUE(MID($D827,2,20)),1000000000)+ROW()/100000,"")</f>
        <v/>
      </c>
    </row>
    <row r="828">
      <c r="G828" s="11" t="n"/>
      <c r="Q828" s="7">
        <f>IF($D828="","",P828*Y828/100)</f>
        <v/>
      </c>
      <c r="R828" s="7" t="n"/>
      <c r="X828" s="7" t="n"/>
      <c r="Y828" s="7" t="n"/>
      <c r="Z828" s="7">
        <f>IF($D828="","",Y828*AD828/100)</f>
        <v/>
      </c>
      <c r="AA828" s="7">
        <f>IF($D828="","",Y828-Z828)</f>
        <v/>
      </c>
      <c r="AB828" s="7">
        <f>IF($D828="","",AA828-Q828)</f>
        <v/>
      </c>
      <c r="AD828">
        <f>IF($D828="","",IF($AP828=1,0,IF($AO828=1,Settings!$C$6,Settings!$C$7))*100)</f>
        <v/>
      </c>
      <c r="AH828" s="7" t="n"/>
      <c r="AK828" s="11" t="n"/>
      <c r="AM828">
        <f>IF($D828="","",IF(COUNTIF($D$2:$D828,$D828)=1,1,0))</f>
        <v/>
      </c>
      <c r="AN828">
        <f>IF($AM828=1,SUMPRODUCT(--($AQ$2:$AQ$1001&lt;$AQ828))+1,"")</f>
        <v/>
      </c>
      <c r="AO828">
        <f>IF($D828="","",IF(OR($U828=TRUE(),$U828="TRUE"),1,0))</f>
        <v/>
      </c>
      <c r="AP828">
        <f>IF($D828="","",IF($AC828="Yes",1,0))</f>
        <v/>
      </c>
      <c r="AQ828">
        <f>IF($AM828=1,IFERROR(VALUE(MID($D828,2,20)),1000000000)+ROW()/100000,"")</f>
        <v/>
      </c>
    </row>
    <row r="829">
      <c r="G829" s="11" t="n"/>
      <c r="Q829" s="7">
        <f>IF($D829="","",P829*Y829/100)</f>
        <v/>
      </c>
      <c r="R829" s="7" t="n"/>
      <c r="X829" s="7" t="n"/>
      <c r="Y829" s="7" t="n"/>
      <c r="Z829" s="7">
        <f>IF($D829="","",Y829*AD829/100)</f>
        <v/>
      </c>
      <c r="AA829" s="7">
        <f>IF($D829="","",Y829-Z829)</f>
        <v/>
      </c>
      <c r="AB829" s="7">
        <f>IF($D829="","",AA829-Q829)</f>
        <v/>
      </c>
      <c r="AD829">
        <f>IF($D829="","",IF($AP829=1,0,IF($AO829=1,Settings!$C$6,Settings!$C$7))*100)</f>
        <v/>
      </c>
      <c r="AH829" s="7" t="n"/>
      <c r="AK829" s="11" t="n"/>
      <c r="AM829">
        <f>IF($D829="","",IF(COUNTIF($D$2:$D829,$D829)=1,1,0))</f>
        <v/>
      </c>
      <c r="AN829">
        <f>IF($AM829=1,SUMPRODUCT(--($AQ$2:$AQ$1001&lt;$AQ829))+1,"")</f>
        <v/>
      </c>
      <c r="AO829">
        <f>IF($D829="","",IF(OR($U829=TRUE(),$U829="TRUE"),1,0))</f>
        <v/>
      </c>
      <c r="AP829">
        <f>IF($D829="","",IF($AC829="Yes",1,0))</f>
        <v/>
      </c>
      <c r="AQ829">
        <f>IF($AM829=1,IFERROR(VALUE(MID($D829,2,20)),1000000000)+ROW()/100000,"")</f>
        <v/>
      </c>
    </row>
    <row r="830">
      <c r="G830" s="11" t="n"/>
      <c r="Q830" s="7">
        <f>IF($D830="","",P830*Y830/100)</f>
        <v/>
      </c>
      <c r="R830" s="7" t="n"/>
      <c r="X830" s="7" t="n"/>
      <c r="Y830" s="7" t="n"/>
      <c r="Z830" s="7">
        <f>IF($D830="","",Y830*AD830/100)</f>
        <v/>
      </c>
      <c r="AA830" s="7">
        <f>IF($D830="","",Y830-Z830)</f>
        <v/>
      </c>
      <c r="AB830" s="7">
        <f>IF($D830="","",AA830-Q830)</f>
        <v/>
      </c>
      <c r="AD830">
        <f>IF($D830="","",IF($AP830=1,0,IF($AO830=1,Settings!$C$6,Settings!$C$7))*100)</f>
        <v/>
      </c>
      <c r="AH830" s="7" t="n"/>
      <c r="AK830" s="11" t="n"/>
      <c r="AM830">
        <f>IF($D830="","",IF(COUNTIF($D$2:$D830,$D830)=1,1,0))</f>
        <v/>
      </c>
      <c r="AN830">
        <f>IF($AM830=1,SUMPRODUCT(--($AQ$2:$AQ$1001&lt;$AQ830))+1,"")</f>
        <v/>
      </c>
      <c r="AO830">
        <f>IF($D830="","",IF(OR($U830=TRUE(),$U830="TRUE"),1,0))</f>
        <v/>
      </c>
      <c r="AP830">
        <f>IF($D830="","",IF($AC830="Yes",1,0))</f>
        <v/>
      </c>
      <c r="AQ830">
        <f>IF($AM830=1,IFERROR(VALUE(MID($D830,2,20)),1000000000)+ROW()/100000,"")</f>
        <v/>
      </c>
    </row>
    <row r="831">
      <c r="G831" s="11" t="n"/>
      <c r="Q831" s="7">
        <f>IF($D831="","",P831*Y831/100)</f>
        <v/>
      </c>
      <c r="R831" s="7" t="n"/>
      <c r="X831" s="7" t="n"/>
      <c r="Y831" s="7" t="n"/>
      <c r="Z831" s="7">
        <f>IF($D831="","",Y831*AD831/100)</f>
        <v/>
      </c>
      <c r="AA831" s="7">
        <f>IF($D831="","",Y831-Z831)</f>
        <v/>
      </c>
      <c r="AB831" s="7">
        <f>IF($D831="","",AA831-Q831)</f>
        <v/>
      </c>
      <c r="AD831">
        <f>IF($D831="","",IF($AP831=1,0,IF($AO831=1,Settings!$C$6,Settings!$C$7))*100)</f>
        <v/>
      </c>
      <c r="AH831" s="7" t="n"/>
      <c r="AK831" s="11" t="n"/>
      <c r="AM831">
        <f>IF($D831="","",IF(COUNTIF($D$2:$D831,$D831)=1,1,0))</f>
        <v/>
      </c>
      <c r="AN831">
        <f>IF($AM831=1,SUMPRODUCT(--($AQ$2:$AQ$1001&lt;$AQ831))+1,"")</f>
        <v/>
      </c>
      <c r="AO831">
        <f>IF($D831="","",IF(OR($U831=TRUE(),$U831="TRUE"),1,0))</f>
        <v/>
      </c>
      <c r="AP831">
        <f>IF($D831="","",IF($AC831="Yes",1,0))</f>
        <v/>
      </c>
      <c r="AQ831">
        <f>IF($AM831=1,IFERROR(VALUE(MID($D831,2,20)),1000000000)+ROW()/100000,"")</f>
        <v/>
      </c>
    </row>
    <row r="832">
      <c r="G832" s="11" t="n"/>
      <c r="Q832" s="7">
        <f>IF($D832="","",P832*Y832/100)</f>
        <v/>
      </c>
      <c r="R832" s="7" t="n"/>
      <c r="X832" s="7" t="n"/>
      <c r="Y832" s="7" t="n"/>
      <c r="Z832" s="7">
        <f>IF($D832="","",Y832*AD832/100)</f>
        <v/>
      </c>
      <c r="AA832" s="7">
        <f>IF($D832="","",Y832-Z832)</f>
        <v/>
      </c>
      <c r="AB832" s="7">
        <f>IF($D832="","",AA832-Q832)</f>
        <v/>
      </c>
      <c r="AD832">
        <f>IF($D832="","",IF($AP832=1,0,IF($AO832=1,Settings!$C$6,Settings!$C$7))*100)</f>
        <v/>
      </c>
      <c r="AH832" s="7" t="n"/>
      <c r="AK832" s="11" t="n"/>
      <c r="AM832">
        <f>IF($D832="","",IF(COUNTIF($D$2:$D832,$D832)=1,1,0))</f>
        <v/>
      </c>
      <c r="AN832">
        <f>IF($AM832=1,SUMPRODUCT(--($AQ$2:$AQ$1001&lt;$AQ832))+1,"")</f>
        <v/>
      </c>
      <c r="AO832">
        <f>IF($D832="","",IF(OR($U832=TRUE(),$U832="TRUE"),1,0))</f>
        <v/>
      </c>
      <c r="AP832">
        <f>IF($D832="","",IF($AC832="Yes",1,0))</f>
        <v/>
      </c>
      <c r="AQ832">
        <f>IF($AM832=1,IFERROR(VALUE(MID($D832,2,20)),1000000000)+ROW()/100000,"")</f>
        <v/>
      </c>
    </row>
    <row r="833">
      <c r="G833" s="11" t="n"/>
      <c r="Q833" s="7">
        <f>IF($D833="","",P833*Y833/100)</f>
        <v/>
      </c>
      <c r="R833" s="7" t="n"/>
      <c r="X833" s="7" t="n"/>
      <c r="Y833" s="7" t="n"/>
      <c r="Z833" s="7">
        <f>IF($D833="","",Y833*AD833/100)</f>
        <v/>
      </c>
      <c r="AA833" s="7">
        <f>IF($D833="","",Y833-Z833)</f>
        <v/>
      </c>
      <c r="AB833" s="7">
        <f>IF($D833="","",AA833-Q833)</f>
        <v/>
      </c>
      <c r="AD833">
        <f>IF($D833="","",IF($AP833=1,0,IF($AO833=1,Settings!$C$6,Settings!$C$7))*100)</f>
        <v/>
      </c>
      <c r="AH833" s="7" t="n"/>
      <c r="AK833" s="11" t="n"/>
      <c r="AM833">
        <f>IF($D833="","",IF(COUNTIF($D$2:$D833,$D833)=1,1,0))</f>
        <v/>
      </c>
      <c r="AN833">
        <f>IF($AM833=1,SUMPRODUCT(--($AQ$2:$AQ$1001&lt;$AQ833))+1,"")</f>
        <v/>
      </c>
      <c r="AO833">
        <f>IF($D833="","",IF(OR($U833=TRUE(),$U833="TRUE"),1,0))</f>
        <v/>
      </c>
      <c r="AP833">
        <f>IF($D833="","",IF($AC833="Yes",1,0))</f>
        <v/>
      </c>
      <c r="AQ833">
        <f>IF($AM833=1,IFERROR(VALUE(MID($D833,2,20)),1000000000)+ROW()/100000,"")</f>
        <v/>
      </c>
    </row>
    <row r="834">
      <c r="G834" s="11" t="n"/>
      <c r="Q834" s="7">
        <f>IF($D834="","",P834*Y834/100)</f>
        <v/>
      </c>
      <c r="R834" s="7" t="n"/>
      <c r="X834" s="7" t="n"/>
      <c r="Y834" s="7" t="n"/>
      <c r="Z834" s="7">
        <f>IF($D834="","",Y834*AD834/100)</f>
        <v/>
      </c>
      <c r="AA834" s="7">
        <f>IF($D834="","",Y834-Z834)</f>
        <v/>
      </c>
      <c r="AB834" s="7">
        <f>IF($D834="","",AA834-Q834)</f>
        <v/>
      </c>
      <c r="AD834">
        <f>IF($D834="","",IF($AP834=1,0,IF($AO834=1,Settings!$C$6,Settings!$C$7))*100)</f>
        <v/>
      </c>
      <c r="AH834" s="7" t="n"/>
      <c r="AK834" s="11" t="n"/>
      <c r="AM834">
        <f>IF($D834="","",IF(COUNTIF($D$2:$D834,$D834)=1,1,0))</f>
        <v/>
      </c>
      <c r="AN834">
        <f>IF($AM834=1,SUMPRODUCT(--($AQ$2:$AQ$1001&lt;$AQ834))+1,"")</f>
        <v/>
      </c>
      <c r="AO834">
        <f>IF($D834="","",IF(OR($U834=TRUE(),$U834="TRUE"),1,0))</f>
        <v/>
      </c>
      <c r="AP834">
        <f>IF($D834="","",IF($AC834="Yes",1,0))</f>
        <v/>
      </c>
      <c r="AQ834">
        <f>IF($AM834=1,IFERROR(VALUE(MID($D834,2,20)),1000000000)+ROW()/100000,"")</f>
        <v/>
      </c>
    </row>
    <row r="835">
      <c r="G835" s="11" t="n"/>
      <c r="Q835" s="7">
        <f>IF($D835="","",P835*Y835/100)</f>
        <v/>
      </c>
      <c r="R835" s="7" t="n"/>
      <c r="X835" s="7" t="n"/>
      <c r="Y835" s="7" t="n"/>
      <c r="Z835" s="7">
        <f>IF($D835="","",Y835*AD835/100)</f>
        <v/>
      </c>
      <c r="AA835" s="7">
        <f>IF($D835="","",Y835-Z835)</f>
        <v/>
      </c>
      <c r="AB835" s="7">
        <f>IF($D835="","",AA835-Q835)</f>
        <v/>
      </c>
      <c r="AD835">
        <f>IF($D835="","",IF($AP835=1,0,IF($AO835=1,Settings!$C$6,Settings!$C$7))*100)</f>
        <v/>
      </c>
      <c r="AH835" s="7" t="n"/>
      <c r="AK835" s="11" t="n"/>
      <c r="AM835">
        <f>IF($D835="","",IF(COUNTIF($D$2:$D835,$D835)=1,1,0))</f>
        <v/>
      </c>
      <c r="AN835">
        <f>IF($AM835=1,SUMPRODUCT(--($AQ$2:$AQ$1001&lt;$AQ835))+1,"")</f>
        <v/>
      </c>
      <c r="AO835">
        <f>IF($D835="","",IF(OR($U835=TRUE(),$U835="TRUE"),1,0))</f>
        <v/>
      </c>
      <c r="AP835">
        <f>IF($D835="","",IF($AC835="Yes",1,0))</f>
        <v/>
      </c>
      <c r="AQ835">
        <f>IF($AM835=1,IFERROR(VALUE(MID($D835,2,20)),1000000000)+ROW()/100000,"")</f>
        <v/>
      </c>
    </row>
    <row r="836">
      <c r="G836" s="11" t="n"/>
      <c r="Q836" s="7">
        <f>IF($D836="","",P836*Y836/100)</f>
        <v/>
      </c>
      <c r="R836" s="7" t="n"/>
      <c r="X836" s="7" t="n"/>
      <c r="Y836" s="7" t="n"/>
      <c r="Z836" s="7">
        <f>IF($D836="","",Y836*AD836/100)</f>
        <v/>
      </c>
      <c r="AA836" s="7">
        <f>IF($D836="","",Y836-Z836)</f>
        <v/>
      </c>
      <c r="AB836" s="7">
        <f>IF($D836="","",AA836-Q836)</f>
        <v/>
      </c>
      <c r="AD836">
        <f>IF($D836="","",IF($AP836=1,0,IF($AO836=1,Settings!$C$6,Settings!$C$7))*100)</f>
        <v/>
      </c>
      <c r="AH836" s="7" t="n"/>
      <c r="AK836" s="11" t="n"/>
      <c r="AM836">
        <f>IF($D836="","",IF(COUNTIF($D$2:$D836,$D836)=1,1,0))</f>
        <v/>
      </c>
      <c r="AN836">
        <f>IF($AM836=1,SUMPRODUCT(--($AQ$2:$AQ$1001&lt;$AQ836))+1,"")</f>
        <v/>
      </c>
      <c r="AO836">
        <f>IF($D836="","",IF(OR($U836=TRUE(),$U836="TRUE"),1,0))</f>
        <v/>
      </c>
      <c r="AP836">
        <f>IF($D836="","",IF($AC836="Yes",1,0))</f>
        <v/>
      </c>
      <c r="AQ836">
        <f>IF($AM836=1,IFERROR(VALUE(MID($D836,2,20)),1000000000)+ROW()/100000,"")</f>
        <v/>
      </c>
    </row>
    <row r="837">
      <c r="G837" s="11" t="n"/>
      <c r="Q837" s="7">
        <f>IF($D837="","",P837*Y837/100)</f>
        <v/>
      </c>
      <c r="R837" s="7" t="n"/>
      <c r="X837" s="7" t="n"/>
      <c r="Y837" s="7" t="n"/>
      <c r="Z837" s="7">
        <f>IF($D837="","",Y837*AD837/100)</f>
        <v/>
      </c>
      <c r="AA837" s="7">
        <f>IF($D837="","",Y837-Z837)</f>
        <v/>
      </c>
      <c r="AB837" s="7">
        <f>IF($D837="","",AA837-Q837)</f>
        <v/>
      </c>
      <c r="AD837">
        <f>IF($D837="","",IF($AP837=1,0,IF($AO837=1,Settings!$C$6,Settings!$C$7))*100)</f>
        <v/>
      </c>
      <c r="AH837" s="7" t="n"/>
      <c r="AK837" s="11" t="n"/>
      <c r="AM837">
        <f>IF($D837="","",IF(COUNTIF($D$2:$D837,$D837)=1,1,0))</f>
        <v/>
      </c>
      <c r="AN837">
        <f>IF($AM837=1,SUMPRODUCT(--($AQ$2:$AQ$1001&lt;$AQ837))+1,"")</f>
        <v/>
      </c>
      <c r="AO837">
        <f>IF($D837="","",IF(OR($U837=TRUE(),$U837="TRUE"),1,0))</f>
        <v/>
      </c>
      <c r="AP837">
        <f>IF($D837="","",IF($AC837="Yes",1,0))</f>
        <v/>
      </c>
      <c r="AQ837">
        <f>IF($AM837=1,IFERROR(VALUE(MID($D837,2,20)),1000000000)+ROW()/100000,"")</f>
        <v/>
      </c>
    </row>
    <row r="838">
      <c r="G838" s="11" t="n"/>
      <c r="Q838" s="7">
        <f>IF($D838="","",P838*Y838/100)</f>
        <v/>
      </c>
      <c r="R838" s="7" t="n"/>
      <c r="X838" s="7" t="n"/>
      <c r="Y838" s="7" t="n"/>
      <c r="Z838" s="7">
        <f>IF($D838="","",Y838*AD838/100)</f>
        <v/>
      </c>
      <c r="AA838" s="7">
        <f>IF($D838="","",Y838-Z838)</f>
        <v/>
      </c>
      <c r="AB838" s="7">
        <f>IF($D838="","",AA838-Q838)</f>
        <v/>
      </c>
      <c r="AD838">
        <f>IF($D838="","",IF($AP838=1,0,IF($AO838=1,Settings!$C$6,Settings!$C$7))*100)</f>
        <v/>
      </c>
      <c r="AH838" s="7" t="n"/>
      <c r="AK838" s="11" t="n"/>
      <c r="AM838">
        <f>IF($D838="","",IF(COUNTIF($D$2:$D838,$D838)=1,1,0))</f>
        <v/>
      </c>
      <c r="AN838">
        <f>IF($AM838=1,SUMPRODUCT(--($AQ$2:$AQ$1001&lt;$AQ838))+1,"")</f>
        <v/>
      </c>
      <c r="AO838">
        <f>IF($D838="","",IF(OR($U838=TRUE(),$U838="TRUE"),1,0))</f>
        <v/>
      </c>
      <c r="AP838">
        <f>IF($D838="","",IF($AC838="Yes",1,0))</f>
        <v/>
      </c>
      <c r="AQ838">
        <f>IF($AM838=1,IFERROR(VALUE(MID($D838,2,20)),1000000000)+ROW()/100000,"")</f>
        <v/>
      </c>
    </row>
    <row r="839">
      <c r="G839" s="11" t="n"/>
      <c r="Q839" s="7">
        <f>IF($D839="","",P839*Y839/100)</f>
        <v/>
      </c>
      <c r="R839" s="7" t="n"/>
      <c r="X839" s="7" t="n"/>
      <c r="Y839" s="7" t="n"/>
      <c r="Z839" s="7">
        <f>IF($D839="","",Y839*AD839/100)</f>
        <v/>
      </c>
      <c r="AA839" s="7">
        <f>IF($D839="","",Y839-Z839)</f>
        <v/>
      </c>
      <c r="AB839" s="7">
        <f>IF($D839="","",AA839-Q839)</f>
        <v/>
      </c>
      <c r="AD839">
        <f>IF($D839="","",IF($AP839=1,0,IF($AO839=1,Settings!$C$6,Settings!$C$7))*100)</f>
        <v/>
      </c>
      <c r="AH839" s="7" t="n"/>
      <c r="AK839" s="11" t="n"/>
      <c r="AM839">
        <f>IF($D839="","",IF(COUNTIF($D$2:$D839,$D839)=1,1,0))</f>
        <v/>
      </c>
      <c r="AN839">
        <f>IF($AM839=1,SUMPRODUCT(--($AQ$2:$AQ$1001&lt;$AQ839))+1,"")</f>
        <v/>
      </c>
      <c r="AO839">
        <f>IF($D839="","",IF(OR($U839=TRUE(),$U839="TRUE"),1,0))</f>
        <v/>
      </c>
      <c r="AP839">
        <f>IF($D839="","",IF($AC839="Yes",1,0))</f>
        <v/>
      </c>
      <c r="AQ839">
        <f>IF($AM839=1,IFERROR(VALUE(MID($D839,2,20)),1000000000)+ROW()/100000,"")</f>
        <v/>
      </c>
    </row>
    <row r="840">
      <c r="G840" s="11" t="n"/>
      <c r="Q840" s="7">
        <f>IF($D840="","",P840*Y840/100)</f>
        <v/>
      </c>
      <c r="R840" s="7" t="n"/>
      <c r="X840" s="7" t="n"/>
      <c r="Y840" s="7" t="n"/>
      <c r="Z840" s="7">
        <f>IF($D840="","",Y840*AD840/100)</f>
        <v/>
      </c>
      <c r="AA840" s="7">
        <f>IF($D840="","",Y840-Z840)</f>
        <v/>
      </c>
      <c r="AB840" s="7">
        <f>IF($D840="","",AA840-Q840)</f>
        <v/>
      </c>
      <c r="AD840">
        <f>IF($D840="","",IF($AP840=1,0,IF($AO840=1,Settings!$C$6,Settings!$C$7))*100)</f>
        <v/>
      </c>
      <c r="AH840" s="7" t="n"/>
      <c r="AK840" s="11" t="n"/>
      <c r="AM840">
        <f>IF($D840="","",IF(COUNTIF($D$2:$D840,$D840)=1,1,0))</f>
        <v/>
      </c>
      <c r="AN840">
        <f>IF($AM840=1,SUMPRODUCT(--($AQ$2:$AQ$1001&lt;$AQ840))+1,"")</f>
        <v/>
      </c>
      <c r="AO840">
        <f>IF($D840="","",IF(OR($U840=TRUE(),$U840="TRUE"),1,0))</f>
        <v/>
      </c>
      <c r="AP840">
        <f>IF($D840="","",IF($AC840="Yes",1,0))</f>
        <v/>
      </c>
      <c r="AQ840">
        <f>IF($AM840=1,IFERROR(VALUE(MID($D840,2,20)),1000000000)+ROW()/100000,"")</f>
        <v/>
      </c>
    </row>
    <row r="841">
      <c r="G841" s="11" t="n"/>
      <c r="Q841" s="7">
        <f>IF($D841="","",P841*Y841/100)</f>
        <v/>
      </c>
      <c r="R841" s="7" t="n"/>
      <c r="X841" s="7" t="n"/>
      <c r="Y841" s="7" t="n"/>
      <c r="Z841" s="7">
        <f>IF($D841="","",Y841*AD841/100)</f>
        <v/>
      </c>
      <c r="AA841" s="7">
        <f>IF($D841="","",Y841-Z841)</f>
        <v/>
      </c>
      <c r="AB841" s="7">
        <f>IF($D841="","",AA841-Q841)</f>
        <v/>
      </c>
      <c r="AD841">
        <f>IF($D841="","",IF($AP841=1,0,IF($AO841=1,Settings!$C$6,Settings!$C$7))*100)</f>
        <v/>
      </c>
      <c r="AH841" s="7" t="n"/>
      <c r="AK841" s="11" t="n"/>
      <c r="AM841">
        <f>IF($D841="","",IF(COUNTIF($D$2:$D841,$D841)=1,1,0))</f>
        <v/>
      </c>
      <c r="AN841">
        <f>IF($AM841=1,SUMPRODUCT(--($AQ$2:$AQ$1001&lt;$AQ841))+1,"")</f>
        <v/>
      </c>
      <c r="AO841">
        <f>IF($D841="","",IF(OR($U841=TRUE(),$U841="TRUE"),1,0))</f>
        <v/>
      </c>
      <c r="AP841">
        <f>IF($D841="","",IF($AC841="Yes",1,0))</f>
        <v/>
      </c>
      <c r="AQ841">
        <f>IF($AM841=1,IFERROR(VALUE(MID($D841,2,20)),1000000000)+ROW()/100000,"")</f>
        <v/>
      </c>
    </row>
    <row r="842">
      <c r="G842" s="11" t="n"/>
      <c r="Q842" s="7">
        <f>IF($D842="","",P842*Y842/100)</f>
        <v/>
      </c>
      <c r="R842" s="7" t="n"/>
      <c r="X842" s="7" t="n"/>
      <c r="Y842" s="7" t="n"/>
      <c r="Z842" s="7">
        <f>IF($D842="","",Y842*AD842/100)</f>
        <v/>
      </c>
      <c r="AA842" s="7">
        <f>IF($D842="","",Y842-Z842)</f>
        <v/>
      </c>
      <c r="AB842" s="7">
        <f>IF($D842="","",AA842-Q842)</f>
        <v/>
      </c>
      <c r="AD842">
        <f>IF($D842="","",IF($AP842=1,0,IF($AO842=1,Settings!$C$6,Settings!$C$7))*100)</f>
        <v/>
      </c>
      <c r="AH842" s="7" t="n"/>
      <c r="AK842" s="11" t="n"/>
      <c r="AM842">
        <f>IF($D842="","",IF(COUNTIF($D$2:$D842,$D842)=1,1,0))</f>
        <v/>
      </c>
      <c r="AN842">
        <f>IF($AM842=1,SUMPRODUCT(--($AQ$2:$AQ$1001&lt;$AQ842))+1,"")</f>
        <v/>
      </c>
      <c r="AO842">
        <f>IF($D842="","",IF(OR($U842=TRUE(),$U842="TRUE"),1,0))</f>
        <v/>
      </c>
      <c r="AP842">
        <f>IF($D842="","",IF($AC842="Yes",1,0))</f>
        <v/>
      </c>
      <c r="AQ842">
        <f>IF($AM842=1,IFERROR(VALUE(MID($D842,2,20)),1000000000)+ROW()/100000,"")</f>
        <v/>
      </c>
    </row>
    <row r="843">
      <c r="G843" s="11" t="n"/>
      <c r="Q843" s="7">
        <f>IF($D843="","",P843*Y843/100)</f>
        <v/>
      </c>
      <c r="R843" s="7" t="n"/>
      <c r="X843" s="7" t="n"/>
      <c r="Y843" s="7" t="n"/>
      <c r="Z843" s="7">
        <f>IF($D843="","",Y843*AD843/100)</f>
        <v/>
      </c>
      <c r="AA843" s="7">
        <f>IF($D843="","",Y843-Z843)</f>
        <v/>
      </c>
      <c r="AB843" s="7">
        <f>IF($D843="","",AA843-Q843)</f>
        <v/>
      </c>
      <c r="AD843">
        <f>IF($D843="","",IF($AP843=1,0,IF($AO843=1,Settings!$C$6,Settings!$C$7))*100)</f>
        <v/>
      </c>
      <c r="AH843" s="7" t="n"/>
      <c r="AK843" s="11" t="n"/>
      <c r="AM843">
        <f>IF($D843="","",IF(COUNTIF($D$2:$D843,$D843)=1,1,0))</f>
        <v/>
      </c>
      <c r="AN843">
        <f>IF($AM843=1,SUMPRODUCT(--($AQ$2:$AQ$1001&lt;$AQ843))+1,"")</f>
        <v/>
      </c>
      <c r="AO843">
        <f>IF($D843="","",IF(OR($U843=TRUE(),$U843="TRUE"),1,0))</f>
        <v/>
      </c>
      <c r="AP843">
        <f>IF($D843="","",IF($AC843="Yes",1,0))</f>
        <v/>
      </c>
      <c r="AQ843">
        <f>IF($AM843=1,IFERROR(VALUE(MID($D843,2,20)),1000000000)+ROW()/100000,"")</f>
        <v/>
      </c>
    </row>
    <row r="844">
      <c r="G844" s="11" t="n"/>
      <c r="Q844" s="7">
        <f>IF($D844="","",P844*Y844/100)</f>
        <v/>
      </c>
      <c r="R844" s="7" t="n"/>
      <c r="X844" s="7" t="n"/>
      <c r="Y844" s="7" t="n"/>
      <c r="Z844" s="7">
        <f>IF($D844="","",Y844*AD844/100)</f>
        <v/>
      </c>
      <c r="AA844" s="7">
        <f>IF($D844="","",Y844-Z844)</f>
        <v/>
      </c>
      <c r="AB844" s="7">
        <f>IF($D844="","",AA844-Q844)</f>
        <v/>
      </c>
      <c r="AD844">
        <f>IF($D844="","",IF($AP844=1,0,IF($AO844=1,Settings!$C$6,Settings!$C$7))*100)</f>
        <v/>
      </c>
      <c r="AH844" s="7" t="n"/>
      <c r="AK844" s="11" t="n"/>
      <c r="AM844">
        <f>IF($D844="","",IF(COUNTIF($D$2:$D844,$D844)=1,1,0))</f>
        <v/>
      </c>
      <c r="AN844">
        <f>IF($AM844=1,SUMPRODUCT(--($AQ$2:$AQ$1001&lt;$AQ844))+1,"")</f>
        <v/>
      </c>
      <c r="AO844">
        <f>IF($D844="","",IF(OR($U844=TRUE(),$U844="TRUE"),1,0))</f>
        <v/>
      </c>
      <c r="AP844">
        <f>IF($D844="","",IF($AC844="Yes",1,0))</f>
        <v/>
      </c>
      <c r="AQ844">
        <f>IF($AM844=1,IFERROR(VALUE(MID($D844,2,20)),1000000000)+ROW()/100000,"")</f>
        <v/>
      </c>
    </row>
    <row r="845">
      <c r="G845" s="11" t="n"/>
      <c r="Q845" s="7">
        <f>IF($D845="","",P845*Y845/100)</f>
        <v/>
      </c>
      <c r="R845" s="7" t="n"/>
      <c r="X845" s="7" t="n"/>
      <c r="Y845" s="7" t="n"/>
      <c r="Z845" s="7">
        <f>IF($D845="","",Y845*AD845/100)</f>
        <v/>
      </c>
      <c r="AA845" s="7">
        <f>IF($D845="","",Y845-Z845)</f>
        <v/>
      </c>
      <c r="AB845" s="7">
        <f>IF($D845="","",AA845-Q845)</f>
        <v/>
      </c>
      <c r="AD845">
        <f>IF($D845="","",IF($AP845=1,0,IF($AO845=1,Settings!$C$6,Settings!$C$7))*100)</f>
        <v/>
      </c>
      <c r="AH845" s="7" t="n"/>
      <c r="AK845" s="11" t="n"/>
      <c r="AM845">
        <f>IF($D845="","",IF(COUNTIF($D$2:$D845,$D845)=1,1,0))</f>
        <v/>
      </c>
      <c r="AN845">
        <f>IF($AM845=1,SUMPRODUCT(--($AQ$2:$AQ$1001&lt;$AQ845))+1,"")</f>
        <v/>
      </c>
      <c r="AO845">
        <f>IF($D845="","",IF(OR($U845=TRUE(),$U845="TRUE"),1,0))</f>
        <v/>
      </c>
      <c r="AP845">
        <f>IF($D845="","",IF($AC845="Yes",1,0))</f>
        <v/>
      </c>
      <c r="AQ845">
        <f>IF($AM845=1,IFERROR(VALUE(MID($D845,2,20)),1000000000)+ROW()/100000,"")</f>
        <v/>
      </c>
    </row>
    <row r="846">
      <c r="G846" s="11" t="n"/>
      <c r="Q846" s="7">
        <f>IF($D846="","",P846*Y846/100)</f>
        <v/>
      </c>
      <c r="R846" s="7" t="n"/>
      <c r="X846" s="7" t="n"/>
      <c r="Y846" s="7" t="n"/>
      <c r="Z846" s="7">
        <f>IF($D846="","",Y846*AD846/100)</f>
        <v/>
      </c>
      <c r="AA846" s="7">
        <f>IF($D846="","",Y846-Z846)</f>
        <v/>
      </c>
      <c r="AB846" s="7">
        <f>IF($D846="","",AA846-Q846)</f>
        <v/>
      </c>
      <c r="AD846">
        <f>IF($D846="","",IF($AP846=1,0,IF($AO846=1,Settings!$C$6,Settings!$C$7))*100)</f>
        <v/>
      </c>
      <c r="AH846" s="7" t="n"/>
      <c r="AK846" s="11" t="n"/>
      <c r="AM846">
        <f>IF($D846="","",IF(COUNTIF($D$2:$D846,$D846)=1,1,0))</f>
        <v/>
      </c>
      <c r="AN846">
        <f>IF($AM846=1,SUMPRODUCT(--($AQ$2:$AQ$1001&lt;$AQ846))+1,"")</f>
        <v/>
      </c>
      <c r="AO846">
        <f>IF($D846="","",IF(OR($U846=TRUE(),$U846="TRUE"),1,0))</f>
        <v/>
      </c>
      <c r="AP846">
        <f>IF($D846="","",IF($AC846="Yes",1,0))</f>
        <v/>
      </c>
      <c r="AQ846">
        <f>IF($AM846=1,IFERROR(VALUE(MID($D846,2,20)),1000000000)+ROW()/100000,"")</f>
        <v/>
      </c>
    </row>
    <row r="847">
      <c r="G847" s="11" t="n"/>
      <c r="Q847" s="7">
        <f>IF($D847="","",P847*Y847/100)</f>
        <v/>
      </c>
      <c r="R847" s="7" t="n"/>
      <c r="X847" s="7" t="n"/>
      <c r="Y847" s="7" t="n"/>
      <c r="Z847" s="7">
        <f>IF($D847="","",Y847*AD847/100)</f>
        <v/>
      </c>
      <c r="AA847" s="7">
        <f>IF($D847="","",Y847-Z847)</f>
        <v/>
      </c>
      <c r="AB847" s="7">
        <f>IF($D847="","",AA847-Q847)</f>
        <v/>
      </c>
      <c r="AD847">
        <f>IF($D847="","",IF($AP847=1,0,IF($AO847=1,Settings!$C$6,Settings!$C$7))*100)</f>
        <v/>
      </c>
      <c r="AH847" s="7" t="n"/>
      <c r="AK847" s="11" t="n"/>
      <c r="AM847">
        <f>IF($D847="","",IF(COUNTIF($D$2:$D847,$D847)=1,1,0))</f>
        <v/>
      </c>
      <c r="AN847">
        <f>IF($AM847=1,SUMPRODUCT(--($AQ$2:$AQ$1001&lt;$AQ847))+1,"")</f>
        <v/>
      </c>
      <c r="AO847">
        <f>IF($D847="","",IF(OR($U847=TRUE(),$U847="TRUE"),1,0))</f>
        <v/>
      </c>
      <c r="AP847">
        <f>IF($D847="","",IF($AC847="Yes",1,0))</f>
        <v/>
      </c>
      <c r="AQ847">
        <f>IF($AM847=1,IFERROR(VALUE(MID($D847,2,20)),1000000000)+ROW()/100000,"")</f>
        <v/>
      </c>
    </row>
    <row r="848">
      <c r="G848" s="11" t="n"/>
      <c r="Q848" s="7">
        <f>IF($D848="","",P848*Y848/100)</f>
        <v/>
      </c>
      <c r="R848" s="7" t="n"/>
      <c r="X848" s="7" t="n"/>
      <c r="Y848" s="7" t="n"/>
      <c r="Z848" s="7">
        <f>IF($D848="","",Y848*AD848/100)</f>
        <v/>
      </c>
      <c r="AA848" s="7">
        <f>IF($D848="","",Y848-Z848)</f>
        <v/>
      </c>
      <c r="AB848" s="7">
        <f>IF($D848="","",AA848-Q848)</f>
        <v/>
      </c>
      <c r="AD848">
        <f>IF($D848="","",IF($AP848=1,0,IF($AO848=1,Settings!$C$6,Settings!$C$7))*100)</f>
        <v/>
      </c>
      <c r="AH848" s="7" t="n"/>
      <c r="AK848" s="11" t="n"/>
      <c r="AM848">
        <f>IF($D848="","",IF(COUNTIF($D$2:$D848,$D848)=1,1,0))</f>
        <v/>
      </c>
      <c r="AN848">
        <f>IF($AM848=1,SUMPRODUCT(--($AQ$2:$AQ$1001&lt;$AQ848))+1,"")</f>
        <v/>
      </c>
      <c r="AO848">
        <f>IF($D848="","",IF(OR($U848=TRUE(),$U848="TRUE"),1,0))</f>
        <v/>
      </c>
      <c r="AP848">
        <f>IF($D848="","",IF($AC848="Yes",1,0))</f>
        <v/>
      </c>
      <c r="AQ848">
        <f>IF($AM848=1,IFERROR(VALUE(MID($D848,2,20)),1000000000)+ROW()/100000,"")</f>
        <v/>
      </c>
    </row>
    <row r="849">
      <c r="G849" s="11" t="n"/>
      <c r="Q849" s="7">
        <f>IF($D849="","",P849*Y849/100)</f>
        <v/>
      </c>
      <c r="R849" s="7" t="n"/>
      <c r="X849" s="7" t="n"/>
      <c r="Y849" s="7" t="n"/>
      <c r="Z849" s="7">
        <f>IF($D849="","",Y849*AD849/100)</f>
        <v/>
      </c>
      <c r="AA849" s="7">
        <f>IF($D849="","",Y849-Z849)</f>
        <v/>
      </c>
      <c r="AB849" s="7">
        <f>IF($D849="","",AA849-Q849)</f>
        <v/>
      </c>
      <c r="AD849">
        <f>IF($D849="","",IF($AP849=1,0,IF($AO849=1,Settings!$C$6,Settings!$C$7))*100)</f>
        <v/>
      </c>
      <c r="AH849" s="7" t="n"/>
      <c r="AK849" s="11" t="n"/>
      <c r="AM849">
        <f>IF($D849="","",IF(COUNTIF($D$2:$D849,$D849)=1,1,0))</f>
        <v/>
      </c>
      <c r="AN849">
        <f>IF($AM849=1,SUMPRODUCT(--($AQ$2:$AQ$1001&lt;$AQ849))+1,"")</f>
        <v/>
      </c>
      <c r="AO849">
        <f>IF($D849="","",IF(OR($U849=TRUE(),$U849="TRUE"),1,0))</f>
        <v/>
      </c>
      <c r="AP849">
        <f>IF($D849="","",IF($AC849="Yes",1,0))</f>
        <v/>
      </c>
      <c r="AQ849">
        <f>IF($AM849=1,IFERROR(VALUE(MID($D849,2,20)),1000000000)+ROW()/100000,"")</f>
        <v/>
      </c>
    </row>
    <row r="850">
      <c r="G850" s="11" t="n"/>
      <c r="Q850" s="7">
        <f>IF($D850="","",P850*Y850/100)</f>
        <v/>
      </c>
      <c r="R850" s="7" t="n"/>
      <c r="X850" s="7" t="n"/>
      <c r="Y850" s="7" t="n"/>
      <c r="Z850" s="7">
        <f>IF($D850="","",Y850*AD850/100)</f>
        <v/>
      </c>
      <c r="AA850" s="7">
        <f>IF($D850="","",Y850-Z850)</f>
        <v/>
      </c>
      <c r="AB850" s="7">
        <f>IF($D850="","",AA850-Q850)</f>
        <v/>
      </c>
      <c r="AD850">
        <f>IF($D850="","",IF($AP850=1,0,IF($AO850=1,Settings!$C$6,Settings!$C$7))*100)</f>
        <v/>
      </c>
      <c r="AH850" s="7" t="n"/>
      <c r="AK850" s="11" t="n"/>
      <c r="AM850">
        <f>IF($D850="","",IF(COUNTIF($D$2:$D850,$D850)=1,1,0))</f>
        <v/>
      </c>
      <c r="AN850">
        <f>IF($AM850=1,SUMPRODUCT(--($AQ$2:$AQ$1001&lt;$AQ850))+1,"")</f>
        <v/>
      </c>
      <c r="AO850">
        <f>IF($D850="","",IF(OR($U850=TRUE(),$U850="TRUE"),1,0))</f>
        <v/>
      </c>
      <c r="AP850">
        <f>IF($D850="","",IF($AC850="Yes",1,0))</f>
        <v/>
      </c>
      <c r="AQ850">
        <f>IF($AM850=1,IFERROR(VALUE(MID($D850,2,20)),1000000000)+ROW()/100000,"")</f>
        <v/>
      </c>
    </row>
    <row r="851">
      <c r="G851" s="11" t="n"/>
      <c r="Q851" s="7">
        <f>IF($D851="","",P851*Y851/100)</f>
        <v/>
      </c>
      <c r="R851" s="7" t="n"/>
      <c r="X851" s="7" t="n"/>
      <c r="Y851" s="7" t="n"/>
      <c r="Z851" s="7">
        <f>IF($D851="","",Y851*AD851/100)</f>
        <v/>
      </c>
      <c r="AA851" s="7">
        <f>IF($D851="","",Y851-Z851)</f>
        <v/>
      </c>
      <c r="AB851" s="7">
        <f>IF($D851="","",AA851-Q851)</f>
        <v/>
      </c>
      <c r="AD851">
        <f>IF($D851="","",IF($AP851=1,0,IF($AO851=1,Settings!$C$6,Settings!$C$7))*100)</f>
        <v/>
      </c>
      <c r="AH851" s="7" t="n"/>
      <c r="AK851" s="11" t="n"/>
      <c r="AM851">
        <f>IF($D851="","",IF(COUNTIF($D$2:$D851,$D851)=1,1,0))</f>
        <v/>
      </c>
      <c r="AN851">
        <f>IF($AM851=1,SUMPRODUCT(--($AQ$2:$AQ$1001&lt;$AQ851))+1,"")</f>
        <v/>
      </c>
      <c r="AO851">
        <f>IF($D851="","",IF(OR($U851=TRUE(),$U851="TRUE"),1,0))</f>
        <v/>
      </c>
      <c r="AP851">
        <f>IF($D851="","",IF($AC851="Yes",1,0))</f>
        <v/>
      </c>
      <c r="AQ851">
        <f>IF($AM851=1,IFERROR(VALUE(MID($D851,2,20)),1000000000)+ROW()/100000,"")</f>
        <v/>
      </c>
    </row>
    <row r="852">
      <c r="G852" s="11" t="n"/>
      <c r="Q852" s="7">
        <f>IF($D852="","",P852*Y852/100)</f>
        <v/>
      </c>
      <c r="R852" s="7" t="n"/>
      <c r="X852" s="7" t="n"/>
      <c r="Y852" s="7" t="n"/>
      <c r="Z852" s="7">
        <f>IF($D852="","",Y852*AD852/100)</f>
        <v/>
      </c>
      <c r="AA852" s="7">
        <f>IF($D852="","",Y852-Z852)</f>
        <v/>
      </c>
      <c r="AB852" s="7">
        <f>IF($D852="","",AA852-Q852)</f>
        <v/>
      </c>
      <c r="AD852">
        <f>IF($D852="","",IF($AP852=1,0,IF($AO852=1,Settings!$C$6,Settings!$C$7))*100)</f>
        <v/>
      </c>
      <c r="AH852" s="7" t="n"/>
      <c r="AK852" s="11" t="n"/>
      <c r="AM852">
        <f>IF($D852="","",IF(COUNTIF($D$2:$D852,$D852)=1,1,0))</f>
        <v/>
      </c>
      <c r="AN852">
        <f>IF($AM852=1,SUMPRODUCT(--($AQ$2:$AQ$1001&lt;$AQ852))+1,"")</f>
        <v/>
      </c>
      <c r="AO852">
        <f>IF($D852="","",IF(OR($U852=TRUE(),$U852="TRUE"),1,0))</f>
        <v/>
      </c>
      <c r="AP852">
        <f>IF($D852="","",IF($AC852="Yes",1,0))</f>
        <v/>
      </c>
      <c r="AQ852">
        <f>IF($AM852=1,IFERROR(VALUE(MID($D852,2,20)),1000000000)+ROW()/100000,"")</f>
        <v/>
      </c>
    </row>
    <row r="853">
      <c r="G853" s="11" t="n"/>
      <c r="Q853" s="7">
        <f>IF($D853="","",P853*Y853/100)</f>
        <v/>
      </c>
      <c r="R853" s="7" t="n"/>
      <c r="X853" s="7" t="n"/>
      <c r="Y853" s="7" t="n"/>
      <c r="Z853" s="7">
        <f>IF($D853="","",Y853*AD853/100)</f>
        <v/>
      </c>
      <c r="AA853" s="7">
        <f>IF($D853="","",Y853-Z853)</f>
        <v/>
      </c>
      <c r="AB853" s="7">
        <f>IF($D853="","",AA853-Q853)</f>
        <v/>
      </c>
      <c r="AD853">
        <f>IF($D853="","",IF($AP853=1,0,IF($AO853=1,Settings!$C$6,Settings!$C$7))*100)</f>
        <v/>
      </c>
      <c r="AH853" s="7" t="n"/>
      <c r="AK853" s="11" t="n"/>
      <c r="AM853">
        <f>IF($D853="","",IF(COUNTIF($D$2:$D853,$D853)=1,1,0))</f>
        <v/>
      </c>
      <c r="AN853">
        <f>IF($AM853=1,SUMPRODUCT(--($AQ$2:$AQ$1001&lt;$AQ853))+1,"")</f>
        <v/>
      </c>
      <c r="AO853">
        <f>IF($D853="","",IF(OR($U853=TRUE(),$U853="TRUE"),1,0))</f>
        <v/>
      </c>
      <c r="AP853">
        <f>IF($D853="","",IF($AC853="Yes",1,0))</f>
        <v/>
      </c>
      <c r="AQ853">
        <f>IF($AM853=1,IFERROR(VALUE(MID($D853,2,20)),1000000000)+ROW()/100000,"")</f>
        <v/>
      </c>
    </row>
    <row r="854">
      <c r="G854" s="11" t="n"/>
      <c r="Q854" s="7">
        <f>IF($D854="","",P854*Y854/100)</f>
        <v/>
      </c>
      <c r="R854" s="7" t="n"/>
      <c r="X854" s="7" t="n"/>
      <c r="Y854" s="7" t="n"/>
      <c r="Z854" s="7">
        <f>IF($D854="","",Y854*AD854/100)</f>
        <v/>
      </c>
      <c r="AA854" s="7">
        <f>IF($D854="","",Y854-Z854)</f>
        <v/>
      </c>
      <c r="AB854" s="7">
        <f>IF($D854="","",AA854-Q854)</f>
        <v/>
      </c>
      <c r="AD854">
        <f>IF($D854="","",IF($AP854=1,0,IF($AO854=1,Settings!$C$6,Settings!$C$7))*100)</f>
        <v/>
      </c>
      <c r="AH854" s="7" t="n"/>
      <c r="AK854" s="11" t="n"/>
      <c r="AM854">
        <f>IF($D854="","",IF(COUNTIF($D$2:$D854,$D854)=1,1,0))</f>
        <v/>
      </c>
      <c r="AN854">
        <f>IF($AM854=1,SUMPRODUCT(--($AQ$2:$AQ$1001&lt;$AQ854))+1,"")</f>
        <v/>
      </c>
      <c r="AO854">
        <f>IF($D854="","",IF(OR($U854=TRUE(),$U854="TRUE"),1,0))</f>
        <v/>
      </c>
      <c r="AP854">
        <f>IF($D854="","",IF($AC854="Yes",1,0))</f>
        <v/>
      </c>
      <c r="AQ854">
        <f>IF($AM854=1,IFERROR(VALUE(MID($D854,2,20)),1000000000)+ROW()/100000,"")</f>
        <v/>
      </c>
    </row>
    <row r="855">
      <c r="G855" s="11" t="n"/>
      <c r="Q855" s="7">
        <f>IF($D855="","",P855*Y855/100)</f>
        <v/>
      </c>
      <c r="R855" s="7" t="n"/>
      <c r="X855" s="7" t="n"/>
      <c r="Y855" s="7" t="n"/>
      <c r="Z855" s="7">
        <f>IF($D855="","",Y855*AD855/100)</f>
        <v/>
      </c>
      <c r="AA855" s="7">
        <f>IF($D855="","",Y855-Z855)</f>
        <v/>
      </c>
      <c r="AB855" s="7">
        <f>IF($D855="","",AA855-Q855)</f>
        <v/>
      </c>
      <c r="AD855">
        <f>IF($D855="","",IF($AP855=1,0,IF($AO855=1,Settings!$C$6,Settings!$C$7))*100)</f>
        <v/>
      </c>
      <c r="AH855" s="7" t="n"/>
      <c r="AK855" s="11" t="n"/>
      <c r="AM855">
        <f>IF($D855="","",IF(COUNTIF($D$2:$D855,$D855)=1,1,0))</f>
        <v/>
      </c>
      <c r="AN855">
        <f>IF($AM855=1,SUMPRODUCT(--($AQ$2:$AQ$1001&lt;$AQ855))+1,"")</f>
        <v/>
      </c>
      <c r="AO855">
        <f>IF($D855="","",IF(OR($U855=TRUE(),$U855="TRUE"),1,0))</f>
        <v/>
      </c>
      <c r="AP855">
        <f>IF($D855="","",IF($AC855="Yes",1,0))</f>
        <v/>
      </c>
      <c r="AQ855">
        <f>IF($AM855=1,IFERROR(VALUE(MID($D855,2,20)),1000000000)+ROW()/100000,"")</f>
        <v/>
      </c>
    </row>
    <row r="856">
      <c r="G856" s="11" t="n"/>
      <c r="Q856" s="7">
        <f>IF($D856="","",P856*Y856/100)</f>
        <v/>
      </c>
      <c r="R856" s="7" t="n"/>
      <c r="X856" s="7" t="n"/>
      <c r="Y856" s="7" t="n"/>
      <c r="Z856" s="7">
        <f>IF($D856="","",Y856*AD856/100)</f>
        <v/>
      </c>
      <c r="AA856" s="7">
        <f>IF($D856="","",Y856-Z856)</f>
        <v/>
      </c>
      <c r="AB856" s="7">
        <f>IF($D856="","",AA856-Q856)</f>
        <v/>
      </c>
      <c r="AD856">
        <f>IF($D856="","",IF($AP856=1,0,IF($AO856=1,Settings!$C$6,Settings!$C$7))*100)</f>
        <v/>
      </c>
      <c r="AH856" s="7" t="n"/>
      <c r="AK856" s="11" t="n"/>
      <c r="AM856">
        <f>IF($D856="","",IF(COUNTIF($D$2:$D856,$D856)=1,1,0))</f>
        <v/>
      </c>
      <c r="AN856">
        <f>IF($AM856=1,SUMPRODUCT(--($AQ$2:$AQ$1001&lt;$AQ856))+1,"")</f>
        <v/>
      </c>
      <c r="AO856">
        <f>IF($D856="","",IF(OR($U856=TRUE(),$U856="TRUE"),1,0))</f>
        <v/>
      </c>
      <c r="AP856">
        <f>IF($D856="","",IF($AC856="Yes",1,0))</f>
        <v/>
      </c>
      <c r="AQ856">
        <f>IF($AM856=1,IFERROR(VALUE(MID($D856,2,20)),1000000000)+ROW()/100000,"")</f>
        <v/>
      </c>
    </row>
    <row r="857">
      <c r="G857" s="11" t="n"/>
      <c r="Q857" s="7">
        <f>IF($D857="","",P857*Y857/100)</f>
        <v/>
      </c>
      <c r="R857" s="7" t="n"/>
      <c r="X857" s="7" t="n"/>
      <c r="Y857" s="7" t="n"/>
      <c r="Z857" s="7">
        <f>IF($D857="","",Y857*AD857/100)</f>
        <v/>
      </c>
      <c r="AA857" s="7">
        <f>IF($D857="","",Y857-Z857)</f>
        <v/>
      </c>
      <c r="AB857" s="7">
        <f>IF($D857="","",AA857-Q857)</f>
        <v/>
      </c>
      <c r="AD857">
        <f>IF($D857="","",IF($AP857=1,0,IF($AO857=1,Settings!$C$6,Settings!$C$7))*100)</f>
        <v/>
      </c>
      <c r="AH857" s="7" t="n"/>
      <c r="AK857" s="11" t="n"/>
      <c r="AM857">
        <f>IF($D857="","",IF(COUNTIF($D$2:$D857,$D857)=1,1,0))</f>
        <v/>
      </c>
      <c r="AN857">
        <f>IF($AM857=1,SUMPRODUCT(--($AQ$2:$AQ$1001&lt;$AQ857))+1,"")</f>
        <v/>
      </c>
      <c r="AO857">
        <f>IF($D857="","",IF(OR($U857=TRUE(),$U857="TRUE"),1,0))</f>
        <v/>
      </c>
      <c r="AP857">
        <f>IF($D857="","",IF($AC857="Yes",1,0))</f>
        <v/>
      </c>
      <c r="AQ857">
        <f>IF($AM857=1,IFERROR(VALUE(MID($D857,2,20)),1000000000)+ROW()/100000,"")</f>
        <v/>
      </c>
    </row>
    <row r="858">
      <c r="G858" s="11" t="n"/>
      <c r="Q858" s="7">
        <f>IF($D858="","",P858*Y858/100)</f>
        <v/>
      </c>
      <c r="R858" s="7" t="n"/>
      <c r="X858" s="7" t="n"/>
      <c r="Y858" s="7" t="n"/>
      <c r="Z858" s="7">
        <f>IF($D858="","",Y858*AD858/100)</f>
        <v/>
      </c>
      <c r="AA858" s="7">
        <f>IF($D858="","",Y858-Z858)</f>
        <v/>
      </c>
      <c r="AB858" s="7">
        <f>IF($D858="","",AA858-Q858)</f>
        <v/>
      </c>
      <c r="AD858">
        <f>IF($D858="","",IF($AP858=1,0,IF($AO858=1,Settings!$C$6,Settings!$C$7))*100)</f>
        <v/>
      </c>
      <c r="AH858" s="7" t="n"/>
      <c r="AK858" s="11" t="n"/>
      <c r="AM858">
        <f>IF($D858="","",IF(COUNTIF($D$2:$D858,$D858)=1,1,0))</f>
        <v/>
      </c>
      <c r="AN858">
        <f>IF($AM858=1,SUMPRODUCT(--($AQ$2:$AQ$1001&lt;$AQ858))+1,"")</f>
        <v/>
      </c>
      <c r="AO858">
        <f>IF($D858="","",IF(OR($U858=TRUE(),$U858="TRUE"),1,0))</f>
        <v/>
      </c>
      <c r="AP858">
        <f>IF($D858="","",IF($AC858="Yes",1,0))</f>
        <v/>
      </c>
      <c r="AQ858">
        <f>IF($AM858=1,IFERROR(VALUE(MID($D858,2,20)),1000000000)+ROW()/100000,"")</f>
        <v/>
      </c>
    </row>
    <row r="859">
      <c r="G859" s="11" t="n"/>
      <c r="Q859" s="7">
        <f>IF($D859="","",P859*Y859/100)</f>
        <v/>
      </c>
      <c r="R859" s="7" t="n"/>
      <c r="X859" s="7" t="n"/>
      <c r="Y859" s="7" t="n"/>
      <c r="Z859" s="7">
        <f>IF($D859="","",Y859*AD859/100)</f>
        <v/>
      </c>
      <c r="AA859" s="7">
        <f>IF($D859="","",Y859-Z859)</f>
        <v/>
      </c>
      <c r="AB859" s="7">
        <f>IF($D859="","",AA859-Q859)</f>
        <v/>
      </c>
      <c r="AD859">
        <f>IF($D859="","",IF($AP859=1,0,IF($AO859=1,Settings!$C$6,Settings!$C$7))*100)</f>
        <v/>
      </c>
      <c r="AH859" s="7" t="n"/>
      <c r="AK859" s="11" t="n"/>
      <c r="AM859">
        <f>IF($D859="","",IF(COUNTIF($D$2:$D859,$D859)=1,1,0))</f>
        <v/>
      </c>
      <c r="AN859">
        <f>IF($AM859=1,SUMPRODUCT(--($AQ$2:$AQ$1001&lt;$AQ859))+1,"")</f>
        <v/>
      </c>
      <c r="AO859">
        <f>IF($D859="","",IF(OR($U859=TRUE(),$U859="TRUE"),1,0))</f>
        <v/>
      </c>
      <c r="AP859">
        <f>IF($D859="","",IF($AC859="Yes",1,0))</f>
        <v/>
      </c>
      <c r="AQ859">
        <f>IF($AM859=1,IFERROR(VALUE(MID($D859,2,20)),1000000000)+ROW()/100000,"")</f>
        <v/>
      </c>
    </row>
    <row r="860">
      <c r="G860" s="11" t="n"/>
      <c r="Q860" s="7">
        <f>IF($D860="","",P860*Y860/100)</f>
        <v/>
      </c>
      <c r="R860" s="7" t="n"/>
      <c r="X860" s="7" t="n"/>
      <c r="Y860" s="7" t="n"/>
      <c r="Z860" s="7">
        <f>IF($D860="","",Y860*AD860/100)</f>
        <v/>
      </c>
      <c r="AA860" s="7">
        <f>IF($D860="","",Y860-Z860)</f>
        <v/>
      </c>
      <c r="AB860" s="7">
        <f>IF($D860="","",AA860-Q860)</f>
        <v/>
      </c>
      <c r="AD860">
        <f>IF($D860="","",IF($AP860=1,0,IF($AO860=1,Settings!$C$6,Settings!$C$7))*100)</f>
        <v/>
      </c>
      <c r="AH860" s="7" t="n"/>
      <c r="AK860" s="11" t="n"/>
      <c r="AM860">
        <f>IF($D860="","",IF(COUNTIF($D$2:$D860,$D860)=1,1,0))</f>
        <v/>
      </c>
      <c r="AN860">
        <f>IF($AM860=1,SUMPRODUCT(--($AQ$2:$AQ$1001&lt;$AQ860))+1,"")</f>
        <v/>
      </c>
      <c r="AO860">
        <f>IF($D860="","",IF(OR($U860=TRUE(),$U860="TRUE"),1,0))</f>
        <v/>
      </c>
      <c r="AP860">
        <f>IF($D860="","",IF($AC860="Yes",1,0))</f>
        <v/>
      </c>
      <c r="AQ860">
        <f>IF($AM860=1,IFERROR(VALUE(MID($D860,2,20)),1000000000)+ROW()/100000,"")</f>
        <v/>
      </c>
    </row>
    <row r="861">
      <c r="G861" s="11" t="n"/>
      <c r="Q861" s="7">
        <f>IF($D861="","",P861*Y861/100)</f>
        <v/>
      </c>
      <c r="R861" s="7" t="n"/>
      <c r="X861" s="7" t="n"/>
      <c r="Y861" s="7" t="n"/>
      <c r="Z861" s="7">
        <f>IF($D861="","",Y861*AD861/100)</f>
        <v/>
      </c>
      <c r="AA861" s="7">
        <f>IF($D861="","",Y861-Z861)</f>
        <v/>
      </c>
      <c r="AB861" s="7">
        <f>IF($D861="","",AA861-Q861)</f>
        <v/>
      </c>
      <c r="AD861">
        <f>IF($D861="","",IF($AP861=1,0,IF($AO861=1,Settings!$C$6,Settings!$C$7))*100)</f>
        <v/>
      </c>
      <c r="AH861" s="7" t="n"/>
      <c r="AK861" s="11" t="n"/>
      <c r="AM861">
        <f>IF($D861="","",IF(COUNTIF($D$2:$D861,$D861)=1,1,0))</f>
        <v/>
      </c>
      <c r="AN861">
        <f>IF($AM861=1,SUMPRODUCT(--($AQ$2:$AQ$1001&lt;$AQ861))+1,"")</f>
        <v/>
      </c>
      <c r="AO861">
        <f>IF($D861="","",IF(OR($U861=TRUE(),$U861="TRUE"),1,0))</f>
        <v/>
      </c>
      <c r="AP861">
        <f>IF($D861="","",IF($AC861="Yes",1,0))</f>
        <v/>
      </c>
      <c r="AQ861">
        <f>IF($AM861=1,IFERROR(VALUE(MID($D861,2,20)),1000000000)+ROW()/100000,"")</f>
        <v/>
      </c>
    </row>
    <row r="862">
      <c r="G862" s="11" t="n"/>
      <c r="Q862" s="7">
        <f>IF($D862="","",P862*Y862/100)</f>
        <v/>
      </c>
      <c r="R862" s="7" t="n"/>
      <c r="X862" s="7" t="n"/>
      <c r="Y862" s="7" t="n"/>
      <c r="Z862" s="7">
        <f>IF($D862="","",Y862*AD862/100)</f>
        <v/>
      </c>
      <c r="AA862" s="7">
        <f>IF($D862="","",Y862-Z862)</f>
        <v/>
      </c>
      <c r="AB862" s="7">
        <f>IF($D862="","",AA862-Q862)</f>
        <v/>
      </c>
      <c r="AD862">
        <f>IF($D862="","",IF($AP862=1,0,IF($AO862=1,Settings!$C$6,Settings!$C$7))*100)</f>
        <v/>
      </c>
      <c r="AH862" s="7" t="n"/>
      <c r="AK862" s="11" t="n"/>
      <c r="AM862">
        <f>IF($D862="","",IF(COUNTIF($D$2:$D862,$D862)=1,1,0))</f>
        <v/>
      </c>
      <c r="AN862">
        <f>IF($AM862=1,SUMPRODUCT(--($AQ$2:$AQ$1001&lt;$AQ862))+1,"")</f>
        <v/>
      </c>
      <c r="AO862">
        <f>IF($D862="","",IF(OR($U862=TRUE(),$U862="TRUE"),1,0))</f>
        <v/>
      </c>
      <c r="AP862">
        <f>IF($D862="","",IF($AC862="Yes",1,0))</f>
        <v/>
      </c>
      <c r="AQ862">
        <f>IF($AM862=1,IFERROR(VALUE(MID($D862,2,20)),1000000000)+ROW()/100000,"")</f>
        <v/>
      </c>
    </row>
    <row r="863">
      <c r="G863" s="11" t="n"/>
      <c r="Q863" s="7">
        <f>IF($D863="","",P863*Y863/100)</f>
        <v/>
      </c>
      <c r="R863" s="7" t="n"/>
      <c r="X863" s="7" t="n"/>
      <c r="Y863" s="7" t="n"/>
      <c r="Z863" s="7">
        <f>IF($D863="","",Y863*AD863/100)</f>
        <v/>
      </c>
      <c r="AA863" s="7">
        <f>IF($D863="","",Y863-Z863)</f>
        <v/>
      </c>
      <c r="AB863" s="7">
        <f>IF($D863="","",AA863-Q863)</f>
        <v/>
      </c>
      <c r="AD863">
        <f>IF($D863="","",IF($AP863=1,0,IF($AO863=1,Settings!$C$6,Settings!$C$7))*100)</f>
        <v/>
      </c>
      <c r="AH863" s="7" t="n"/>
      <c r="AK863" s="11" t="n"/>
      <c r="AM863">
        <f>IF($D863="","",IF(COUNTIF($D$2:$D863,$D863)=1,1,0))</f>
        <v/>
      </c>
      <c r="AN863">
        <f>IF($AM863=1,SUMPRODUCT(--($AQ$2:$AQ$1001&lt;$AQ863))+1,"")</f>
        <v/>
      </c>
      <c r="AO863">
        <f>IF($D863="","",IF(OR($U863=TRUE(),$U863="TRUE"),1,0))</f>
        <v/>
      </c>
      <c r="AP863">
        <f>IF($D863="","",IF($AC863="Yes",1,0))</f>
        <v/>
      </c>
      <c r="AQ863">
        <f>IF($AM863=1,IFERROR(VALUE(MID($D863,2,20)),1000000000)+ROW()/100000,"")</f>
        <v/>
      </c>
    </row>
    <row r="864">
      <c r="G864" s="11" t="n"/>
      <c r="Q864" s="7">
        <f>IF($D864="","",P864*Y864/100)</f>
        <v/>
      </c>
      <c r="R864" s="7" t="n"/>
      <c r="X864" s="7" t="n"/>
      <c r="Y864" s="7" t="n"/>
      <c r="Z864" s="7">
        <f>IF($D864="","",Y864*AD864/100)</f>
        <v/>
      </c>
      <c r="AA864" s="7">
        <f>IF($D864="","",Y864-Z864)</f>
        <v/>
      </c>
      <c r="AB864" s="7">
        <f>IF($D864="","",AA864-Q864)</f>
        <v/>
      </c>
      <c r="AD864">
        <f>IF($D864="","",IF($AP864=1,0,IF($AO864=1,Settings!$C$6,Settings!$C$7))*100)</f>
        <v/>
      </c>
      <c r="AH864" s="7" t="n"/>
      <c r="AK864" s="11" t="n"/>
      <c r="AM864">
        <f>IF($D864="","",IF(COUNTIF($D$2:$D864,$D864)=1,1,0))</f>
        <v/>
      </c>
      <c r="AN864">
        <f>IF($AM864=1,SUMPRODUCT(--($AQ$2:$AQ$1001&lt;$AQ864))+1,"")</f>
        <v/>
      </c>
      <c r="AO864">
        <f>IF($D864="","",IF(OR($U864=TRUE(),$U864="TRUE"),1,0))</f>
        <v/>
      </c>
      <c r="AP864">
        <f>IF($D864="","",IF($AC864="Yes",1,0))</f>
        <v/>
      </c>
      <c r="AQ864">
        <f>IF($AM864=1,IFERROR(VALUE(MID($D864,2,20)),1000000000)+ROW()/100000,"")</f>
        <v/>
      </c>
    </row>
    <row r="865">
      <c r="G865" s="11" t="n"/>
      <c r="Q865" s="7">
        <f>IF($D865="","",P865*Y865/100)</f>
        <v/>
      </c>
      <c r="R865" s="7" t="n"/>
      <c r="X865" s="7" t="n"/>
      <c r="Y865" s="7" t="n"/>
      <c r="Z865" s="7">
        <f>IF($D865="","",Y865*AD865/100)</f>
        <v/>
      </c>
      <c r="AA865" s="7">
        <f>IF($D865="","",Y865-Z865)</f>
        <v/>
      </c>
      <c r="AB865" s="7">
        <f>IF($D865="","",AA865-Q865)</f>
        <v/>
      </c>
      <c r="AD865">
        <f>IF($D865="","",IF($AP865=1,0,IF($AO865=1,Settings!$C$6,Settings!$C$7))*100)</f>
        <v/>
      </c>
      <c r="AH865" s="7" t="n"/>
      <c r="AK865" s="11" t="n"/>
      <c r="AM865">
        <f>IF($D865="","",IF(COUNTIF($D$2:$D865,$D865)=1,1,0))</f>
        <v/>
      </c>
      <c r="AN865">
        <f>IF($AM865=1,SUMPRODUCT(--($AQ$2:$AQ$1001&lt;$AQ865))+1,"")</f>
        <v/>
      </c>
      <c r="AO865">
        <f>IF($D865="","",IF(OR($U865=TRUE(),$U865="TRUE"),1,0))</f>
        <v/>
      </c>
      <c r="AP865">
        <f>IF($D865="","",IF($AC865="Yes",1,0))</f>
        <v/>
      </c>
      <c r="AQ865">
        <f>IF($AM865=1,IFERROR(VALUE(MID($D865,2,20)),1000000000)+ROW()/100000,"")</f>
        <v/>
      </c>
    </row>
    <row r="866">
      <c r="G866" s="11" t="n"/>
      <c r="Q866" s="7">
        <f>IF($D866="","",P866*Y866/100)</f>
        <v/>
      </c>
      <c r="R866" s="7" t="n"/>
      <c r="X866" s="7" t="n"/>
      <c r="Y866" s="7" t="n"/>
      <c r="Z866" s="7">
        <f>IF($D866="","",Y866*AD866/100)</f>
        <v/>
      </c>
      <c r="AA866" s="7">
        <f>IF($D866="","",Y866-Z866)</f>
        <v/>
      </c>
      <c r="AB866" s="7">
        <f>IF($D866="","",AA866-Q866)</f>
        <v/>
      </c>
      <c r="AD866">
        <f>IF($D866="","",IF($AP866=1,0,IF($AO866=1,Settings!$C$6,Settings!$C$7))*100)</f>
        <v/>
      </c>
      <c r="AH866" s="7" t="n"/>
      <c r="AK866" s="11" t="n"/>
      <c r="AM866">
        <f>IF($D866="","",IF(COUNTIF($D$2:$D866,$D866)=1,1,0))</f>
        <v/>
      </c>
      <c r="AN866">
        <f>IF($AM866=1,SUMPRODUCT(--($AQ$2:$AQ$1001&lt;$AQ866))+1,"")</f>
        <v/>
      </c>
      <c r="AO866">
        <f>IF($D866="","",IF(OR($U866=TRUE(),$U866="TRUE"),1,0))</f>
        <v/>
      </c>
      <c r="AP866">
        <f>IF($D866="","",IF($AC866="Yes",1,0))</f>
        <v/>
      </c>
      <c r="AQ866">
        <f>IF($AM866=1,IFERROR(VALUE(MID($D866,2,20)),1000000000)+ROW()/100000,"")</f>
        <v/>
      </c>
    </row>
    <row r="867">
      <c r="G867" s="11" t="n"/>
      <c r="Q867" s="7">
        <f>IF($D867="","",P867*Y867/100)</f>
        <v/>
      </c>
      <c r="R867" s="7" t="n"/>
      <c r="X867" s="7" t="n"/>
      <c r="Y867" s="7" t="n"/>
      <c r="Z867" s="7">
        <f>IF($D867="","",Y867*AD867/100)</f>
        <v/>
      </c>
      <c r="AA867" s="7">
        <f>IF($D867="","",Y867-Z867)</f>
        <v/>
      </c>
      <c r="AB867" s="7">
        <f>IF($D867="","",AA867-Q867)</f>
        <v/>
      </c>
      <c r="AD867">
        <f>IF($D867="","",IF($AP867=1,0,IF($AO867=1,Settings!$C$6,Settings!$C$7))*100)</f>
        <v/>
      </c>
      <c r="AH867" s="7" t="n"/>
      <c r="AK867" s="11" t="n"/>
      <c r="AM867">
        <f>IF($D867="","",IF(COUNTIF($D$2:$D867,$D867)=1,1,0))</f>
        <v/>
      </c>
      <c r="AN867">
        <f>IF($AM867=1,SUMPRODUCT(--($AQ$2:$AQ$1001&lt;$AQ867))+1,"")</f>
        <v/>
      </c>
      <c r="AO867">
        <f>IF($D867="","",IF(OR($U867=TRUE(),$U867="TRUE"),1,0))</f>
        <v/>
      </c>
      <c r="AP867">
        <f>IF($D867="","",IF($AC867="Yes",1,0))</f>
        <v/>
      </c>
      <c r="AQ867">
        <f>IF($AM867=1,IFERROR(VALUE(MID($D867,2,20)),1000000000)+ROW()/100000,"")</f>
        <v/>
      </c>
    </row>
    <row r="868">
      <c r="G868" s="11" t="n"/>
      <c r="Q868" s="7">
        <f>IF($D868="","",P868*Y868/100)</f>
        <v/>
      </c>
      <c r="R868" s="7" t="n"/>
      <c r="X868" s="7" t="n"/>
      <c r="Y868" s="7" t="n"/>
      <c r="Z868" s="7">
        <f>IF($D868="","",Y868*AD868/100)</f>
        <v/>
      </c>
      <c r="AA868" s="7">
        <f>IF($D868="","",Y868-Z868)</f>
        <v/>
      </c>
      <c r="AB868" s="7">
        <f>IF($D868="","",AA868-Q868)</f>
        <v/>
      </c>
      <c r="AD868">
        <f>IF($D868="","",IF($AP868=1,0,IF($AO868=1,Settings!$C$6,Settings!$C$7))*100)</f>
        <v/>
      </c>
      <c r="AH868" s="7" t="n"/>
      <c r="AK868" s="11" t="n"/>
      <c r="AM868">
        <f>IF($D868="","",IF(COUNTIF($D$2:$D868,$D868)=1,1,0))</f>
        <v/>
      </c>
      <c r="AN868">
        <f>IF($AM868=1,SUMPRODUCT(--($AQ$2:$AQ$1001&lt;$AQ868))+1,"")</f>
        <v/>
      </c>
      <c r="AO868">
        <f>IF($D868="","",IF(OR($U868=TRUE(),$U868="TRUE"),1,0))</f>
        <v/>
      </c>
      <c r="AP868">
        <f>IF($D868="","",IF($AC868="Yes",1,0))</f>
        <v/>
      </c>
      <c r="AQ868">
        <f>IF($AM868=1,IFERROR(VALUE(MID($D868,2,20)),1000000000)+ROW()/100000,"")</f>
        <v/>
      </c>
    </row>
    <row r="869">
      <c r="G869" s="11" t="n"/>
      <c r="Q869" s="7">
        <f>IF($D869="","",P869*Y869/100)</f>
        <v/>
      </c>
      <c r="R869" s="7" t="n"/>
      <c r="X869" s="7" t="n"/>
      <c r="Y869" s="7" t="n"/>
      <c r="Z869" s="7">
        <f>IF($D869="","",Y869*AD869/100)</f>
        <v/>
      </c>
      <c r="AA869" s="7">
        <f>IF($D869="","",Y869-Z869)</f>
        <v/>
      </c>
      <c r="AB869" s="7">
        <f>IF($D869="","",AA869-Q869)</f>
        <v/>
      </c>
      <c r="AD869">
        <f>IF($D869="","",IF($AP869=1,0,IF($AO869=1,Settings!$C$6,Settings!$C$7))*100)</f>
        <v/>
      </c>
      <c r="AH869" s="7" t="n"/>
      <c r="AK869" s="11" t="n"/>
      <c r="AM869">
        <f>IF($D869="","",IF(COUNTIF($D$2:$D869,$D869)=1,1,0))</f>
        <v/>
      </c>
      <c r="AN869">
        <f>IF($AM869=1,SUMPRODUCT(--($AQ$2:$AQ$1001&lt;$AQ869))+1,"")</f>
        <v/>
      </c>
      <c r="AO869">
        <f>IF($D869="","",IF(OR($U869=TRUE(),$U869="TRUE"),1,0))</f>
        <v/>
      </c>
      <c r="AP869">
        <f>IF($D869="","",IF($AC869="Yes",1,0))</f>
        <v/>
      </c>
      <c r="AQ869">
        <f>IF($AM869=1,IFERROR(VALUE(MID($D869,2,20)),1000000000)+ROW()/100000,"")</f>
        <v/>
      </c>
    </row>
    <row r="870">
      <c r="G870" s="11" t="n"/>
      <c r="Q870" s="7">
        <f>IF($D870="","",P870*Y870/100)</f>
        <v/>
      </c>
      <c r="R870" s="7" t="n"/>
      <c r="X870" s="7" t="n"/>
      <c r="Y870" s="7" t="n"/>
      <c r="Z870" s="7">
        <f>IF($D870="","",Y870*AD870/100)</f>
        <v/>
      </c>
      <c r="AA870" s="7">
        <f>IF($D870="","",Y870-Z870)</f>
        <v/>
      </c>
      <c r="AB870" s="7">
        <f>IF($D870="","",AA870-Q870)</f>
        <v/>
      </c>
      <c r="AD870">
        <f>IF($D870="","",IF($AP870=1,0,IF($AO870=1,Settings!$C$6,Settings!$C$7))*100)</f>
        <v/>
      </c>
      <c r="AH870" s="7" t="n"/>
      <c r="AK870" s="11" t="n"/>
      <c r="AM870">
        <f>IF($D870="","",IF(COUNTIF($D$2:$D870,$D870)=1,1,0))</f>
        <v/>
      </c>
      <c r="AN870">
        <f>IF($AM870=1,SUMPRODUCT(--($AQ$2:$AQ$1001&lt;$AQ870))+1,"")</f>
        <v/>
      </c>
      <c r="AO870">
        <f>IF($D870="","",IF(OR($U870=TRUE(),$U870="TRUE"),1,0))</f>
        <v/>
      </c>
      <c r="AP870">
        <f>IF($D870="","",IF($AC870="Yes",1,0))</f>
        <v/>
      </c>
      <c r="AQ870">
        <f>IF($AM870=1,IFERROR(VALUE(MID($D870,2,20)),1000000000)+ROW()/100000,"")</f>
        <v/>
      </c>
    </row>
    <row r="871">
      <c r="G871" s="11" t="n"/>
      <c r="Q871" s="7">
        <f>IF($D871="","",P871*Y871/100)</f>
        <v/>
      </c>
      <c r="R871" s="7" t="n"/>
      <c r="X871" s="7" t="n"/>
      <c r="Y871" s="7" t="n"/>
      <c r="Z871" s="7">
        <f>IF($D871="","",Y871*AD871/100)</f>
        <v/>
      </c>
      <c r="AA871" s="7">
        <f>IF($D871="","",Y871-Z871)</f>
        <v/>
      </c>
      <c r="AB871" s="7">
        <f>IF($D871="","",AA871-Q871)</f>
        <v/>
      </c>
      <c r="AD871">
        <f>IF($D871="","",IF($AP871=1,0,IF($AO871=1,Settings!$C$6,Settings!$C$7))*100)</f>
        <v/>
      </c>
      <c r="AH871" s="7" t="n"/>
      <c r="AK871" s="11" t="n"/>
      <c r="AM871">
        <f>IF($D871="","",IF(COUNTIF($D$2:$D871,$D871)=1,1,0))</f>
        <v/>
      </c>
      <c r="AN871">
        <f>IF($AM871=1,SUMPRODUCT(--($AQ$2:$AQ$1001&lt;$AQ871))+1,"")</f>
        <v/>
      </c>
      <c r="AO871">
        <f>IF($D871="","",IF(OR($U871=TRUE(),$U871="TRUE"),1,0))</f>
        <v/>
      </c>
      <c r="AP871">
        <f>IF($D871="","",IF($AC871="Yes",1,0))</f>
        <v/>
      </c>
      <c r="AQ871">
        <f>IF($AM871=1,IFERROR(VALUE(MID($D871,2,20)),1000000000)+ROW()/100000,"")</f>
        <v/>
      </c>
    </row>
    <row r="872">
      <c r="G872" s="11" t="n"/>
      <c r="Q872" s="7">
        <f>IF($D872="","",P872*Y872/100)</f>
        <v/>
      </c>
      <c r="R872" s="7" t="n"/>
      <c r="X872" s="7" t="n"/>
      <c r="Y872" s="7" t="n"/>
      <c r="Z872" s="7">
        <f>IF($D872="","",Y872*AD872/100)</f>
        <v/>
      </c>
      <c r="AA872" s="7">
        <f>IF($D872="","",Y872-Z872)</f>
        <v/>
      </c>
      <c r="AB872" s="7">
        <f>IF($D872="","",AA872-Q872)</f>
        <v/>
      </c>
      <c r="AD872">
        <f>IF($D872="","",IF($AP872=1,0,IF($AO872=1,Settings!$C$6,Settings!$C$7))*100)</f>
        <v/>
      </c>
      <c r="AH872" s="7" t="n"/>
      <c r="AK872" s="11" t="n"/>
      <c r="AM872">
        <f>IF($D872="","",IF(COUNTIF($D$2:$D872,$D872)=1,1,0))</f>
        <v/>
      </c>
      <c r="AN872">
        <f>IF($AM872=1,SUMPRODUCT(--($AQ$2:$AQ$1001&lt;$AQ872))+1,"")</f>
        <v/>
      </c>
      <c r="AO872">
        <f>IF($D872="","",IF(OR($U872=TRUE(),$U872="TRUE"),1,0))</f>
        <v/>
      </c>
      <c r="AP872">
        <f>IF($D872="","",IF($AC872="Yes",1,0))</f>
        <v/>
      </c>
      <c r="AQ872">
        <f>IF($AM872=1,IFERROR(VALUE(MID($D872,2,20)),1000000000)+ROW()/100000,"")</f>
        <v/>
      </c>
    </row>
    <row r="873">
      <c r="G873" s="11" t="n"/>
      <c r="Q873" s="7">
        <f>IF($D873="","",P873*Y873/100)</f>
        <v/>
      </c>
      <c r="R873" s="7" t="n"/>
      <c r="X873" s="7" t="n"/>
      <c r="Y873" s="7" t="n"/>
      <c r="Z873" s="7">
        <f>IF($D873="","",Y873*AD873/100)</f>
        <v/>
      </c>
      <c r="AA873" s="7">
        <f>IF($D873="","",Y873-Z873)</f>
        <v/>
      </c>
      <c r="AB873" s="7">
        <f>IF($D873="","",AA873-Q873)</f>
        <v/>
      </c>
      <c r="AD873">
        <f>IF($D873="","",IF($AP873=1,0,IF($AO873=1,Settings!$C$6,Settings!$C$7))*100)</f>
        <v/>
      </c>
      <c r="AH873" s="7" t="n"/>
      <c r="AK873" s="11" t="n"/>
      <c r="AM873">
        <f>IF($D873="","",IF(COUNTIF($D$2:$D873,$D873)=1,1,0))</f>
        <v/>
      </c>
      <c r="AN873">
        <f>IF($AM873=1,SUMPRODUCT(--($AQ$2:$AQ$1001&lt;$AQ873))+1,"")</f>
        <v/>
      </c>
      <c r="AO873">
        <f>IF($D873="","",IF(OR($U873=TRUE(),$U873="TRUE"),1,0))</f>
        <v/>
      </c>
      <c r="AP873">
        <f>IF($D873="","",IF($AC873="Yes",1,0))</f>
        <v/>
      </c>
      <c r="AQ873">
        <f>IF($AM873=1,IFERROR(VALUE(MID($D873,2,20)),1000000000)+ROW()/100000,"")</f>
        <v/>
      </c>
    </row>
    <row r="874">
      <c r="G874" s="11" t="n"/>
      <c r="Q874" s="7">
        <f>IF($D874="","",P874*Y874/100)</f>
        <v/>
      </c>
      <c r="R874" s="7" t="n"/>
      <c r="X874" s="7" t="n"/>
      <c r="Y874" s="7" t="n"/>
      <c r="Z874" s="7">
        <f>IF($D874="","",Y874*AD874/100)</f>
        <v/>
      </c>
      <c r="AA874" s="7">
        <f>IF($D874="","",Y874-Z874)</f>
        <v/>
      </c>
      <c r="AB874" s="7">
        <f>IF($D874="","",AA874-Q874)</f>
        <v/>
      </c>
      <c r="AD874">
        <f>IF($D874="","",IF($AP874=1,0,IF($AO874=1,Settings!$C$6,Settings!$C$7))*100)</f>
        <v/>
      </c>
      <c r="AH874" s="7" t="n"/>
      <c r="AK874" s="11" t="n"/>
      <c r="AM874">
        <f>IF($D874="","",IF(COUNTIF($D$2:$D874,$D874)=1,1,0))</f>
        <v/>
      </c>
      <c r="AN874">
        <f>IF($AM874=1,SUMPRODUCT(--($AQ$2:$AQ$1001&lt;$AQ874))+1,"")</f>
        <v/>
      </c>
      <c r="AO874">
        <f>IF($D874="","",IF(OR($U874=TRUE(),$U874="TRUE"),1,0))</f>
        <v/>
      </c>
      <c r="AP874">
        <f>IF($D874="","",IF($AC874="Yes",1,0))</f>
        <v/>
      </c>
      <c r="AQ874">
        <f>IF($AM874=1,IFERROR(VALUE(MID($D874,2,20)),1000000000)+ROW()/100000,"")</f>
        <v/>
      </c>
    </row>
    <row r="875">
      <c r="G875" s="11" t="n"/>
      <c r="Q875" s="7">
        <f>IF($D875="","",P875*Y875/100)</f>
        <v/>
      </c>
      <c r="R875" s="7" t="n"/>
      <c r="X875" s="7" t="n"/>
      <c r="Y875" s="7" t="n"/>
      <c r="Z875" s="7">
        <f>IF($D875="","",Y875*AD875/100)</f>
        <v/>
      </c>
      <c r="AA875" s="7">
        <f>IF($D875="","",Y875-Z875)</f>
        <v/>
      </c>
      <c r="AB875" s="7">
        <f>IF($D875="","",AA875-Q875)</f>
        <v/>
      </c>
      <c r="AD875">
        <f>IF($D875="","",IF($AP875=1,0,IF($AO875=1,Settings!$C$6,Settings!$C$7))*100)</f>
        <v/>
      </c>
      <c r="AH875" s="7" t="n"/>
      <c r="AK875" s="11" t="n"/>
      <c r="AM875">
        <f>IF($D875="","",IF(COUNTIF($D$2:$D875,$D875)=1,1,0))</f>
        <v/>
      </c>
      <c r="AN875">
        <f>IF($AM875=1,SUMPRODUCT(--($AQ$2:$AQ$1001&lt;$AQ875))+1,"")</f>
        <v/>
      </c>
      <c r="AO875">
        <f>IF($D875="","",IF(OR($U875=TRUE(),$U875="TRUE"),1,0))</f>
        <v/>
      </c>
      <c r="AP875">
        <f>IF($D875="","",IF($AC875="Yes",1,0))</f>
        <v/>
      </c>
      <c r="AQ875">
        <f>IF($AM875=1,IFERROR(VALUE(MID($D875,2,20)),1000000000)+ROW()/100000,"")</f>
        <v/>
      </c>
    </row>
    <row r="876">
      <c r="G876" s="11" t="n"/>
      <c r="Q876" s="7">
        <f>IF($D876="","",P876*Y876/100)</f>
        <v/>
      </c>
      <c r="R876" s="7" t="n"/>
      <c r="X876" s="7" t="n"/>
      <c r="Y876" s="7" t="n"/>
      <c r="Z876" s="7">
        <f>IF($D876="","",Y876*AD876/100)</f>
        <v/>
      </c>
      <c r="AA876" s="7">
        <f>IF($D876="","",Y876-Z876)</f>
        <v/>
      </c>
      <c r="AB876" s="7">
        <f>IF($D876="","",AA876-Q876)</f>
        <v/>
      </c>
      <c r="AD876">
        <f>IF($D876="","",IF($AP876=1,0,IF($AO876=1,Settings!$C$6,Settings!$C$7))*100)</f>
        <v/>
      </c>
      <c r="AH876" s="7" t="n"/>
      <c r="AK876" s="11" t="n"/>
      <c r="AM876">
        <f>IF($D876="","",IF(COUNTIF($D$2:$D876,$D876)=1,1,0))</f>
        <v/>
      </c>
      <c r="AN876">
        <f>IF($AM876=1,SUMPRODUCT(--($AQ$2:$AQ$1001&lt;$AQ876))+1,"")</f>
        <v/>
      </c>
      <c r="AO876">
        <f>IF($D876="","",IF(OR($U876=TRUE(),$U876="TRUE"),1,0))</f>
        <v/>
      </c>
      <c r="AP876">
        <f>IF($D876="","",IF($AC876="Yes",1,0))</f>
        <v/>
      </c>
      <c r="AQ876">
        <f>IF($AM876=1,IFERROR(VALUE(MID($D876,2,20)),1000000000)+ROW()/100000,"")</f>
        <v/>
      </c>
    </row>
    <row r="877">
      <c r="G877" s="11" t="n"/>
      <c r="Q877" s="7">
        <f>IF($D877="","",P877*Y877/100)</f>
        <v/>
      </c>
      <c r="R877" s="7" t="n"/>
      <c r="X877" s="7" t="n"/>
      <c r="Y877" s="7" t="n"/>
      <c r="Z877" s="7">
        <f>IF($D877="","",Y877*AD877/100)</f>
        <v/>
      </c>
      <c r="AA877" s="7">
        <f>IF($D877="","",Y877-Z877)</f>
        <v/>
      </c>
      <c r="AB877" s="7">
        <f>IF($D877="","",AA877-Q877)</f>
        <v/>
      </c>
      <c r="AD877">
        <f>IF($D877="","",IF($AP877=1,0,IF($AO877=1,Settings!$C$6,Settings!$C$7))*100)</f>
        <v/>
      </c>
      <c r="AH877" s="7" t="n"/>
      <c r="AK877" s="11" t="n"/>
      <c r="AM877">
        <f>IF($D877="","",IF(COUNTIF($D$2:$D877,$D877)=1,1,0))</f>
        <v/>
      </c>
      <c r="AN877">
        <f>IF($AM877=1,SUMPRODUCT(--($AQ$2:$AQ$1001&lt;$AQ877))+1,"")</f>
        <v/>
      </c>
      <c r="AO877">
        <f>IF($D877="","",IF(OR($U877=TRUE(),$U877="TRUE"),1,0))</f>
        <v/>
      </c>
      <c r="AP877">
        <f>IF($D877="","",IF($AC877="Yes",1,0))</f>
        <v/>
      </c>
      <c r="AQ877">
        <f>IF($AM877=1,IFERROR(VALUE(MID($D877,2,20)),1000000000)+ROW()/100000,"")</f>
        <v/>
      </c>
    </row>
    <row r="878">
      <c r="G878" s="11" t="n"/>
      <c r="Q878" s="7">
        <f>IF($D878="","",P878*Y878/100)</f>
        <v/>
      </c>
      <c r="R878" s="7" t="n"/>
      <c r="X878" s="7" t="n"/>
      <c r="Y878" s="7" t="n"/>
      <c r="Z878" s="7">
        <f>IF($D878="","",Y878*AD878/100)</f>
        <v/>
      </c>
      <c r="AA878" s="7">
        <f>IF($D878="","",Y878-Z878)</f>
        <v/>
      </c>
      <c r="AB878" s="7">
        <f>IF($D878="","",AA878-Q878)</f>
        <v/>
      </c>
      <c r="AD878">
        <f>IF($D878="","",IF($AP878=1,0,IF($AO878=1,Settings!$C$6,Settings!$C$7))*100)</f>
        <v/>
      </c>
      <c r="AH878" s="7" t="n"/>
      <c r="AK878" s="11" t="n"/>
      <c r="AM878">
        <f>IF($D878="","",IF(COUNTIF($D$2:$D878,$D878)=1,1,0))</f>
        <v/>
      </c>
      <c r="AN878">
        <f>IF($AM878=1,SUMPRODUCT(--($AQ$2:$AQ$1001&lt;$AQ878))+1,"")</f>
        <v/>
      </c>
      <c r="AO878">
        <f>IF($D878="","",IF(OR($U878=TRUE(),$U878="TRUE"),1,0))</f>
        <v/>
      </c>
      <c r="AP878">
        <f>IF($D878="","",IF($AC878="Yes",1,0))</f>
        <v/>
      </c>
      <c r="AQ878">
        <f>IF($AM878=1,IFERROR(VALUE(MID($D878,2,20)),1000000000)+ROW()/100000,"")</f>
        <v/>
      </c>
    </row>
    <row r="879">
      <c r="G879" s="11" t="n"/>
      <c r="Q879" s="7">
        <f>IF($D879="","",P879*Y879/100)</f>
        <v/>
      </c>
      <c r="R879" s="7" t="n"/>
      <c r="X879" s="7" t="n"/>
      <c r="Y879" s="7" t="n"/>
      <c r="Z879" s="7">
        <f>IF($D879="","",Y879*AD879/100)</f>
        <v/>
      </c>
      <c r="AA879" s="7">
        <f>IF($D879="","",Y879-Z879)</f>
        <v/>
      </c>
      <c r="AB879" s="7">
        <f>IF($D879="","",AA879-Q879)</f>
        <v/>
      </c>
      <c r="AD879">
        <f>IF($D879="","",IF($AP879=1,0,IF($AO879=1,Settings!$C$6,Settings!$C$7))*100)</f>
        <v/>
      </c>
      <c r="AH879" s="7" t="n"/>
      <c r="AK879" s="11" t="n"/>
      <c r="AM879">
        <f>IF($D879="","",IF(COUNTIF($D$2:$D879,$D879)=1,1,0))</f>
        <v/>
      </c>
      <c r="AN879">
        <f>IF($AM879=1,SUMPRODUCT(--($AQ$2:$AQ$1001&lt;$AQ879))+1,"")</f>
        <v/>
      </c>
      <c r="AO879">
        <f>IF($D879="","",IF(OR($U879=TRUE(),$U879="TRUE"),1,0))</f>
        <v/>
      </c>
      <c r="AP879">
        <f>IF($D879="","",IF($AC879="Yes",1,0))</f>
        <v/>
      </c>
      <c r="AQ879">
        <f>IF($AM879=1,IFERROR(VALUE(MID($D879,2,20)),1000000000)+ROW()/100000,"")</f>
        <v/>
      </c>
    </row>
    <row r="880">
      <c r="G880" s="11" t="n"/>
      <c r="Q880" s="7">
        <f>IF($D880="","",P880*Y880/100)</f>
        <v/>
      </c>
      <c r="R880" s="7" t="n"/>
      <c r="X880" s="7" t="n"/>
      <c r="Y880" s="7" t="n"/>
      <c r="Z880" s="7">
        <f>IF($D880="","",Y880*AD880/100)</f>
        <v/>
      </c>
      <c r="AA880" s="7">
        <f>IF($D880="","",Y880-Z880)</f>
        <v/>
      </c>
      <c r="AB880" s="7">
        <f>IF($D880="","",AA880-Q880)</f>
        <v/>
      </c>
      <c r="AD880">
        <f>IF($D880="","",IF($AP880=1,0,IF($AO880=1,Settings!$C$6,Settings!$C$7))*100)</f>
        <v/>
      </c>
      <c r="AH880" s="7" t="n"/>
      <c r="AK880" s="11" t="n"/>
      <c r="AM880">
        <f>IF($D880="","",IF(COUNTIF($D$2:$D880,$D880)=1,1,0))</f>
        <v/>
      </c>
      <c r="AN880">
        <f>IF($AM880=1,SUMPRODUCT(--($AQ$2:$AQ$1001&lt;$AQ880))+1,"")</f>
        <v/>
      </c>
      <c r="AO880">
        <f>IF($D880="","",IF(OR($U880=TRUE(),$U880="TRUE"),1,0))</f>
        <v/>
      </c>
      <c r="AP880">
        <f>IF($D880="","",IF($AC880="Yes",1,0))</f>
        <v/>
      </c>
      <c r="AQ880">
        <f>IF($AM880=1,IFERROR(VALUE(MID($D880,2,20)),1000000000)+ROW()/100000,"")</f>
        <v/>
      </c>
    </row>
    <row r="881">
      <c r="G881" s="11" t="n"/>
      <c r="Q881" s="7">
        <f>IF($D881="","",P881*Y881/100)</f>
        <v/>
      </c>
      <c r="R881" s="7" t="n"/>
      <c r="X881" s="7" t="n"/>
      <c r="Y881" s="7" t="n"/>
      <c r="Z881" s="7">
        <f>IF($D881="","",Y881*AD881/100)</f>
        <v/>
      </c>
      <c r="AA881" s="7">
        <f>IF($D881="","",Y881-Z881)</f>
        <v/>
      </c>
      <c r="AB881" s="7">
        <f>IF($D881="","",AA881-Q881)</f>
        <v/>
      </c>
      <c r="AD881">
        <f>IF($D881="","",IF($AP881=1,0,IF($AO881=1,Settings!$C$6,Settings!$C$7))*100)</f>
        <v/>
      </c>
      <c r="AH881" s="7" t="n"/>
      <c r="AK881" s="11" t="n"/>
      <c r="AM881">
        <f>IF($D881="","",IF(COUNTIF($D$2:$D881,$D881)=1,1,0))</f>
        <v/>
      </c>
      <c r="AN881">
        <f>IF($AM881=1,SUMPRODUCT(--($AQ$2:$AQ$1001&lt;$AQ881))+1,"")</f>
        <v/>
      </c>
      <c r="AO881">
        <f>IF($D881="","",IF(OR($U881=TRUE(),$U881="TRUE"),1,0))</f>
        <v/>
      </c>
      <c r="AP881">
        <f>IF($D881="","",IF($AC881="Yes",1,0))</f>
        <v/>
      </c>
      <c r="AQ881">
        <f>IF($AM881=1,IFERROR(VALUE(MID($D881,2,20)),1000000000)+ROW()/100000,"")</f>
        <v/>
      </c>
    </row>
    <row r="882">
      <c r="G882" s="11" t="n"/>
      <c r="Q882" s="7">
        <f>IF($D882="","",P882*Y882/100)</f>
        <v/>
      </c>
      <c r="R882" s="7" t="n"/>
      <c r="X882" s="7" t="n"/>
      <c r="Y882" s="7" t="n"/>
      <c r="Z882" s="7">
        <f>IF($D882="","",Y882*AD882/100)</f>
        <v/>
      </c>
      <c r="AA882" s="7">
        <f>IF($D882="","",Y882-Z882)</f>
        <v/>
      </c>
      <c r="AB882" s="7">
        <f>IF($D882="","",AA882-Q882)</f>
        <v/>
      </c>
      <c r="AD882">
        <f>IF($D882="","",IF($AP882=1,0,IF($AO882=1,Settings!$C$6,Settings!$C$7))*100)</f>
        <v/>
      </c>
      <c r="AH882" s="7" t="n"/>
      <c r="AK882" s="11" t="n"/>
      <c r="AM882">
        <f>IF($D882="","",IF(COUNTIF($D$2:$D882,$D882)=1,1,0))</f>
        <v/>
      </c>
      <c r="AN882">
        <f>IF($AM882=1,SUMPRODUCT(--($AQ$2:$AQ$1001&lt;$AQ882))+1,"")</f>
        <v/>
      </c>
      <c r="AO882">
        <f>IF($D882="","",IF(OR($U882=TRUE(),$U882="TRUE"),1,0))</f>
        <v/>
      </c>
      <c r="AP882">
        <f>IF($D882="","",IF($AC882="Yes",1,0))</f>
        <v/>
      </c>
      <c r="AQ882">
        <f>IF($AM882=1,IFERROR(VALUE(MID($D882,2,20)),1000000000)+ROW()/100000,"")</f>
        <v/>
      </c>
    </row>
    <row r="883">
      <c r="G883" s="11" t="n"/>
      <c r="Q883" s="7">
        <f>IF($D883="","",P883*Y883/100)</f>
        <v/>
      </c>
      <c r="R883" s="7" t="n"/>
      <c r="X883" s="7" t="n"/>
      <c r="Y883" s="7" t="n"/>
      <c r="Z883" s="7">
        <f>IF($D883="","",Y883*AD883/100)</f>
        <v/>
      </c>
      <c r="AA883" s="7">
        <f>IF($D883="","",Y883-Z883)</f>
        <v/>
      </c>
      <c r="AB883" s="7">
        <f>IF($D883="","",AA883-Q883)</f>
        <v/>
      </c>
      <c r="AD883">
        <f>IF($D883="","",IF($AP883=1,0,IF($AO883=1,Settings!$C$6,Settings!$C$7))*100)</f>
        <v/>
      </c>
      <c r="AH883" s="7" t="n"/>
      <c r="AK883" s="11" t="n"/>
      <c r="AM883">
        <f>IF($D883="","",IF(COUNTIF($D$2:$D883,$D883)=1,1,0))</f>
        <v/>
      </c>
      <c r="AN883">
        <f>IF($AM883=1,SUMPRODUCT(--($AQ$2:$AQ$1001&lt;$AQ883))+1,"")</f>
        <v/>
      </c>
      <c r="AO883">
        <f>IF($D883="","",IF(OR($U883=TRUE(),$U883="TRUE"),1,0))</f>
        <v/>
      </c>
      <c r="AP883">
        <f>IF($D883="","",IF($AC883="Yes",1,0))</f>
        <v/>
      </c>
      <c r="AQ883">
        <f>IF($AM883=1,IFERROR(VALUE(MID($D883,2,20)),1000000000)+ROW()/100000,"")</f>
        <v/>
      </c>
    </row>
    <row r="884">
      <c r="G884" s="11" t="n"/>
      <c r="Q884" s="7">
        <f>IF($D884="","",P884*Y884/100)</f>
        <v/>
      </c>
      <c r="R884" s="7" t="n"/>
      <c r="X884" s="7" t="n"/>
      <c r="Y884" s="7" t="n"/>
      <c r="Z884" s="7">
        <f>IF($D884="","",Y884*AD884/100)</f>
        <v/>
      </c>
      <c r="AA884" s="7">
        <f>IF($D884="","",Y884-Z884)</f>
        <v/>
      </c>
      <c r="AB884" s="7">
        <f>IF($D884="","",AA884-Q884)</f>
        <v/>
      </c>
      <c r="AD884">
        <f>IF($D884="","",IF($AP884=1,0,IF($AO884=1,Settings!$C$6,Settings!$C$7))*100)</f>
        <v/>
      </c>
      <c r="AH884" s="7" t="n"/>
      <c r="AK884" s="11" t="n"/>
      <c r="AM884">
        <f>IF($D884="","",IF(COUNTIF($D$2:$D884,$D884)=1,1,0))</f>
        <v/>
      </c>
      <c r="AN884">
        <f>IF($AM884=1,SUMPRODUCT(--($AQ$2:$AQ$1001&lt;$AQ884))+1,"")</f>
        <v/>
      </c>
      <c r="AO884">
        <f>IF($D884="","",IF(OR($U884=TRUE(),$U884="TRUE"),1,0))</f>
        <v/>
      </c>
      <c r="AP884">
        <f>IF($D884="","",IF($AC884="Yes",1,0))</f>
        <v/>
      </c>
      <c r="AQ884">
        <f>IF($AM884=1,IFERROR(VALUE(MID($D884,2,20)),1000000000)+ROW()/100000,"")</f>
        <v/>
      </c>
    </row>
    <row r="885">
      <c r="G885" s="11" t="n"/>
      <c r="Q885" s="7">
        <f>IF($D885="","",P885*Y885/100)</f>
        <v/>
      </c>
      <c r="R885" s="7" t="n"/>
      <c r="X885" s="7" t="n"/>
      <c r="Y885" s="7" t="n"/>
      <c r="Z885" s="7">
        <f>IF($D885="","",Y885*AD885/100)</f>
        <v/>
      </c>
      <c r="AA885" s="7">
        <f>IF($D885="","",Y885-Z885)</f>
        <v/>
      </c>
      <c r="AB885" s="7">
        <f>IF($D885="","",AA885-Q885)</f>
        <v/>
      </c>
      <c r="AD885">
        <f>IF($D885="","",IF($AP885=1,0,IF($AO885=1,Settings!$C$6,Settings!$C$7))*100)</f>
        <v/>
      </c>
      <c r="AH885" s="7" t="n"/>
      <c r="AK885" s="11" t="n"/>
      <c r="AM885">
        <f>IF($D885="","",IF(COUNTIF($D$2:$D885,$D885)=1,1,0))</f>
        <v/>
      </c>
      <c r="AN885">
        <f>IF($AM885=1,SUMPRODUCT(--($AQ$2:$AQ$1001&lt;$AQ885))+1,"")</f>
        <v/>
      </c>
      <c r="AO885">
        <f>IF($D885="","",IF(OR($U885=TRUE(),$U885="TRUE"),1,0))</f>
        <v/>
      </c>
      <c r="AP885">
        <f>IF($D885="","",IF($AC885="Yes",1,0))</f>
        <v/>
      </c>
      <c r="AQ885">
        <f>IF($AM885=1,IFERROR(VALUE(MID($D885,2,20)),1000000000)+ROW()/100000,"")</f>
        <v/>
      </c>
    </row>
    <row r="886">
      <c r="G886" s="11" t="n"/>
      <c r="Q886" s="7">
        <f>IF($D886="","",P886*Y886/100)</f>
        <v/>
      </c>
      <c r="R886" s="7" t="n"/>
      <c r="X886" s="7" t="n"/>
      <c r="Y886" s="7" t="n"/>
      <c r="Z886" s="7">
        <f>IF($D886="","",Y886*AD886/100)</f>
        <v/>
      </c>
      <c r="AA886" s="7">
        <f>IF($D886="","",Y886-Z886)</f>
        <v/>
      </c>
      <c r="AB886" s="7">
        <f>IF($D886="","",AA886-Q886)</f>
        <v/>
      </c>
      <c r="AD886">
        <f>IF($D886="","",IF($AP886=1,0,IF($AO886=1,Settings!$C$6,Settings!$C$7))*100)</f>
        <v/>
      </c>
      <c r="AH886" s="7" t="n"/>
      <c r="AK886" s="11" t="n"/>
      <c r="AM886">
        <f>IF($D886="","",IF(COUNTIF($D$2:$D886,$D886)=1,1,0))</f>
        <v/>
      </c>
      <c r="AN886">
        <f>IF($AM886=1,SUMPRODUCT(--($AQ$2:$AQ$1001&lt;$AQ886))+1,"")</f>
        <v/>
      </c>
      <c r="AO886">
        <f>IF($D886="","",IF(OR($U886=TRUE(),$U886="TRUE"),1,0))</f>
        <v/>
      </c>
      <c r="AP886">
        <f>IF($D886="","",IF($AC886="Yes",1,0))</f>
        <v/>
      </c>
      <c r="AQ886">
        <f>IF($AM886=1,IFERROR(VALUE(MID($D886,2,20)),1000000000)+ROW()/100000,"")</f>
        <v/>
      </c>
    </row>
    <row r="887">
      <c r="G887" s="11" t="n"/>
      <c r="Q887" s="7">
        <f>IF($D887="","",P887*Y887/100)</f>
        <v/>
      </c>
      <c r="R887" s="7" t="n"/>
      <c r="X887" s="7" t="n"/>
      <c r="Y887" s="7" t="n"/>
      <c r="Z887" s="7">
        <f>IF($D887="","",Y887*AD887/100)</f>
        <v/>
      </c>
      <c r="AA887" s="7">
        <f>IF($D887="","",Y887-Z887)</f>
        <v/>
      </c>
      <c r="AB887" s="7">
        <f>IF($D887="","",AA887-Q887)</f>
        <v/>
      </c>
      <c r="AD887">
        <f>IF($D887="","",IF($AP887=1,0,IF($AO887=1,Settings!$C$6,Settings!$C$7))*100)</f>
        <v/>
      </c>
      <c r="AH887" s="7" t="n"/>
      <c r="AK887" s="11" t="n"/>
      <c r="AM887">
        <f>IF($D887="","",IF(COUNTIF($D$2:$D887,$D887)=1,1,0))</f>
        <v/>
      </c>
      <c r="AN887">
        <f>IF($AM887=1,SUMPRODUCT(--($AQ$2:$AQ$1001&lt;$AQ887))+1,"")</f>
        <v/>
      </c>
      <c r="AO887">
        <f>IF($D887="","",IF(OR($U887=TRUE(),$U887="TRUE"),1,0))</f>
        <v/>
      </c>
      <c r="AP887">
        <f>IF($D887="","",IF($AC887="Yes",1,0))</f>
        <v/>
      </c>
      <c r="AQ887">
        <f>IF($AM887=1,IFERROR(VALUE(MID($D887,2,20)),1000000000)+ROW()/100000,"")</f>
        <v/>
      </c>
    </row>
    <row r="888">
      <c r="G888" s="11" t="n"/>
      <c r="Q888" s="7">
        <f>IF($D888="","",P888*Y888/100)</f>
        <v/>
      </c>
      <c r="R888" s="7" t="n"/>
      <c r="X888" s="7" t="n"/>
      <c r="Y888" s="7" t="n"/>
      <c r="Z888" s="7">
        <f>IF($D888="","",Y888*AD888/100)</f>
        <v/>
      </c>
      <c r="AA888" s="7">
        <f>IF($D888="","",Y888-Z888)</f>
        <v/>
      </c>
      <c r="AB888" s="7">
        <f>IF($D888="","",AA888-Q888)</f>
        <v/>
      </c>
      <c r="AD888">
        <f>IF($D888="","",IF($AP888=1,0,IF($AO888=1,Settings!$C$6,Settings!$C$7))*100)</f>
        <v/>
      </c>
      <c r="AH888" s="7" t="n"/>
      <c r="AK888" s="11" t="n"/>
      <c r="AM888">
        <f>IF($D888="","",IF(COUNTIF($D$2:$D888,$D888)=1,1,0))</f>
        <v/>
      </c>
      <c r="AN888">
        <f>IF($AM888=1,SUMPRODUCT(--($AQ$2:$AQ$1001&lt;$AQ888))+1,"")</f>
        <v/>
      </c>
      <c r="AO888">
        <f>IF($D888="","",IF(OR($U888=TRUE(),$U888="TRUE"),1,0))</f>
        <v/>
      </c>
      <c r="AP888">
        <f>IF($D888="","",IF($AC888="Yes",1,0))</f>
        <v/>
      </c>
      <c r="AQ888">
        <f>IF($AM888=1,IFERROR(VALUE(MID($D888,2,20)),1000000000)+ROW()/100000,"")</f>
        <v/>
      </c>
    </row>
    <row r="889">
      <c r="G889" s="11" t="n"/>
      <c r="Q889" s="7">
        <f>IF($D889="","",P889*Y889/100)</f>
        <v/>
      </c>
      <c r="R889" s="7" t="n"/>
      <c r="X889" s="7" t="n"/>
      <c r="Y889" s="7" t="n"/>
      <c r="Z889" s="7">
        <f>IF($D889="","",Y889*AD889/100)</f>
        <v/>
      </c>
      <c r="AA889" s="7">
        <f>IF($D889="","",Y889-Z889)</f>
        <v/>
      </c>
      <c r="AB889" s="7">
        <f>IF($D889="","",AA889-Q889)</f>
        <v/>
      </c>
      <c r="AD889">
        <f>IF($D889="","",IF($AP889=1,0,IF($AO889=1,Settings!$C$6,Settings!$C$7))*100)</f>
        <v/>
      </c>
      <c r="AH889" s="7" t="n"/>
      <c r="AK889" s="11" t="n"/>
      <c r="AM889">
        <f>IF($D889="","",IF(COUNTIF($D$2:$D889,$D889)=1,1,0))</f>
        <v/>
      </c>
      <c r="AN889">
        <f>IF($AM889=1,SUMPRODUCT(--($AQ$2:$AQ$1001&lt;$AQ889))+1,"")</f>
        <v/>
      </c>
      <c r="AO889">
        <f>IF($D889="","",IF(OR($U889=TRUE(),$U889="TRUE"),1,0))</f>
        <v/>
      </c>
      <c r="AP889">
        <f>IF($D889="","",IF($AC889="Yes",1,0))</f>
        <v/>
      </c>
      <c r="AQ889">
        <f>IF($AM889=1,IFERROR(VALUE(MID($D889,2,20)),1000000000)+ROW()/100000,"")</f>
        <v/>
      </c>
    </row>
    <row r="890">
      <c r="G890" s="11" t="n"/>
      <c r="Q890" s="7">
        <f>IF($D890="","",P890*Y890/100)</f>
        <v/>
      </c>
      <c r="R890" s="7" t="n"/>
      <c r="X890" s="7" t="n"/>
      <c r="Y890" s="7" t="n"/>
      <c r="Z890" s="7">
        <f>IF($D890="","",Y890*AD890/100)</f>
        <v/>
      </c>
      <c r="AA890" s="7">
        <f>IF($D890="","",Y890-Z890)</f>
        <v/>
      </c>
      <c r="AB890" s="7">
        <f>IF($D890="","",AA890-Q890)</f>
        <v/>
      </c>
      <c r="AD890">
        <f>IF($D890="","",IF($AP890=1,0,IF($AO890=1,Settings!$C$6,Settings!$C$7))*100)</f>
        <v/>
      </c>
      <c r="AH890" s="7" t="n"/>
      <c r="AK890" s="11" t="n"/>
      <c r="AM890">
        <f>IF($D890="","",IF(COUNTIF($D$2:$D890,$D890)=1,1,0))</f>
        <v/>
      </c>
      <c r="AN890">
        <f>IF($AM890=1,SUMPRODUCT(--($AQ$2:$AQ$1001&lt;$AQ890))+1,"")</f>
        <v/>
      </c>
      <c r="AO890">
        <f>IF($D890="","",IF(OR($U890=TRUE(),$U890="TRUE"),1,0))</f>
        <v/>
      </c>
      <c r="AP890">
        <f>IF($D890="","",IF($AC890="Yes",1,0))</f>
        <v/>
      </c>
      <c r="AQ890">
        <f>IF($AM890=1,IFERROR(VALUE(MID($D890,2,20)),1000000000)+ROW()/100000,"")</f>
        <v/>
      </c>
    </row>
    <row r="891">
      <c r="G891" s="11" t="n"/>
      <c r="Q891" s="7">
        <f>IF($D891="","",P891*Y891/100)</f>
        <v/>
      </c>
      <c r="R891" s="7" t="n"/>
      <c r="X891" s="7" t="n"/>
      <c r="Y891" s="7" t="n"/>
      <c r="Z891" s="7">
        <f>IF($D891="","",Y891*AD891/100)</f>
        <v/>
      </c>
      <c r="AA891" s="7">
        <f>IF($D891="","",Y891-Z891)</f>
        <v/>
      </c>
      <c r="AB891" s="7">
        <f>IF($D891="","",AA891-Q891)</f>
        <v/>
      </c>
      <c r="AD891">
        <f>IF($D891="","",IF($AP891=1,0,IF($AO891=1,Settings!$C$6,Settings!$C$7))*100)</f>
        <v/>
      </c>
      <c r="AH891" s="7" t="n"/>
      <c r="AK891" s="11" t="n"/>
      <c r="AM891">
        <f>IF($D891="","",IF(COUNTIF($D$2:$D891,$D891)=1,1,0))</f>
        <v/>
      </c>
      <c r="AN891">
        <f>IF($AM891=1,SUMPRODUCT(--($AQ$2:$AQ$1001&lt;$AQ891))+1,"")</f>
        <v/>
      </c>
      <c r="AO891">
        <f>IF($D891="","",IF(OR($U891=TRUE(),$U891="TRUE"),1,0))</f>
        <v/>
      </c>
      <c r="AP891">
        <f>IF($D891="","",IF($AC891="Yes",1,0))</f>
        <v/>
      </c>
      <c r="AQ891">
        <f>IF($AM891=1,IFERROR(VALUE(MID($D891,2,20)),1000000000)+ROW()/100000,"")</f>
        <v/>
      </c>
    </row>
    <row r="892">
      <c r="G892" s="11" t="n"/>
      <c r="Q892" s="7">
        <f>IF($D892="","",P892*Y892/100)</f>
        <v/>
      </c>
      <c r="R892" s="7" t="n"/>
      <c r="X892" s="7" t="n"/>
      <c r="Y892" s="7" t="n"/>
      <c r="Z892" s="7">
        <f>IF($D892="","",Y892*AD892/100)</f>
        <v/>
      </c>
      <c r="AA892" s="7">
        <f>IF($D892="","",Y892-Z892)</f>
        <v/>
      </c>
      <c r="AB892" s="7">
        <f>IF($D892="","",AA892-Q892)</f>
        <v/>
      </c>
      <c r="AD892">
        <f>IF($D892="","",IF($AP892=1,0,IF($AO892=1,Settings!$C$6,Settings!$C$7))*100)</f>
        <v/>
      </c>
      <c r="AH892" s="7" t="n"/>
      <c r="AK892" s="11" t="n"/>
      <c r="AM892">
        <f>IF($D892="","",IF(COUNTIF($D$2:$D892,$D892)=1,1,0))</f>
        <v/>
      </c>
      <c r="AN892">
        <f>IF($AM892=1,SUMPRODUCT(--($AQ$2:$AQ$1001&lt;$AQ892))+1,"")</f>
        <v/>
      </c>
      <c r="AO892">
        <f>IF($D892="","",IF(OR($U892=TRUE(),$U892="TRUE"),1,0))</f>
        <v/>
      </c>
      <c r="AP892">
        <f>IF($D892="","",IF($AC892="Yes",1,0))</f>
        <v/>
      </c>
      <c r="AQ892">
        <f>IF($AM892=1,IFERROR(VALUE(MID($D892,2,20)),1000000000)+ROW()/100000,"")</f>
        <v/>
      </c>
    </row>
    <row r="893">
      <c r="G893" s="11" t="n"/>
      <c r="Q893" s="7">
        <f>IF($D893="","",P893*Y893/100)</f>
        <v/>
      </c>
      <c r="R893" s="7" t="n"/>
      <c r="X893" s="7" t="n"/>
      <c r="Y893" s="7" t="n"/>
      <c r="Z893" s="7">
        <f>IF($D893="","",Y893*AD893/100)</f>
        <v/>
      </c>
      <c r="AA893" s="7">
        <f>IF($D893="","",Y893-Z893)</f>
        <v/>
      </c>
      <c r="AB893" s="7">
        <f>IF($D893="","",AA893-Q893)</f>
        <v/>
      </c>
      <c r="AD893">
        <f>IF($D893="","",IF($AP893=1,0,IF($AO893=1,Settings!$C$6,Settings!$C$7))*100)</f>
        <v/>
      </c>
      <c r="AH893" s="7" t="n"/>
      <c r="AK893" s="11" t="n"/>
      <c r="AM893">
        <f>IF($D893="","",IF(COUNTIF($D$2:$D893,$D893)=1,1,0))</f>
        <v/>
      </c>
      <c r="AN893">
        <f>IF($AM893=1,SUMPRODUCT(--($AQ$2:$AQ$1001&lt;$AQ893))+1,"")</f>
        <v/>
      </c>
      <c r="AO893">
        <f>IF($D893="","",IF(OR($U893=TRUE(),$U893="TRUE"),1,0))</f>
        <v/>
      </c>
      <c r="AP893">
        <f>IF($D893="","",IF($AC893="Yes",1,0))</f>
        <v/>
      </c>
      <c r="AQ893">
        <f>IF($AM893=1,IFERROR(VALUE(MID($D893,2,20)),1000000000)+ROW()/100000,"")</f>
        <v/>
      </c>
    </row>
    <row r="894">
      <c r="G894" s="11" t="n"/>
      <c r="Q894" s="7">
        <f>IF($D894="","",P894*Y894/100)</f>
        <v/>
      </c>
      <c r="R894" s="7" t="n"/>
      <c r="X894" s="7" t="n"/>
      <c r="Y894" s="7" t="n"/>
      <c r="Z894" s="7">
        <f>IF($D894="","",Y894*AD894/100)</f>
        <v/>
      </c>
      <c r="AA894" s="7">
        <f>IF($D894="","",Y894-Z894)</f>
        <v/>
      </c>
      <c r="AB894" s="7">
        <f>IF($D894="","",AA894-Q894)</f>
        <v/>
      </c>
      <c r="AD894">
        <f>IF($D894="","",IF($AP894=1,0,IF($AO894=1,Settings!$C$6,Settings!$C$7))*100)</f>
        <v/>
      </c>
      <c r="AH894" s="7" t="n"/>
      <c r="AK894" s="11" t="n"/>
      <c r="AM894">
        <f>IF($D894="","",IF(COUNTIF($D$2:$D894,$D894)=1,1,0))</f>
        <v/>
      </c>
      <c r="AN894">
        <f>IF($AM894=1,SUMPRODUCT(--($AQ$2:$AQ$1001&lt;$AQ894))+1,"")</f>
        <v/>
      </c>
      <c r="AO894">
        <f>IF($D894="","",IF(OR($U894=TRUE(),$U894="TRUE"),1,0))</f>
        <v/>
      </c>
      <c r="AP894">
        <f>IF($D894="","",IF($AC894="Yes",1,0))</f>
        <v/>
      </c>
      <c r="AQ894">
        <f>IF($AM894=1,IFERROR(VALUE(MID($D894,2,20)),1000000000)+ROW()/100000,"")</f>
        <v/>
      </c>
    </row>
    <row r="895">
      <c r="G895" s="11" t="n"/>
      <c r="Q895" s="7">
        <f>IF($D895="","",P895*Y895/100)</f>
        <v/>
      </c>
      <c r="R895" s="7" t="n"/>
      <c r="X895" s="7" t="n"/>
      <c r="Y895" s="7" t="n"/>
      <c r="Z895" s="7">
        <f>IF($D895="","",Y895*AD895/100)</f>
        <v/>
      </c>
      <c r="AA895" s="7">
        <f>IF($D895="","",Y895-Z895)</f>
        <v/>
      </c>
      <c r="AB895" s="7">
        <f>IF($D895="","",AA895-Q895)</f>
        <v/>
      </c>
      <c r="AD895">
        <f>IF($D895="","",IF($AP895=1,0,IF($AO895=1,Settings!$C$6,Settings!$C$7))*100)</f>
        <v/>
      </c>
      <c r="AH895" s="7" t="n"/>
      <c r="AK895" s="11" t="n"/>
      <c r="AM895">
        <f>IF($D895="","",IF(COUNTIF($D$2:$D895,$D895)=1,1,0))</f>
        <v/>
      </c>
      <c r="AN895">
        <f>IF($AM895=1,SUMPRODUCT(--($AQ$2:$AQ$1001&lt;$AQ895))+1,"")</f>
        <v/>
      </c>
      <c r="AO895">
        <f>IF($D895="","",IF(OR($U895=TRUE(),$U895="TRUE"),1,0))</f>
        <v/>
      </c>
      <c r="AP895">
        <f>IF($D895="","",IF($AC895="Yes",1,0))</f>
        <v/>
      </c>
      <c r="AQ895">
        <f>IF($AM895=1,IFERROR(VALUE(MID($D895,2,20)),1000000000)+ROW()/100000,"")</f>
        <v/>
      </c>
    </row>
    <row r="896">
      <c r="G896" s="11" t="n"/>
      <c r="Q896" s="7">
        <f>IF($D896="","",P896*Y896/100)</f>
        <v/>
      </c>
      <c r="R896" s="7" t="n"/>
      <c r="X896" s="7" t="n"/>
      <c r="Y896" s="7" t="n"/>
      <c r="Z896" s="7">
        <f>IF($D896="","",Y896*AD896/100)</f>
        <v/>
      </c>
      <c r="AA896" s="7">
        <f>IF($D896="","",Y896-Z896)</f>
        <v/>
      </c>
      <c r="AB896" s="7">
        <f>IF($D896="","",AA896-Q896)</f>
        <v/>
      </c>
      <c r="AD896">
        <f>IF($D896="","",IF($AP896=1,0,IF($AO896=1,Settings!$C$6,Settings!$C$7))*100)</f>
        <v/>
      </c>
      <c r="AH896" s="7" t="n"/>
      <c r="AK896" s="11" t="n"/>
      <c r="AM896">
        <f>IF($D896="","",IF(COUNTIF($D$2:$D896,$D896)=1,1,0))</f>
        <v/>
      </c>
      <c r="AN896">
        <f>IF($AM896=1,SUMPRODUCT(--($AQ$2:$AQ$1001&lt;$AQ896))+1,"")</f>
        <v/>
      </c>
      <c r="AO896">
        <f>IF($D896="","",IF(OR($U896=TRUE(),$U896="TRUE"),1,0))</f>
        <v/>
      </c>
      <c r="AP896">
        <f>IF($D896="","",IF($AC896="Yes",1,0))</f>
        <v/>
      </c>
      <c r="AQ896">
        <f>IF($AM896=1,IFERROR(VALUE(MID($D896,2,20)),1000000000)+ROW()/100000,"")</f>
        <v/>
      </c>
    </row>
    <row r="897">
      <c r="G897" s="11" t="n"/>
      <c r="Q897" s="7">
        <f>IF($D897="","",P897*Y897/100)</f>
        <v/>
      </c>
      <c r="R897" s="7" t="n"/>
      <c r="X897" s="7" t="n"/>
      <c r="Y897" s="7" t="n"/>
      <c r="Z897" s="7">
        <f>IF($D897="","",Y897*AD897/100)</f>
        <v/>
      </c>
      <c r="AA897" s="7">
        <f>IF($D897="","",Y897-Z897)</f>
        <v/>
      </c>
      <c r="AB897" s="7">
        <f>IF($D897="","",AA897-Q897)</f>
        <v/>
      </c>
      <c r="AD897">
        <f>IF($D897="","",IF($AP897=1,0,IF($AO897=1,Settings!$C$6,Settings!$C$7))*100)</f>
        <v/>
      </c>
      <c r="AH897" s="7" t="n"/>
      <c r="AK897" s="11" t="n"/>
      <c r="AM897">
        <f>IF($D897="","",IF(COUNTIF($D$2:$D897,$D897)=1,1,0))</f>
        <v/>
      </c>
      <c r="AN897">
        <f>IF($AM897=1,SUMPRODUCT(--($AQ$2:$AQ$1001&lt;$AQ897))+1,"")</f>
        <v/>
      </c>
      <c r="AO897">
        <f>IF($D897="","",IF(OR($U897=TRUE(),$U897="TRUE"),1,0))</f>
        <v/>
      </c>
      <c r="AP897">
        <f>IF($D897="","",IF($AC897="Yes",1,0))</f>
        <v/>
      </c>
      <c r="AQ897">
        <f>IF($AM897=1,IFERROR(VALUE(MID($D897,2,20)),1000000000)+ROW()/100000,"")</f>
        <v/>
      </c>
    </row>
    <row r="898">
      <c r="G898" s="11" t="n"/>
      <c r="Q898" s="7">
        <f>IF($D898="","",P898*Y898/100)</f>
        <v/>
      </c>
      <c r="R898" s="7" t="n"/>
      <c r="X898" s="7" t="n"/>
      <c r="Y898" s="7" t="n"/>
      <c r="Z898" s="7">
        <f>IF($D898="","",Y898*AD898/100)</f>
        <v/>
      </c>
      <c r="AA898" s="7">
        <f>IF($D898="","",Y898-Z898)</f>
        <v/>
      </c>
      <c r="AB898" s="7">
        <f>IF($D898="","",AA898-Q898)</f>
        <v/>
      </c>
      <c r="AD898">
        <f>IF($D898="","",IF($AP898=1,0,IF($AO898=1,Settings!$C$6,Settings!$C$7))*100)</f>
        <v/>
      </c>
      <c r="AH898" s="7" t="n"/>
      <c r="AK898" s="11" t="n"/>
      <c r="AM898">
        <f>IF($D898="","",IF(COUNTIF($D$2:$D898,$D898)=1,1,0))</f>
        <v/>
      </c>
      <c r="AN898">
        <f>IF($AM898=1,SUMPRODUCT(--($AQ$2:$AQ$1001&lt;$AQ898))+1,"")</f>
        <v/>
      </c>
      <c r="AO898">
        <f>IF($D898="","",IF(OR($U898=TRUE(),$U898="TRUE"),1,0))</f>
        <v/>
      </c>
      <c r="AP898">
        <f>IF($D898="","",IF($AC898="Yes",1,0))</f>
        <v/>
      </c>
      <c r="AQ898">
        <f>IF($AM898=1,IFERROR(VALUE(MID($D898,2,20)),1000000000)+ROW()/100000,"")</f>
        <v/>
      </c>
    </row>
    <row r="899">
      <c r="G899" s="11" t="n"/>
      <c r="Q899" s="7">
        <f>IF($D899="","",P899*Y899/100)</f>
        <v/>
      </c>
      <c r="R899" s="7" t="n"/>
      <c r="X899" s="7" t="n"/>
      <c r="Y899" s="7" t="n"/>
      <c r="Z899" s="7">
        <f>IF($D899="","",Y899*AD899/100)</f>
        <v/>
      </c>
      <c r="AA899" s="7">
        <f>IF($D899="","",Y899-Z899)</f>
        <v/>
      </c>
      <c r="AB899" s="7">
        <f>IF($D899="","",AA899-Q899)</f>
        <v/>
      </c>
      <c r="AD899">
        <f>IF($D899="","",IF($AP899=1,0,IF($AO899=1,Settings!$C$6,Settings!$C$7))*100)</f>
        <v/>
      </c>
      <c r="AH899" s="7" t="n"/>
      <c r="AK899" s="11" t="n"/>
      <c r="AM899">
        <f>IF($D899="","",IF(COUNTIF($D$2:$D899,$D899)=1,1,0))</f>
        <v/>
      </c>
      <c r="AN899">
        <f>IF($AM899=1,SUMPRODUCT(--($AQ$2:$AQ$1001&lt;$AQ899))+1,"")</f>
        <v/>
      </c>
      <c r="AO899">
        <f>IF($D899="","",IF(OR($U899=TRUE(),$U899="TRUE"),1,0))</f>
        <v/>
      </c>
      <c r="AP899">
        <f>IF($D899="","",IF($AC899="Yes",1,0))</f>
        <v/>
      </c>
      <c r="AQ899">
        <f>IF($AM899=1,IFERROR(VALUE(MID($D899,2,20)),1000000000)+ROW()/100000,"")</f>
        <v/>
      </c>
    </row>
    <row r="900">
      <c r="G900" s="11" t="n"/>
      <c r="Q900" s="7">
        <f>IF($D900="","",P900*Y900/100)</f>
        <v/>
      </c>
      <c r="R900" s="7" t="n"/>
      <c r="X900" s="7" t="n"/>
      <c r="Y900" s="7" t="n"/>
      <c r="Z900" s="7">
        <f>IF($D900="","",Y900*AD900/100)</f>
        <v/>
      </c>
      <c r="AA900" s="7">
        <f>IF($D900="","",Y900-Z900)</f>
        <v/>
      </c>
      <c r="AB900" s="7">
        <f>IF($D900="","",AA900-Q900)</f>
        <v/>
      </c>
      <c r="AD900">
        <f>IF($D900="","",IF($AP900=1,0,IF($AO900=1,Settings!$C$6,Settings!$C$7))*100)</f>
        <v/>
      </c>
      <c r="AH900" s="7" t="n"/>
      <c r="AK900" s="11" t="n"/>
      <c r="AM900">
        <f>IF($D900="","",IF(COUNTIF($D$2:$D900,$D900)=1,1,0))</f>
        <v/>
      </c>
      <c r="AN900">
        <f>IF($AM900=1,SUMPRODUCT(--($AQ$2:$AQ$1001&lt;$AQ900))+1,"")</f>
        <v/>
      </c>
      <c r="AO900">
        <f>IF($D900="","",IF(OR($U900=TRUE(),$U900="TRUE"),1,0))</f>
        <v/>
      </c>
      <c r="AP900">
        <f>IF($D900="","",IF($AC900="Yes",1,0))</f>
        <v/>
      </c>
      <c r="AQ900">
        <f>IF($AM900=1,IFERROR(VALUE(MID($D900,2,20)),1000000000)+ROW()/100000,"")</f>
        <v/>
      </c>
    </row>
    <row r="901">
      <c r="G901" s="11" t="n"/>
      <c r="Q901" s="7">
        <f>IF($D901="","",P901*Y901/100)</f>
        <v/>
      </c>
      <c r="R901" s="7" t="n"/>
      <c r="X901" s="7" t="n"/>
      <c r="Y901" s="7" t="n"/>
      <c r="Z901" s="7">
        <f>IF($D901="","",Y901*AD901/100)</f>
        <v/>
      </c>
      <c r="AA901" s="7">
        <f>IF($D901="","",Y901-Z901)</f>
        <v/>
      </c>
      <c r="AB901" s="7">
        <f>IF($D901="","",AA901-Q901)</f>
        <v/>
      </c>
      <c r="AD901">
        <f>IF($D901="","",IF($AP901=1,0,IF($AO901=1,Settings!$C$6,Settings!$C$7))*100)</f>
        <v/>
      </c>
      <c r="AH901" s="7" t="n"/>
      <c r="AK901" s="11" t="n"/>
      <c r="AM901">
        <f>IF($D901="","",IF(COUNTIF($D$2:$D901,$D901)=1,1,0))</f>
        <v/>
      </c>
      <c r="AN901">
        <f>IF($AM901=1,SUMPRODUCT(--($AQ$2:$AQ$1001&lt;$AQ901))+1,"")</f>
        <v/>
      </c>
      <c r="AO901">
        <f>IF($D901="","",IF(OR($U901=TRUE(),$U901="TRUE"),1,0))</f>
        <v/>
      </c>
      <c r="AP901">
        <f>IF($D901="","",IF($AC901="Yes",1,0))</f>
        <v/>
      </c>
      <c r="AQ901">
        <f>IF($AM901=1,IFERROR(VALUE(MID($D901,2,20)),1000000000)+ROW()/100000,"")</f>
        <v/>
      </c>
    </row>
    <row r="902">
      <c r="G902" s="11" t="n"/>
      <c r="Q902" s="7">
        <f>IF($D902="","",P902*Y902/100)</f>
        <v/>
      </c>
      <c r="R902" s="7" t="n"/>
      <c r="X902" s="7" t="n"/>
      <c r="Y902" s="7" t="n"/>
      <c r="Z902" s="7">
        <f>IF($D902="","",Y902*AD902/100)</f>
        <v/>
      </c>
      <c r="AA902" s="7">
        <f>IF($D902="","",Y902-Z902)</f>
        <v/>
      </c>
      <c r="AB902" s="7">
        <f>IF($D902="","",AA902-Q902)</f>
        <v/>
      </c>
      <c r="AD902">
        <f>IF($D902="","",IF($AP902=1,0,IF($AO902=1,Settings!$C$6,Settings!$C$7))*100)</f>
        <v/>
      </c>
      <c r="AH902" s="7" t="n"/>
      <c r="AK902" s="11" t="n"/>
      <c r="AM902">
        <f>IF($D902="","",IF(COUNTIF($D$2:$D902,$D902)=1,1,0))</f>
        <v/>
      </c>
      <c r="AN902">
        <f>IF($AM902=1,SUMPRODUCT(--($AQ$2:$AQ$1001&lt;$AQ902))+1,"")</f>
        <v/>
      </c>
      <c r="AO902">
        <f>IF($D902="","",IF(OR($U902=TRUE(),$U902="TRUE"),1,0))</f>
        <v/>
      </c>
      <c r="AP902">
        <f>IF($D902="","",IF($AC902="Yes",1,0))</f>
        <v/>
      </c>
      <c r="AQ902">
        <f>IF($AM902=1,IFERROR(VALUE(MID($D902,2,20)),1000000000)+ROW()/100000,"")</f>
        <v/>
      </c>
    </row>
    <row r="903">
      <c r="G903" s="11" t="n"/>
      <c r="Q903" s="7">
        <f>IF($D903="","",P903*Y903/100)</f>
        <v/>
      </c>
      <c r="R903" s="7" t="n"/>
      <c r="X903" s="7" t="n"/>
      <c r="Y903" s="7" t="n"/>
      <c r="Z903" s="7">
        <f>IF($D903="","",Y903*AD903/100)</f>
        <v/>
      </c>
      <c r="AA903" s="7">
        <f>IF($D903="","",Y903-Z903)</f>
        <v/>
      </c>
      <c r="AB903" s="7">
        <f>IF($D903="","",AA903-Q903)</f>
        <v/>
      </c>
      <c r="AD903">
        <f>IF($D903="","",IF($AP903=1,0,IF($AO903=1,Settings!$C$6,Settings!$C$7))*100)</f>
        <v/>
      </c>
      <c r="AH903" s="7" t="n"/>
      <c r="AK903" s="11" t="n"/>
      <c r="AM903">
        <f>IF($D903="","",IF(COUNTIF($D$2:$D903,$D903)=1,1,0))</f>
        <v/>
      </c>
      <c r="AN903">
        <f>IF($AM903=1,SUMPRODUCT(--($AQ$2:$AQ$1001&lt;$AQ903))+1,"")</f>
        <v/>
      </c>
      <c r="AO903">
        <f>IF($D903="","",IF(OR($U903=TRUE(),$U903="TRUE"),1,0))</f>
        <v/>
      </c>
      <c r="AP903">
        <f>IF($D903="","",IF($AC903="Yes",1,0))</f>
        <v/>
      </c>
      <c r="AQ903">
        <f>IF($AM903=1,IFERROR(VALUE(MID($D903,2,20)),1000000000)+ROW()/100000,"")</f>
        <v/>
      </c>
    </row>
    <row r="904">
      <c r="G904" s="11" t="n"/>
      <c r="Q904" s="7">
        <f>IF($D904="","",P904*Y904/100)</f>
        <v/>
      </c>
      <c r="R904" s="7" t="n"/>
      <c r="X904" s="7" t="n"/>
      <c r="Y904" s="7" t="n"/>
      <c r="Z904" s="7">
        <f>IF($D904="","",Y904*AD904/100)</f>
        <v/>
      </c>
      <c r="AA904" s="7">
        <f>IF($D904="","",Y904-Z904)</f>
        <v/>
      </c>
      <c r="AB904" s="7">
        <f>IF($D904="","",AA904-Q904)</f>
        <v/>
      </c>
      <c r="AD904">
        <f>IF($D904="","",IF($AP904=1,0,IF($AO904=1,Settings!$C$6,Settings!$C$7))*100)</f>
        <v/>
      </c>
      <c r="AH904" s="7" t="n"/>
      <c r="AK904" s="11" t="n"/>
      <c r="AM904">
        <f>IF($D904="","",IF(COUNTIF($D$2:$D904,$D904)=1,1,0))</f>
        <v/>
      </c>
      <c r="AN904">
        <f>IF($AM904=1,SUMPRODUCT(--($AQ$2:$AQ$1001&lt;$AQ904))+1,"")</f>
        <v/>
      </c>
      <c r="AO904">
        <f>IF($D904="","",IF(OR($U904=TRUE(),$U904="TRUE"),1,0))</f>
        <v/>
      </c>
      <c r="AP904">
        <f>IF($D904="","",IF($AC904="Yes",1,0))</f>
        <v/>
      </c>
      <c r="AQ904">
        <f>IF($AM904=1,IFERROR(VALUE(MID($D904,2,20)),1000000000)+ROW()/100000,"")</f>
        <v/>
      </c>
    </row>
    <row r="905">
      <c r="G905" s="11" t="n"/>
      <c r="Q905" s="7">
        <f>IF($D905="","",P905*Y905/100)</f>
        <v/>
      </c>
      <c r="R905" s="7" t="n"/>
      <c r="X905" s="7" t="n"/>
      <c r="Y905" s="7" t="n"/>
      <c r="Z905" s="7">
        <f>IF($D905="","",Y905*AD905/100)</f>
        <v/>
      </c>
      <c r="AA905" s="7">
        <f>IF($D905="","",Y905-Z905)</f>
        <v/>
      </c>
      <c r="AB905" s="7">
        <f>IF($D905="","",AA905-Q905)</f>
        <v/>
      </c>
      <c r="AD905">
        <f>IF($D905="","",IF($AP905=1,0,IF($AO905=1,Settings!$C$6,Settings!$C$7))*100)</f>
        <v/>
      </c>
      <c r="AH905" s="7" t="n"/>
      <c r="AK905" s="11" t="n"/>
      <c r="AM905">
        <f>IF($D905="","",IF(COUNTIF($D$2:$D905,$D905)=1,1,0))</f>
        <v/>
      </c>
      <c r="AN905">
        <f>IF($AM905=1,SUMPRODUCT(--($AQ$2:$AQ$1001&lt;$AQ905))+1,"")</f>
        <v/>
      </c>
      <c r="AO905">
        <f>IF($D905="","",IF(OR($U905=TRUE(),$U905="TRUE"),1,0))</f>
        <v/>
      </c>
      <c r="AP905">
        <f>IF($D905="","",IF($AC905="Yes",1,0))</f>
        <v/>
      </c>
      <c r="AQ905">
        <f>IF($AM905=1,IFERROR(VALUE(MID($D905,2,20)),1000000000)+ROW()/100000,"")</f>
        <v/>
      </c>
    </row>
    <row r="906">
      <c r="G906" s="11" t="n"/>
      <c r="Q906" s="7">
        <f>IF($D906="","",P906*Y906/100)</f>
        <v/>
      </c>
      <c r="R906" s="7" t="n"/>
      <c r="X906" s="7" t="n"/>
      <c r="Y906" s="7" t="n"/>
      <c r="Z906" s="7">
        <f>IF($D906="","",Y906*AD906/100)</f>
        <v/>
      </c>
      <c r="AA906" s="7">
        <f>IF($D906="","",Y906-Z906)</f>
        <v/>
      </c>
      <c r="AB906" s="7">
        <f>IF($D906="","",AA906-Q906)</f>
        <v/>
      </c>
      <c r="AD906">
        <f>IF($D906="","",IF($AP906=1,0,IF($AO906=1,Settings!$C$6,Settings!$C$7))*100)</f>
        <v/>
      </c>
      <c r="AH906" s="7" t="n"/>
      <c r="AK906" s="11" t="n"/>
      <c r="AM906">
        <f>IF($D906="","",IF(COUNTIF($D$2:$D906,$D906)=1,1,0))</f>
        <v/>
      </c>
      <c r="AN906">
        <f>IF($AM906=1,SUMPRODUCT(--($AQ$2:$AQ$1001&lt;$AQ906))+1,"")</f>
        <v/>
      </c>
      <c r="AO906">
        <f>IF($D906="","",IF(OR($U906=TRUE(),$U906="TRUE"),1,0))</f>
        <v/>
      </c>
      <c r="AP906">
        <f>IF($D906="","",IF($AC906="Yes",1,0))</f>
        <v/>
      </c>
      <c r="AQ906">
        <f>IF($AM906=1,IFERROR(VALUE(MID($D906,2,20)),1000000000)+ROW()/100000,"")</f>
        <v/>
      </c>
    </row>
    <row r="907">
      <c r="G907" s="11" t="n"/>
      <c r="Q907" s="7">
        <f>IF($D907="","",P907*Y907/100)</f>
        <v/>
      </c>
      <c r="R907" s="7" t="n"/>
      <c r="X907" s="7" t="n"/>
      <c r="Y907" s="7" t="n"/>
      <c r="Z907" s="7">
        <f>IF($D907="","",Y907*AD907/100)</f>
        <v/>
      </c>
      <c r="AA907" s="7">
        <f>IF($D907="","",Y907-Z907)</f>
        <v/>
      </c>
      <c r="AB907" s="7">
        <f>IF($D907="","",AA907-Q907)</f>
        <v/>
      </c>
      <c r="AD907">
        <f>IF($D907="","",IF($AP907=1,0,IF($AO907=1,Settings!$C$6,Settings!$C$7))*100)</f>
        <v/>
      </c>
      <c r="AH907" s="7" t="n"/>
      <c r="AK907" s="11" t="n"/>
      <c r="AM907">
        <f>IF($D907="","",IF(COUNTIF($D$2:$D907,$D907)=1,1,0))</f>
        <v/>
      </c>
      <c r="AN907">
        <f>IF($AM907=1,SUMPRODUCT(--($AQ$2:$AQ$1001&lt;$AQ907))+1,"")</f>
        <v/>
      </c>
      <c r="AO907">
        <f>IF($D907="","",IF(OR($U907=TRUE(),$U907="TRUE"),1,0))</f>
        <v/>
      </c>
      <c r="AP907">
        <f>IF($D907="","",IF($AC907="Yes",1,0))</f>
        <v/>
      </c>
      <c r="AQ907">
        <f>IF($AM907=1,IFERROR(VALUE(MID($D907,2,20)),1000000000)+ROW()/100000,"")</f>
        <v/>
      </c>
    </row>
    <row r="908">
      <c r="G908" s="11" t="n"/>
      <c r="Q908" s="7">
        <f>IF($D908="","",P908*Y908/100)</f>
        <v/>
      </c>
      <c r="R908" s="7" t="n"/>
      <c r="X908" s="7" t="n"/>
      <c r="Y908" s="7" t="n"/>
      <c r="Z908" s="7">
        <f>IF($D908="","",Y908*AD908/100)</f>
        <v/>
      </c>
      <c r="AA908" s="7">
        <f>IF($D908="","",Y908-Z908)</f>
        <v/>
      </c>
      <c r="AB908" s="7">
        <f>IF($D908="","",AA908-Q908)</f>
        <v/>
      </c>
      <c r="AD908">
        <f>IF($D908="","",IF($AP908=1,0,IF($AO908=1,Settings!$C$6,Settings!$C$7))*100)</f>
        <v/>
      </c>
      <c r="AH908" s="7" t="n"/>
      <c r="AK908" s="11" t="n"/>
      <c r="AM908">
        <f>IF($D908="","",IF(COUNTIF($D$2:$D908,$D908)=1,1,0))</f>
        <v/>
      </c>
      <c r="AN908">
        <f>IF($AM908=1,SUMPRODUCT(--($AQ$2:$AQ$1001&lt;$AQ908))+1,"")</f>
        <v/>
      </c>
      <c r="AO908">
        <f>IF($D908="","",IF(OR($U908=TRUE(),$U908="TRUE"),1,0))</f>
        <v/>
      </c>
      <c r="AP908">
        <f>IF($D908="","",IF($AC908="Yes",1,0))</f>
        <v/>
      </c>
      <c r="AQ908">
        <f>IF($AM908=1,IFERROR(VALUE(MID($D908,2,20)),1000000000)+ROW()/100000,"")</f>
        <v/>
      </c>
    </row>
    <row r="909">
      <c r="G909" s="11" t="n"/>
      <c r="Q909" s="7">
        <f>IF($D909="","",P909*Y909/100)</f>
        <v/>
      </c>
      <c r="R909" s="7" t="n"/>
      <c r="X909" s="7" t="n"/>
      <c r="Y909" s="7" t="n"/>
      <c r="Z909" s="7">
        <f>IF($D909="","",Y909*AD909/100)</f>
        <v/>
      </c>
      <c r="AA909" s="7">
        <f>IF($D909="","",Y909-Z909)</f>
        <v/>
      </c>
      <c r="AB909" s="7">
        <f>IF($D909="","",AA909-Q909)</f>
        <v/>
      </c>
      <c r="AD909">
        <f>IF($D909="","",IF($AP909=1,0,IF($AO909=1,Settings!$C$6,Settings!$C$7))*100)</f>
        <v/>
      </c>
      <c r="AH909" s="7" t="n"/>
      <c r="AK909" s="11" t="n"/>
      <c r="AM909">
        <f>IF($D909="","",IF(COUNTIF($D$2:$D909,$D909)=1,1,0))</f>
        <v/>
      </c>
      <c r="AN909">
        <f>IF($AM909=1,SUMPRODUCT(--($AQ$2:$AQ$1001&lt;$AQ909))+1,"")</f>
        <v/>
      </c>
      <c r="AO909">
        <f>IF($D909="","",IF(OR($U909=TRUE(),$U909="TRUE"),1,0))</f>
        <v/>
      </c>
      <c r="AP909">
        <f>IF($D909="","",IF($AC909="Yes",1,0))</f>
        <v/>
      </c>
      <c r="AQ909">
        <f>IF($AM909=1,IFERROR(VALUE(MID($D909,2,20)),1000000000)+ROW()/100000,"")</f>
        <v/>
      </c>
    </row>
    <row r="910">
      <c r="G910" s="11" t="n"/>
      <c r="Q910" s="7">
        <f>IF($D910="","",P910*Y910/100)</f>
        <v/>
      </c>
      <c r="R910" s="7" t="n"/>
      <c r="X910" s="7" t="n"/>
      <c r="Y910" s="7" t="n"/>
      <c r="Z910" s="7">
        <f>IF($D910="","",Y910*AD910/100)</f>
        <v/>
      </c>
      <c r="AA910" s="7">
        <f>IF($D910="","",Y910-Z910)</f>
        <v/>
      </c>
      <c r="AB910" s="7">
        <f>IF($D910="","",AA910-Q910)</f>
        <v/>
      </c>
      <c r="AD910">
        <f>IF($D910="","",IF($AP910=1,0,IF($AO910=1,Settings!$C$6,Settings!$C$7))*100)</f>
        <v/>
      </c>
      <c r="AH910" s="7" t="n"/>
      <c r="AK910" s="11" t="n"/>
      <c r="AM910">
        <f>IF($D910="","",IF(COUNTIF($D$2:$D910,$D910)=1,1,0))</f>
        <v/>
      </c>
      <c r="AN910">
        <f>IF($AM910=1,SUMPRODUCT(--($AQ$2:$AQ$1001&lt;$AQ910))+1,"")</f>
        <v/>
      </c>
      <c r="AO910">
        <f>IF($D910="","",IF(OR($U910=TRUE(),$U910="TRUE"),1,0))</f>
        <v/>
      </c>
      <c r="AP910">
        <f>IF($D910="","",IF($AC910="Yes",1,0))</f>
        <v/>
      </c>
      <c r="AQ910">
        <f>IF($AM910=1,IFERROR(VALUE(MID($D910,2,20)),1000000000)+ROW()/100000,"")</f>
        <v/>
      </c>
    </row>
    <row r="911">
      <c r="G911" s="11" t="n"/>
      <c r="Q911" s="7">
        <f>IF($D911="","",P911*Y911/100)</f>
        <v/>
      </c>
      <c r="R911" s="7" t="n"/>
      <c r="X911" s="7" t="n"/>
      <c r="Y911" s="7" t="n"/>
      <c r="Z911" s="7">
        <f>IF($D911="","",Y911*AD911/100)</f>
        <v/>
      </c>
      <c r="AA911" s="7">
        <f>IF($D911="","",Y911-Z911)</f>
        <v/>
      </c>
      <c r="AB911" s="7">
        <f>IF($D911="","",AA911-Q911)</f>
        <v/>
      </c>
      <c r="AD911">
        <f>IF($D911="","",IF($AP911=1,0,IF($AO911=1,Settings!$C$6,Settings!$C$7))*100)</f>
        <v/>
      </c>
      <c r="AH911" s="7" t="n"/>
      <c r="AK911" s="11" t="n"/>
      <c r="AM911">
        <f>IF($D911="","",IF(COUNTIF($D$2:$D911,$D911)=1,1,0))</f>
        <v/>
      </c>
      <c r="AN911">
        <f>IF($AM911=1,SUMPRODUCT(--($AQ$2:$AQ$1001&lt;$AQ911))+1,"")</f>
        <v/>
      </c>
      <c r="AO911">
        <f>IF($D911="","",IF(OR($U911=TRUE(),$U911="TRUE"),1,0))</f>
        <v/>
      </c>
      <c r="AP911">
        <f>IF($D911="","",IF($AC911="Yes",1,0))</f>
        <v/>
      </c>
      <c r="AQ911">
        <f>IF($AM911=1,IFERROR(VALUE(MID($D911,2,20)),1000000000)+ROW()/100000,"")</f>
        <v/>
      </c>
    </row>
    <row r="912">
      <c r="G912" s="11" t="n"/>
      <c r="Q912" s="7">
        <f>IF($D912="","",P912*Y912/100)</f>
        <v/>
      </c>
      <c r="R912" s="7" t="n"/>
      <c r="X912" s="7" t="n"/>
      <c r="Y912" s="7" t="n"/>
      <c r="Z912" s="7">
        <f>IF($D912="","",Y912*AD912/100)</f>
        <v/>
      </c>
      <c r="AA912" s="7">
        <f>IF($D912="","",Y912-Z912)</f>
        <v/>
      </c>
      <c r="AB912" s="7">
        <f>IF($D912="","",AA912-Q912)</f>
        <v/>
      </c>
      <c r="AD912">
        <f>IF($D912="","",IF($AP912=1,0,IF($AO912=1,Settings!$C$6,Settings!$C$7))*100)</f>
        <v/>
      </c>
      <c r="AH912" s="7" t="n"/>
      <c r="AK912" s="11" t="n"/>
      <c r="AM912">
        <f>IF($D912="","",IF(COUNTIF($D$2:$D912,$D912)=1,1,0))</f>
        <v/>
      </c>
      <c r="AN912">
        <f>IF($AM912=1,SUMPRODUCT(--($AQ$2:$AQ$1001&lt;$AQ912))+1,"")</f>
        <v/>
      </c>
      <c r="AO912">
        <f>IF($D912="","",IF(OR($U912=TRUE(),$U912="TRUE"),1,0))</f>
        <v/>
      </c>
      <c r="AP912">
        <f>IF($D912="","",IF($AC912="Yes",1,0))</f>
        <v/>
      </c>
      <c r="AQ912">
        <f>IF($AM912=1,IFERROR(VALUE(MID($D912,2,20)),1000000000)+ROW()/100000,"")</f>
        <v/>
      </c>
    </row>
    <row r="913">
      <c r="G913" s="11" t="n"/>
      <c r="Q913" s="7">
        <f>IF($D913="","",P913*Y913/100)</f>
        <v/>
      </c>
      <c r="R913" s="7" t="n"/>
      <c r="X913" s="7" t="n"/>
      <c r="Y913" s="7" t="n"/>
      <c r="Z913" s="7">
        <f>IF($D913="","",Y913*AD913/100)</f>
        <v/>
      </c>
      <c r="AA913" s="7">
        <f>IF($D913="","",Y913-Z913)</f>
        <v/>
      </c>
      <c r="AB913" s="7">
        <f>IF($D913="","",AA913-Q913)</f>
        <v/>
      </c>
      <c r="AD913">
        <f>IF($D913="","",IF($AP913=1,0,IF($AO913=1,Settings!$C$6,Settings!$C$7))*100)</f>
        <v/>
      </c>
      <c r="AH913" s="7" t="n"/>
      <c r="AK913" s="11" t="n"/>
      <c r="AM913">
        <f>IF($D913="","",IF(COUNTIF($D$2:$D913,$D913)=1,1,0))</f>
        <v/>
      </c>
      <c r="AN913">
        <f>IF($AM913=1,SUMPRODUCT(--($AQ$2:$AQ$1001&lt;$AQ913))+1,"")</f>
        <v/>
      </c>
      <c r="AO913">
        <f>IF($D913="","",IF(OR($U913=TRUE(),$U913="TRUE"),1,0))</f>
        <v/>
      </c>
      <c r="AP913">
        <f>IF($D913="","",IF($AC913="Yes",1,0))</f>
        <v/>
      </c>
      <c r="AQ913">
        <f>IF($AM913=1,IFERROR(VALUE(MID($D913,2,20)),1000000000)+ROW()/100000,"")</f>
        <v/>
      </c>
    </row>
    <row r="914">
      <c r="G914" s="11" t="n"/>
      <c r="Q914" s="7">
        <f>IF($D914="","",P914*Y914/100)</f>
        <v/>
      </c>
      <c r="R914" s="7" t="n"/>
      <c r="X914" s="7" t="n"/>
      <c r="Y914" s="7" t="n"/>
      <c r="Z914" s="7">
        <f>IF($D914="","",Y914*AD914/100)</f>
        <v/>
      </c>
      <c r="AA914" s="7">
        <f>IF($D914="","",Y914-Z914)</f>
        <v/>
      </c>
      <c r="AB914" s="7">
        <f>IF($D914="","",AA914-Q914)</f>
        <v/>
      </c>
      <c r="AD914">
        <f>IF($D914="","",IF($AP914=1,0,IF($AO914=1,Settings!$C$6,Settings!$C$7))*100)</f>
        <v/>
      </c>
      <c r="AH914" s="7" t="n"/>
      <c r="AK914" s="11" t="n"/>
      <c r="AM914">
        <f>IF($D914="","",IF(COUNTIF($D$2:$D914,$D914)=1,1,0))</f>
        <v/>
      </c>
      <c r="AN914">
        <f>IF($AM914=1,SUMPRODUCT(--($AQ$2:$AQ$1001&lt;$AQ914))+1,"")</f>
        <v/>
      </c>
      <c r="AO914">
        <f>IF($D914="","",IF(OR($U914=TRUE(),$U914="TRUE"),1,0))</f>
        <v/>
      </c>
      <c r="AP914">
        <f>IF($D914="","",IF($AC914="Yes",1,0))</f>
        <v/>
      </c>
      <c r="AQ914">
        <f>IF($AM914=1,IFERROR(VALUE(MID($D914,2,20)),1000000000)+ROW()/100000,"")</f>
        <v/>
      </c>
    </row>
    <row r="915">
      <c r="G915" s="11" t="n"/>
      <c r="Q915" s="7">
        <f>IF($D915="","",P915*Y915/100)</f>
        <v/>
      </c>
      <c r="R915" s="7" t="n"/>
      <c r="X915" s="7" t="n"/>
      <c r="Y915" s="7" t="n"/>
      <c r="Z915" s="7">
        <f>IF($D915="","",Y915*AD915/100)</f>
        <v/>
      </c>
      <c r="AA915" s="7">
        <f>IF($D915="","",Y915-Z915)</f>
        <v/>
      </c>
      <c r="AB915" s="7">
        <f>IF($D915="","",AA915-Q915)</f>
        <v/>
      </c>
      <c r="AD915">
        <f>IF($D915="","",IF($AP915=1,0,IF($AO915=1,Settings!$C$6,Settings!$C$7))*100)</f>
        <v/>
      </c>
      <c r="AH915" s="7" t="n"/>
      <c r="AK915" s="11" t="n"/>
      <c r="AM915">
        <f>IF($D915="","",IF(COUNTIF($D$2:$D915,$D915)=1,1,0))</f>
        <v/>
      </c>
      <c r="AN915">
        <f>IF($AM915=1,SUMPRODUCT(--($AQ$2:$AQ$1001&lt;$AQ915))+1,"")</f>
        <v/>
      </c>
      <c r="AO915">
        <f>IF($D915="","",IF(OR($U915=TRUE(),$U915="TRUE"),1,0))</f>
        <v/>
      </c>
      <c r="AP915">
        <f>IF($D915="","",IF($AC915="Yes",1,0))</f>
        <v/>
      </c>
      <c r="AQ915">
        <f>IF($AM915=1,IFERROR(VALUE(MID($D915,2,20)),1000000000)+ROW()/100000,"")</f>
        <v/>
      </c>
    </row>
    <row r="916">
      <c r="G916" s="11" t="n"/>
      <c r="Q916" s="7">
        <f>IF($D916="","",P916*Y916/100)</f>
        <v/>
      </c>
      <c r="R916" s="7" t="n"/>
      <c r="X916" s="7" t="n"/>
      <c r="Y916" s="7" t="n"/>
      <c r="Z916" s="7">
        <f>IF($D916="","",Y916*AD916/100)</f>
        <v/>
      </c>
      <c r="AA916" s="7">
        <f>IF($D916="","",Y916-Z916)</f>
        <v/>
      </c>
      <c r="AB916" s="7">
        <f>IF($D916="","",AA916-Q916)</f>
        <v/>
      </c>
      <c r="AD916">
        <f>IF($D916="","",IF($AP916=1,0,IF($AO916=1,Settings!$C$6,Settings!$C$7))*100)</f>
        <v/>
      </c>
      <c r="AH916" s="7" t="n"/>
      <c r="AK916" s="11" t="n"/>
      <c r="AM916">
        <f>IF($D916="","",IF(COUNTIF($D$2:$D916,$D916)=1,1,0))</f>
        <v/>
      </c>
      <c r="AN916">
        <f>IF($AM916=1,SUMPRODUCT(--($AQ$2:$AQ$1001&lt;$AQ916))+1,"")</f>
        <v/>
      </c>
      <c r="AO916">
        <f>IF($D916="","",IF(OR($U916=TRUE(),$U916="TRUE"),1,0))</f>
        <v/>
      </c>
      <c r="AP916">
        <f>IF($D916="","",IF($AC916="Yes",1,0))</f>
        <v/>
      </c>
      <c r="AQ916">
        <f>IF($AM916=1,IFERROR(VALUE(MID($D916,2,20)),1000000000)+ROW()/100000,"")</f>
        <v/>
      </c>
    </row>
    <row r="917">
      <c r="G917" s="11" t="n"/>
      <c r="Q917" s="7">
        <f>IF($D917="","",P917*Y917/100)</f>
        <v/>
      </c>
      <c r="R917" s="7" t="n"/>
      <c r="X917" s="7" t="n"/>
      <c r="Y917" s="7" t="n"/>
      <c r="Z917" s="7">
        <f>IF($D917="","",Y917*AD917/100)</f>
        <v/>
      </c>
      <c r="AA917" s="7">
        <f>IF($D917="","",Y917-Z917)</f>
        <v/>
      </c>
      <c r="AB917" s="7">
        <f>IF($D917="","",AA917-Q917)</f>
        <v/>
      </c>
      <c r="AD917">
        <f>IF($D917="","",IF($AP917=1,0,IF($AO917=1,Settings!$C$6,Settings!$C$7))*100)</f>
        <v/>
      </c>
      <c r="AH917" s="7" t="n"/>
      <c r="AK917" s="11" t="n"/>
      <c r="AM917">
        <f>IF($D917="","",IF(COUNTIF($D$2:$D917,$D917)=1,1,0))</f>
        <v/>
      </c>
      <c r="AN917">
        <f>IF($AM917=1,SUMPRODUCT(--($AQ$2:$AQ$1001&lt;$AQ917))+1,"")</f>
        <v/>
      </c>
      <c r="AO917">
        <f>IF($D917="","",IF(OR($U917=TRUE(),$U917="TRUE"),1,0))</f>
        <v/>
      </c>
      <c r="AP917">
        <f>IF($D917="","",IF($AC917="Yes",1,0))</f>
        <v/>
      </c>
      <c r="AQ917">
        <f>IF($AM917=1,IFERROR(VALUE(MID($D917,2,20)),1000000000)+ROW()/100000,"")</f>
        <v/>
      </c>
    </row>
    <row r="918">
      <c r="G918" s="11" t="n"/>
      <c r="Q918" s="7">
        <f>IF($D918="","",P918*Y918/100)</f>
        <v/>
      </c>
      <c r="R918" s="7" t="n"/>
      <c r="X918" s="7" t="n"/>
      <c r="Y918" s="7" t="n"/>
      <c r="Z918" s="7">
        <f>IF($D918="","",Y918*AD918/100)</f>
        <v/>
      </c>
      <c r="AA918" s="7">
        <f>IF($D918="","",Y918-Z918)</f>
        <v/>
      </c>
      <c r="AB918" s="7">
        <f>IF($D918="","",AA918-Q918)</f>
        <v/>
      </c>
      <c r="AD918">
        <f>IF($D918="","",IF($AP918=1,0,IF($AO918=1,Settings!$C$6,Settings!$C$7))*100)</f>
        <v/>
      </c>
      <c r="AH918" s="7" t="n"/>
      <c r="AK918" s="11" t="n"/>
      <c r="AM918">
        <f>IF($D918="","",IF(COUNTIF($D$2:$D918,$D918)=1,1,0))</f>
        <v/>
      </c>
      <c r="AN918">
        <f>IF($AM918=1,SUMPRODUCT(--($AQ$2:$AQ$1001&lt;$AQ918))+1,"")</f>
        <v/>
      </c>
      <c r="AO918">
        <f>IF($D918="","",IF(OR($U918=TRUE(),$U918="TRUE"),1,0))</f>
        <v/>
      </c>
      <c r="AP918">
        <f>IF($D918="","",IF($AC918="Yes",1,0))</f>
        <v/>
      </c>
      <c r="AQ918">
        <f>IF($AM918=1,IFERROR(VALUE(MID($D918,2,20)),1000000000)+ROW()/100000,"")</f>
        <v/>
      </c>
    </row>
    <row r="919">
      <c r="G919" s="11" t="n"/>
      <c r="Q919" s="7">
        <f>IF($D919="","",P919*Y919/100)</f>
        <v/>
      </c>
      <c r="R919" s="7" t="n"/>
      <c r="X919" s="7" t="n"/>
      <c r="Y919" s="7" t="n"/>
      <c r="Z919" s="7">
        <f>IF($D919="","",Y919*AD919/100)</f>
        <v/>
      </c>
      <c r="AA919" s="7">
        <f>IF($D919="","",Y919-Z919)</f>
        <v/>
      </c>
      <c r="AB919" s="7">
        <f>IF($D919="","",AA919-Q919)</f>
        <v/>
      </c>
      <c r="AD919">
        <f>IF($D919="","",IF($AP919=1,0,IF($AO919=1,Settings!$C$6,Settings!$C$7))*100)</f>
        <v/>
      </c>
      <c r="AH919" s="7" t="n"/>
      <c r="AK919" s="11" t="n"/>
      <c r="AM919">
        <f>IF($D919="","",IF(COUNTIF($D$2:$D919,$D919)=1,1,0))</f>
        <v/>
      </c>
      <c r="AN919">
        <f>IF($AM919=1,SUMPRODUCT(--($AQ$2:$AQ$1001&lt;$AQ919))+1,"")</f>
        <v/>
      </c>
      <c r="AO919">
        <f>IF($D919="","",IF(OR($U919=TRUE(),$U919="TRUE"),1,0))</f>
        <v/>
      </c>
      <c r="AP919">
        <f>IF($D919="","",IF($AC919="Yes",1,0))</f>
        <v/>
      </c>
      <c r="AQ919">
        <f>IF($AM919=1,IFERROR(VALUE(MID($D919,2,20)),1000000000)+ROW()/100000,"")</f>
        <v/>
      </c>
    </row>
    <row r="920">
      <c r="G920" s="11" t="n"/>
      <c r="Q920" s="7">
        <f>IF($D920="","",P920*Y920/100)</f>
        <v/>
      </c>
      <c r="R920" s="7" t="n"/>
      <c r="X920" s="7" t="n"/>
      <c r="Y920" s="7" t="n"/>
      <c r="Z920" s="7">
        <f>IF($D920="","",Y920*AD920/100)</f>
        <v/>
      </c>
      <c r="AA920" s="7">
        <f>IF($D920="","",Y920-Z920)</f>
        <v/>
      </c>
      <c r="AB920" s="7">
        <f>IF($D920="","",AA920-Q920)</f>
        <v/>
      </c>
      <c r="AD920">
        <f>IF($D920="","",IF($AP920=1,0,IF($AO920=1,Settings!$C$6,Settings!$C$7))*100)</f>
        <v/>
      </c>
      <c r="AH920" s="7" t="n"/>
      <c r="AK920" s="11" t="n"/>
      <c r="AM920">
        <f>IF($D920="","",IF(COUNTIF($D$2:$D920,$D920)=1,1,0))</f>
        <v/>
      </c>
      <c r="AN920">
        <f>IF($AM920=1,SUMPRODUCT(--($AQ$2:$AQ$1001&lt;$AQ920))+1,"")</f>
        <v/>
      </c>
      <c r="AO920">
        <f>IF($D920="","",IF(OR($U920=TRUE(),$U920="TRUE"),1,0))</f>
        <v/>
      </c>
      <c r="AP920">
        <f>IF($D920="","",IF($AC920="Yes",1,0))</f>
        <v/>
      </c>
      <c r="AQ920">
        <f>IF($AM920=1,IFERROR(VALUE(MID($D920,2,20)),1000000000)+ROW()/100000,"")</f>
        <v/>
      </c>
    </row>
    <row r="921">
      <c r="G921" s="11" t="n"/>
      <c r="Q921" s="7">
        <f>IF($D921="","",P921*Y921/100)</f>
        <v/>
      </c>
      <c r="R921" s="7" t="n"/>
      <c r="X921" s="7" t="n"/>
      <c r="Y921" s="7" t="n"/>
      <c r="Z921" s="7">
        <f>IF($D921="","",Y921*AD921/100)</f>
        <v/>
      </c>
      <c r="AA921" s="7">
        <f>IF($D921="","",Y921-Z921)</f>
        <v/>
      </c>
      <c r="AB921" s="7">
        <f>IF($D921="","",AA921-Q921)</f>
        <v/>
      </c>
      <c r="AD921">
        <f>IF($D921="","",IF($AP921=1,0,IF($AO921=1,Settings!$C$6,Settings!$C$7))*100)</f>
        <v/>
      </c>
      <c r="AH921" s="7" t="n"/>
      <c r="AK921" s="11" t="n"/>
      <c r="AM921">
        <f>IF($D921="","",IF(COUNTIF($D$2:$D921,$D921)=1,1,0))</f>
        <v/>
      </c>
      <c r="AN921">
        <f>IF($AM921=1,SUMPRODUCT(--($AQ$2:$AQ$1001&lt;$AQ921))+1,"")</f>
        <v/>
      </c>
      <c r="AO921">
        <f>IF($D921="","",IF(OR($U921=TRUE(),$U921="TRUE"),1,0))</f>
        <v/>
      </c>
      <c r="AP921">
        <f>IF($D921="","",IF($AC921="Yes",1,0))</f>
        <v/>
      </c>
      <c r="AQ921">
        <f>IF($AM921=1,IFERROR(VALUE(MID($D921,2,20)),1000000000)+ROW()/100000,"")</f>
        <v/>
      </c>
    </row>
    <row r="922">
      <c r="G922" s="11" t="n"/>
      <c r="Q922" s="7">
        <f>IF($D922="","",P922*Y922/100)</f>
        <v/>
      </c>
      <c r="R922" s="7" t="n"/>
      <c r="X922" s="7" t="n"/>
      <c r="Y922" s="7" t="n"/>
      <c r="Z922" s="7">
        <f>IF($D922="","",Y922*AD922/100)</f>
        <v/>
      </c>
      <c r="AA922" s="7">
        <f>IF($D922="","",Y922-Z922)</f>
        <v/>
      </c>
      <c r="AB922" s="7">
        <f>IF($D922="","",AA922-Q922)</f>
        <v/>
      </c>
      <c r="AD922">
        <f>IF($D922="","",IF($AP922=1,0,IF($AO922=1,Settings!$C$6,Settings!$C$7))*100)</f>
        <v/>
      </c>
      <c r="AH922" s="7" t="n"/>
      <c r="AK922" s="11" t="n"/>
      <c r="AM922">
        <f>IF($D922="","",IF(COUNTIF($D$2:$D922,$D922)=1,1,0))</f>
        <v/>
      </c>
      <c r="AN922">
        <f>IF($AM922=1,SUMPRODUCT(--($AQ$2:$AQ$1001&lt;$AQ922))+1,"")</f>
        <v/>
      </c>
      <c r="AO922">
        <f>IF($D922="","",IF(OR($U922=TRUE(),$U922="TRUE"),1,0))</f>
        <v/>
      </c>
      <c r="AP922">
        <f>IF($D922="","",IF($AC922="Yes",1,0))</f>
        <v/>
      </c>
      <c r="AQ922">
        <f>IF($AM922=1,IFERROR(VALUE(MID($D922,2,20)),1000000000)+ROW()/100000,"")</f>
        <v/>
      </c>
    </row>
    <row r="923">
      <c r="G923" s="11" t="n"/>
      <c r="Q923" s="7">
        <f>IF($D923="","",P923*Y923/100)</f>
        <v/>
      </c>
      <c r="R923" s="7" t="n"/>
      <c r="X923" s="7" t="n"/>
      <c r="Y923" s="7" t="n"/>
      <c r="Z923" s="7">
        <f>IF($D923="","",Y923*AD923/100)</f>
        <v/>
      </c>
      <c r="AA923" s="7">
        <f>IF($D923="","",Y923-Z923)</f>
        <v/>
      </c>
      <c r="AB923" s="7">
        <f>IF($D923="","",AA923-Q923)</f>
        <v/>
      </c>
      <c r="AD923">
        <f>IF($D923="","",IF($AP923=1,0,IF($AO923=1,Settings!$C$6,Settings!$C$7))*100)</f>
        <v/>
      </c>
      <c r="AH923" s="7" t="n"/>
      <c r="AK923" s="11" t="n"/>
      <c r="AM923">
        <f>IF($D923="","",IF(COUNTIF($D$2:$D923,$D923)=1,1,0))</f>
        <v/>
      </c>
      <c r="AN923">
        <f>IF($AM923=1,SUMPRODUCT(--($AQ$2:$AQ$1001&lt;$AQ923))+1,"")</f>
        <v/>
      </c>
      <c r="AO923">
        <f>IF($D923="","",IF(OR($U923=TRUE(),$U923="TRUE"),1,0))</f>
        <v/>
      </c>
      <c r="AP923">
        <f>IF($D923="","",IF($AC923="Yes",1,0))</f>
        <v/>
      </c>
      <c r="AQ923">
        <f>IF($AM923=1,IFERROR(VALUE(MID($D923,2,20)),1000000000)+ROW()/100000,"")</f>
        <v/>
      </c>
    </row>
    <row r="924">
      <c r="G924" s="11" t="n"/>
      <c r="Q924" s="7">
        <f>IF($D924="","",P924*Y924/100)</f>
        <v/>
      </c>
      <c r="R924" s="7" t="n"/>
      <c r="X924" s="7" t="n"/>
      <c r="Y924" s="7" t="n"/>
      <c r="Z924" s="7">
        <f>IF($D924="","",Y924*AD924/100)</f>
        <v/>
      </c>
      <c r="AA924" s="7">
        <f>IF($D924="","",Y924-Z924)</f>
        <v/>
      </c>
      <c r="AB924" s="7">
        <f>IF($D924="","",AA924-Q924)</f>
        <v/>
      </c>
      <c r="AD924">
        <f>IF($D924="","",IF($AP924=1,0,IF($AO924=1,Settings!$C$6,Settings!$C$7))*100)</f>
        <v/>
      </c>
      <c r="AH924" s="7" t="n"/>
      <c r="AK924" s="11" t="n"/>
      <c r="AM924">
        <f>IF($D924="","",IF(COUNTIF($D$2:$D924,$D924)=1,1,0))</f>
        <v/>
      </c>
      <c r="AN924">
        <f>IF($AM924=1,SUMPRODUCT(--($AQ$2:$AQ$1001&lt;$AQ924))+1,"")</f>
        <v/>
      </c>
      <c r="AO924">
        <f>IF($D924="","",IF(OR($U924=TRUE(),$U924="TRUE"),1,0))</f>
        <v/>
      </c>
      <c r="AP924">
        <f>IF($D924="","",IF($AC924="Yes",1,0))</f>
        <v/>
      </c>
      <c r="AQ924">
        <f>IF($AM924=1,IFERROR(VALUE(MID($D924,2,20)),1000000000)+ROW()/100000,"")</f>
        <v/>
      </c>
    </row>
    <row r="925">
      <c r="G925" s="11" t="n"/>
      <c r="Q925" s="7">
        <f>IF($D925="","",P925*Y925/100)</f>
        <v/>
      </c>
      <c r="R925" s="7" t="n"/>
      <c r="X925" s="7" t="n"/>
      <c r="Y925" s="7" t="n"/>
      <c r="Z925" s="7">
        <f>IF($D925="","",Y925*AD925/100)</f>
        <v/>
      </c>
      <c r="AA925" s="7">
        <f>IF($D925="","",Y925-Z925)</f>
        <v/>
      </c>
      <c r="AB925" s="7">
        <f>IF($D925="","",AA925-Q925)</f>
        <v/>
      </c>
      <c r="AD925">
        <f>IF($D925="","",IF($AP925=1,0,IF($AO925=1,Settings!$C$6,Settings!$C$7))*100)</f>
        <v/>
      </c>
      <c r="AH925" s="7" t="n"/>
      <c r="AK925" s="11" t="n"/>
      <c r="AM925">
        <f>IF($D925="","",IF(COUNTIF($D$2:$D925,$D925)=1,1,0))</f>
        <v/>
      </c>
      <c r="AN925">
        <f>IF($AM925=1,SUMPRODUCT(--($AQ$2:$AQ$1001&lt;$AQ925))+1,"")</f>
        <v/>
      </c>
      <c r="AO925">
        <f>IF($D925="","",IF(OR($U925=TRUE(),$U925="TRUE"),1,0))</f>
        <v/>
      </c>
      <c r="AP925">
        <f>IF($D925="","",IF($AC925="Yes",1,0))</f>
        <v/>
      </c>
      <c r="AQ925">
        <f>IF($AM925=1,IFERROR(VALUE(MID($D925,2,20)),1000000000)+ROW()/100000,"")</f>
        <v/>
      </c>
    </row>
    <row r="926">
      <c r="G926" s="11" t="n"/>
      <c r="Q926" s="7">
        <f>IF($D926="","",P926*Y926/100)</f>
        <v/>
      </c>
      <c r="R926" s="7" t="n"/>
      <c r="X926" s="7" t="n"/>
      <c r="Y926" s="7" t="n"/>
      <c r="Z926" s="7">
        <f>IF($D926="","",Y926*AD926/100)</f>
        <v/>
      </c>
      <c r="AA926" s="7">
        <f>IF($D926="","",Y926-Z926)</f>
        <v/>
      </c>
      <c r="AB926" s="7">
        <f>IF($D926="","",AA926-Q926)</f>
        <v/>
      </c>
      <c r="AD926">
        <f>IF($D926="","",IF($AP926=1,0,IF($AO926=1,Settings!$C$6,Settings!$C$7))*100)</f>
        <v/>
      </c>
      <c r="AH926" s="7" t="n"/>
      <c r="AK926" s="11" t="n"/>
      <c r="AM926">
        <f>IF($D926="","",IF(COUNTIF($D$2:$D926,$D926)=1,1,0))</f>
        <v/>
      </c>
      <c r="AN926">
        <f>IF($AM926=1,SUMPRODUCT(--($AQ$2:$AQ$1001&lt;$AQ926))+1,"")</f>
        <v/>
      </c>
      <c r="AO926">
        <f>IF($D926="","",IF(OR($U926=TRUE(),$U926="TRUE"),1,0))</f>
        <v/>
      </c>
      <c r="AP926">
        <f>IF($D926="","",IF($AC926="Yes",1,0))</f>
        <v/>
      </c>
      <c r="AQ926">
        <f>IF($AM926=1,IFERROR(VALUE(MID($D926,2,20)),1000000000)+ROW()/100000,"")</f>
        <v/>
      </c>
    </row>
    <row r="927">
      <c r="G927" s="11" t="n"/>
      <c r="Q927" s="7">
        <f>IF($D927="","",P927*Y927/100)</f>
        <v/>
      </c>
      <c r="R927" s="7" t="n"/>
      <c r="X927" s="7" t="n"/>
      <c r="Y927" s="7" t="n"/>
      <c r="Z927" s="7">
        <f>IF($D927="","",Y927*AD927/100)</f>
        <v/>
      </c>
      <c r="AA927" s="7">
        <f>IF($D927="","",Y927-Z927)</f>
        <v/>
      </c>
      <c r="AB927" s="7">
        <f>IF($D927="","",AA927-Q927)</f>
        <v/>
      </c>
      <c r="AD927">
        <f>IF($D927="","",IF($AP927=1,0,IF($AO927=1,Settings!$C$6,Settings!$C$7))*100)</f>
        <v/>
      </c>
      <c r="AH927" s="7" t="n"/>
      <c r="AK927" s="11" t="n"/>
      <c r="AM927">
        <f>IF($D927="","",IF(COUNTIF($D$2:$D927,$D927)=1,1,0))</f>
        <v/>
      </c>
      <c r="AN927">
        <f>IF($AM927=1,SUMPRODUCT(--($AQ$2:$AQ$1001&lt;$AQ927))+1,"")</f>
        <v/>
      </c>
      <c r="AO927">
        <f>IF($D927="","",IF(OR($U927=TRUE(),$U927="TRUE"),1,0))</f>
        <v/>
      </c>
      <c r="AP927">
        <f>IF($D927="","",IF($AC927="Yes",1,0))</f>
        <v/>
      </c>
      <c r="AQ927">
        <f>IF($AM927=1,IFERROR(VALUE(MID($D927,2,20)),1000000000)+ROW()/100000,"")</f>
        <v/>
      </c>
    </row>
    <row r="928">
      <c r="G928" s="11" t="n"/>
      <c r="Q928" s="7">
        <f>IF($D928="","",P928*Y928/100)</f>
        <v/>
      </c>
      <c r="R928" s="7" t="n"/>
      <c r="X928" s="7" t="n"/>
      <c r="Y928" s="7" t="n"/>
      <c r="Z928" s="7">
        <f>IF($D928="","",Y928*AD928/100)</f>
        <v/>
      </c>
      <c r="AA928" s="7">
        <f>IF($D928="","",Y928-Z928)</f>
        <v/>
      </c>
      <c r="AB928" s="7">
        <f>IF($D928="","",AA928-Q928)</f>
        <v/>
      </c>
      <c r="AD928">
        <f>IF($D928="","",IF($AP928=1,0,IF($AO928=1,Settings!$C$6,Settings!$C$7))*100)</f>
        <v/>
      </c>
      <c r="AH928" s="7" t="n"/>
      <c r="AK928" s="11" t="n"/>
      <c r="AM928">
        <f>IF($D928="","",IF(COUNTIF($D$2:$D928,$D928)=1,1,0))</f>
        <v/>
      </c>
      <c r="AN928">
        <f>IF($AM928=1,SUMPRODUCT(--($AQ$2:$AQ$1001&lt;$AQ928))+1,"")</f>
        <v/>
      </c>
      <c r="AO928">
        <f>IF($D928="","",IF(OR($U928=TRUE(),$U928="TRUE"),1,0))</f>
        <v/>
      </c>
      <c r="AP928">
        <f>IF($D928="","",IF($AC928="Yes",1,0))</f>
        <v/>
      </c>
      <c r="AQ928">
        <f>IF($AM928=1,IFERROR(VALUE(MID($D928,2,20)),1000000000)+ROW()/100000,"")</f>
        <v/>
      </c>
    </row>
    <row r="929">
      <c r="G929" s="11" t="n"/>
      <c r="Q929" s="7">
        <f>IF($D929="","",P929*Y929/100)</f>
        <v/>
      </c>
      <c r="R929" s="7" t="n"/>
      <c r="X929" s="7" t="n"/>
      <c r="Y929" s="7" t="n"/>
      <c r="Z929" s="7">
        <f>IF($D929="","",Y929*AD929/100)</f>
        <v/>
      </c>
      <c r="AA929" s="7">
        <f>IF($D929="","",Y929-Z929)</f>
        <v/>
      </c>
      <c r="AB929" s="7">
        <f>IF($D929="","",AA929-Q929)</f>
        <v/>
      </c>
      <c r="AD929">
        <f>IF($D929="","",IF($AP929=1,0,IF($AO929=1,Settings!$C$6,Settings!$C$7))*100)</f>
        <v/>
      </c>
      <c r="AH929" s="7" t="n"/>
      <c r="AK929" s="11" t="n"/>
      <c r="AM929">
        <f>IF($D929="","",IF(COUNTIF($D$2:$D929,$D929)=1,1,0))</f>
        <v/>
      </c>
      <c r="AN929">
        <f>IF($AM929=1,SUMPRODUCT(--($AQ$2:$AQ$1001&lt;$AQ929))+1,"")</f>
        <v/>
      </c>
      <c r="AO929">
        <f>IF($D929="","",IF(OR($U929=TRUE(),$U929="TRUE"),1,0))</f>
        <v/>
      </c>
      <c r="AP929">
        <f>IF($D929="","",IF($AC929="Yes",1,0))</f>
        <v/>
      </c>
      <c r="AQ929">
        <f>IF($AM929=1,IFERROR(VALUE(MID($D929,2,20)),1000000000)+ROW()/100000,"")</f>
        <v/>
      </c>
    </row>
    <row r="930">
      <c r="G930" s="11" t="n"/>
      <c r="Q930" s="7">
        <f>IF($D930="","",P930*Y930/100)</f>
        <v/>
      </c>
      <c r="R930" s="7" t="n"/>
      <c r="X930" s="7" t="n"/>
      <c r="Y930" s="7" t="n"/>
      <c r="Z930" s="7">
        <f>IF($D930="","",Y930*AD930/100)</f>
        <v/>
      </c>
      <c r="AA930" s="7">
        <f>IF($D930="","",Y930-Z930)</f>
        <v/>
      </c>
      <c r="AB930" s="7">
        <f>IF($D930="","",AA930-Q930)</f>
        <v/>
      </c>
      <c r="AD930">
        <f>IF($D930="","",IF($AP930=1,0,IF($AO930=1,Settings!$C$6,Settings!$C$7))*100)</f>
        <v/>
      </c>
      <c r="AH930" s="7" t="n"/>
      <c r="AK930" s="11" t="n"/>
      <c r="AM930">
        <f>IF($D930="","",IF(COUNTIF($D$2:$D930,$D930)=1,1,0))</f>
        <v/>
      </c>
      <c r="AN930">
        <f>IF($AM930=1,SUMPRODUCT(--($AQ$2:$AQ$1001&lt;$AQ930))+1,"")</f>
        <v/>
      </c>
      <c r="AO930">
        <f>IF($D930="","",IF(OR($U930=TRUE(),$U930="TRUE"),1,0))</f>
        <v/>
      </c>
      <c r="AP930">
        <f>IF($D930="","",IF($AC930="Yes",1,0))</f>
        <v/>
      </c>
      <c r="AQ930">
        <f>IF($AM930=1,IFERROR(VALUE(MID($D930,2,20)),1000000000)+ROW()/100000,"")</f>
        <v/>
      </c>
    </row>
    <row r="931">
      <c r="G931" s="11" t="n"/>
      <c r="Q931" s="7">
        <f>IF($D931="","",P931*Y931/100)</f>
        <v/>
      </c>
      <c r="R931" s="7" t="n"/>
      <c r="X931" s="7" t="n"/>
      <c r="Y931" s="7" t="n"/>
      <c r="Z931" s="7">
        <f>IF($D931="","",Y931*AD931/100)</f>
        <v/>
      </c>
      <c r="AA931" s="7">
        <f>IF($D931="","",Y931-Z931)</f>
        <v/>
      </c>
      <c r="AB931" s="7">
        <f>IF($D931="","",AA931-Q931)</f>
        <v/>
      </c>
      <c r="AD931">
        <f>IF($D931="","",IF($AP931=1,0,IF($AO931=1,Settings!$C$6,Settings!$C$7))*100)</f>
        <v/>
      </c>
      <c r="AH931" s="7" t="n"/>
      <c r="AK931" s="11" t="n"/>
      <c r="AM931">
        <f>IF($D931="","",IF(COUNTIF($D$2:$D931,$D931)=1,1,0))</f>
        <v/>
      </c>
      <c r="AN931">
        <f>IF($AM931=1,SUMPRODUCT(--($AQ$2:$AQ$1001&lt;$AQ931))+1,"")</f>
        <v/>
      </c>
      <c r="AO931">
        <f>IF($D931="","",IF(OR($U931=TRUE(),$U931="TRUE"),1,0))</f>
        <v/>
      </c>
      <c r="AP931">
        <f>IF($D931="","",IF($AC931="Yes",1,0))</f>
        <v/>
      </c>
      <c r="AQ931">
        <f>IF($AM931=1,IFERROR(VALUE(MID($D931,2,20)),1000000000)+ROW()/100000,"")</f>
        <v/>
      </c>
    </row>
    <row r="932">
      <c r="G932" s="11" t="n"/>
      <c r="Q932" s="7">
        <f>IF($D932="","",P932*Y932/100)</f>
        <v/>
      </c>
      <c r="R932" s="7" t="n"/>
      <c r="X932" s="7" t="n"/>
      <c r="Y932" s="7" t="n"/>
      <c r="Z932" s="7">
        <f>IF($D932="","",Y932*AD932/100)</f>
        <v/>
      </c>
      <c r="AA932" s="7">
        <f>IF($D932="","",Y932-Z932)</f>
        <v/>
      </c>
      <c r="AB932" s="7">
        <f>IF($D932="","",AA932-Q932)</f>
        <v/>
      </c>
      <c r="AD932">
        <f>IF($D932="","",IF($AP932=1,0,IF($AO932=1,Settings!$C$6,Settings!$C$7))*100)</f>
        <v/>
      </c>
      <c r="AH932" s="7" t="n"/>
      <c r="AK932" s="11" t="n"/>
      <c r="AM932">
        <f>IF($D932="","",IF(COUNTIF($D$2:$D932,$D932)=1,1,0))</f>
        <v/>
      </c>
      <c r="AN932">
        <f>IF($AM932=1,SUMPRODUCT(--($AQ$2:$AQ$1001&lt;$AQ932))+1,"")</f>
        <v/>
      </c>
      <c r="AO932">
        <f>IF($D932="","",IF(OR($U932=TRUE(),$U932="TRUE"),1,0))</f>
        <v/>
      </c>
      <c r="AP932">
        <f>IF($D932="","",IF($AC932="Yes",1,0))</f>
        <v/>
      </c>
      <c r="AQ932">
        <f>IF($AM932=1,IFERROR(VALUE(MID($D932,2,20)),1000000000)+ROW()/100000,"")</f>
        <v/>
      </c>
    </row>
    <row r="933">
      <c r="G933" s="11" t="n"/>
      <c r="Q933" s="7">
        <f>IF($D933="","",P933*Y933/100)</f>
        <v/>
      </c>
      <c r="R933" s="7" t="n"/>
      <c r="X933" s="7" t="n"/>
      <c r="Y933" s="7" t="n"/>
      <c r="Z933" s="7">
        <f>IF($D933="","",Y933*AD933/100)</f>
        <v/>
      </c>
      <c r="AA933" s="7">
        <f>IF($D933="","",Y933-Z933)</f>
        <v/>
      </c>
      <c r="AB933" s="7">
        <f>IF($D933="","",AA933-Q933)</f>
        <v/>
      </c>
      <c r="AD933">
        <f>IF($D933="","",IF($AP933=1,0,IF($AO933=1,Settings!$C$6,Settings!$C$7))*100)</f>
        <v/>
      </c>
      <c r="AH933" s="7" t="n"/>
      <c r="AK933" s="11" t="n"/>
      <c r="AM933">
        <f>IF($D933="","",IF(COUNTIF($D$2:$D933,$D933)=1,1,0))</f>
        <v/>
      </c>
      <c r="AN933">
        <f>IF($AM933=1,SUMPRODUCT(--($AQ$2:$AQ$1001&lt;$AQ933))+1,"")</f>
        <v/>
      </c>
      <c r="AO933">
        <f>IF($D933="","",IF(OR($U933=TRUE(),$U933="TRUE"),1,0))</f>
        <v/>
      </c>
      <c r="AP933">
        <f>IF($D933="","",IF($AC933="Yes",1,0))</f>
        <v/>
      </c>
      <c r="AQ933">
        <f>IF($AM933=1,IFERROR(VALUE(MID($D933,2,20)),1000000000)+ROW()/100000,"")</f>
        <v/>
      </c>
    </row>
    <row r="934">
      <c r="G934" s="11" t="n"/>
      <c r="Q934" s="7">
        <f>IF($D934="","",P934*Y934/100)</f>
        <v/>
      </c>
      <c r="R934" s="7" t="n"/>
      <c r="X934" s="7" t="n"/>
      <c r="Y934" s="7" t="n"/>
      <c r="Z934" s="7">
        <f>IF($D934="","",Y934*AD934/100)</f>
        <v/>
      </c>
      <c r="AA934" s="7">
        <f>IF($D934="","",Y934-Z934)</f>
        <v/>
      </c>
      <c r="AB934" s="7">
        <f>IF($D934="","",AA934-Q934)</f>
        <v/>
      </c>
      <c r="AD934">
        <f>IF($D934="","",IF($AP934=1,0,IF($AO934=1,Settings!$C$6,Settings!$C$7))*100)</f>
        <v/>
      </c>
      <c r="AH934" s="7" t="n"/>
      <c r="AK934" s="11" t="n"/>
      <c r="AM934">
        <f>IF($D934="","",IF(COUNTIF($D$2:$D934,$D934)=1,1,0))</f>
        <v/>
      </c>
      <c r="AN934">
        <f>IF($AM934=1,SUMPRODUCT(--($AQ$2:$AQ$1001&lt;$AQ934))+1,"")</f>
        <v/>
      </c>
      <c r="AO934">
        <f>IF($D934="","",IF(OR($U934=TRUE(),$U934="TRUE"),1,0))</f>
        <v/>
      </c>
      <c r="AP934">
        <f>IF($D934="","",IF($AC934="Yes",1,0))</f>
        <v/>
      </c>
      <c r="AQ934">
        <f>IF($AM934=1,IFERROR(VALUE(MID($D934,2,20)),1000000000)+ROW()/100000,"")</f>
        <v/>
      </c>
    </row>
    <row r="935">
      <c r="G935" s="11" t="n"/>
      <c r="Q935" s="7">
        <f>IF($D935="","",P935*Y935/100)</f>
        <v/>
      </c>
      <c r="R935" s="7" t="n"/>
      <c r="X935" s="7" t="n"/>
      <c r="Y935" s="7" t="n"/>
      <c r="Z935" s="7">
        <f>IF($D935="","",Y935*AD935/100)</f>
        <v/>
      </c>
      <c r="AA935" s="7">
        <f>IF($D935="","",Y935-Z935)</f>
        <v/>
      </c>
      <c r="AB935" s="7">
        <f>IF($D935="","",AA935-Q935)</f>
        <v/>
      </c>
      <c r="AD935">
        <f>IF($D935="","",IF($AP935=1,0,IF($AO935=1,Settings!$C$6,Settings!$C$7))*100)</f>
        <v/>
      </c>
      <c r="AH935" s="7" t="n"/>
      <c r="AK935" s="11" t="n"/>
      <c r="AM935">
        <f>IF($D935="","",IF(COUNTIF($D$2:$D935,$D935)=1,1,0))</f>
        <v/>
      </c>
      <c r="AN935">
        <f>IF($AM935=1,SUMPRODUCT(--($AQ$2:$AQ$1001&lt;$AQ935))+1,"")</f>
        <v/>
      </c>
      <c r="AO935">
        <f>IF($D935="","",IF(OR($U935=TRUE(),$U935="TRUE"),1,0))</f>
        <v/>
      </c>
      <c r="AP935">
        <f>IF($D935="","",IF($AC935="Yes",1,0))</f>
        <v/>
      </c>
      <c r="AQ935">
        <f>IF($AM935=1,IFERROR(VALUE(MID($D935,2,20)),1000000000)+ROW()/100000,"")</f>
        <v/>
      </c>
    </row>
    <row r="936">
      <c r="G936" s="11" t="n"/>
      <c r="Q936" s="7">
        <f>IF($D936="","",P936*Y936/100)</f>
        <v/>
      </c>
      <c r="R936" s="7" t="n"/>
      <c r="X936" s="7" t="n"/>
      <c r="Y936" s="7" t="n"/>
      <c r="Z936" s="7">
        <f>IF($D936="","",Y936*AD936/100)</f>
        <v/>
      </c>
      <c r="AA936" s="7">
        <f>IF($D936="","",Y936-Z936)</f>
        <v/>
      </c>
      <c r="AB936" s="7">
        <f>IF($D936="","",AA936-Q936)</f>
        <v/>
      </c>
      <c r="AD936">
        <f>IF($D936="","",IF($AP936=1,0,IF($AO936=1,Settings!$C$6,Settings!$C$7))*100)</f>
        <v/>
      </c>
      <c r="AH936" s="7" t="n"/>
      <c r="AK936" s="11" t="n"/>
      <c r="AM936">
        <f>IF($D936="","",IF(COUNTIF($D$2:$D936,$D936)=1,1,0))</f>
        <v/>
      </c>
      <c r="AN936">
        <f>IF($AM936=1,SUMPRODUCT(--($AQ$2:$AQ$1001&lt;$AQ936))+1,"")</f>
        <v/>
      </c>
      <c r="AO936">
        <f>IF($D936="","",IF(OR($U936=TRUE(),$U936="TRUE"),1,0))</f>
        <v/>
      </c>
      <c r="AP936">
        <f>IF($D936="","",IF($AC936="Yes",1,0))</f>
        <v/>
      </c>
      <c r="AQ936">
        <f>IF($AM936=1,IFERROR(VALUE(MID($D936,2,20)),1000000000)+ROW()/100000,"")</f>
        <v/>
      </c>
    </row>
    <row r="937">
      <c r="G937" s="11" t="n"/>
      <c r="Q937" s="7">
        <f>IF($D937="","",P937*Y937/100)</f>
        <v/>
      </c>
      <c r="R937" s="7" t="n"/>
      <c r="X937" s="7" t="n"/>
      <c r="Y937" s="7" t="n"/>
      <c r="Z937" s="7">
        <f>IF($D937="","",Y937*AD937/100)</f>
        <v/>
      </c>
      <c r="AA937" s="7">
        <f>IF($D937="","",Y937-Z937)</f>
        <v/>
      </c>
      <c r="AB937" s="7">
        <f>IF($D937="","",AA937-Q937)</f>
        <v/>
      </c>
      <c r="AD937">
        <f>IF($D937="","",IF($AP937=1,0,IF($AO937=1,Settings!$C$6,Settings!$C$7))*100)</f>
        <v/>
      </c>
      <c r="AH937" s="7" t="n"/>
      <c r="AK937" s="11" t="n"/>
      <c r="AM937">
        <f>IF($D937="","",IF(COUNTIF($D$2:$D937,$D937)=1,1,0))</f>
        <v/>
      </c>
      <c r="AN937">
        <f>IF($AM937=1,SUMPRODUCT(--($AQ$2:$AQ$1001&lt;$AQ937))+1,"")</f>
        <v/>
      </c>
      <c r="AO937">
        <f>IF($D937="","",IF(OR($U937=TRUE(),$U937="TRUE"),1,0))</f>
        <v/>
      </c>
      <c r="AP937">
        <f>IF($D937="","",IF($AC937="Yes",1,0))</f>
        <v/>
      </c>
      <c r="AQ937">
        <f>IF($AM937=1,IFERROR(VALUE(MID($D937,2,20)),1000000000)+ROW()/100000,"")</f>
        <v/>
      </c>
    </row>
    <row r="938">
      <c r="G938" s="11" t="n"/>
      <c r="Q938" s="7">
        <f>IF($D938="","",P938*Y938/100)</f>
        <v/>
      </c>
      <c r="R938" s="7" t="n"/>
      <c r="X938" s="7" t="n"/>
      <c r="Y938" s="7" t="n"/>
      <c r="Z938" s="7">
        <f>IF($D938="","",Y938*AD938/100)</f>
        <v/>
      </c>
      <c r="AA938" s="7">
        <f>IF($D938="","",Y938-Z938)</f>
        <v/>
      </c>
      <c r="AB938" s="7">
        <f>IF($D938="","",AA938-Q938)</f>
        <v/>
      </c>
      <c r="AD938">
        <f>IF($D938="","",IF($AP938=1,0,IF($AO938=1,Settings!$C$6,Settings!$C$7))*100)</f>
        <v/>
      </c>
      <c r="AH938" s="7" t="n"/>
      <c r="AK938" s="11" t="n"/>
      <c r="AM938">
        <f>IF($D938="","",IF(COUNTIF($D$2:$D938,$D938)=1,1,0))</f>
        <v/>
      </c>
      <c r="AN938">
        <f>IF($AM938=1,SUMPRODUCT(--($AQ$2:$AQ$1001&lt;$AQ938))+1,"")</f>
        <v/>
      </c>
      <c r="AO938">
        <f>IF($D938="","",IF(OR($U938=TRUE(),$U938="TRUE"),1,0))</f>
        <v/>
      </c>
      <c r="AP938">
        <f>IF($D938="","",IF($AC938="Yes",1,0))</f>
        <v/>
      </c>
      <c r="AQ938">
        <f>IF($AM938=1,IFERROR(VALUE(MID($D938,2,20)),1000000000)+ROW()/100000,"")</f>
        <v/>
      </c>
    </row>
    <row r="939">
      <c r="G939" s="11" t="n"/>
      <c r="Q939" s="7">
        <f>IF($D939="","",P939*Y939/100)</f>
        <v/>
      </c>
      <c r="R939" s="7" t="n"/>
      <c r="X939" s="7" t="n"/>
      <c r="Y939" s="7" t="n"/>
      <c r="Z939" s="7">
        <f>IF($D939="","",Y939*AD939/100)</f>
        <v/>
      </c>
      <c r="AA939" s="7">
        <f>IF($D939="","",Y939-Z939)</f>
        <v/>
      </c>
      <c r="AB939" s="7">
        <f>IF($D939="","",AA939-Q939)</f>
        <v/>
      </c>
      <c r="AD939">
        <f>IF($D939="","",IF($AP939=1,0,IF($AO939=1,Settings!$C$6,Settings!$C$7))*100)</f>
        <v/>
      </c>
      <c r="AH939" s="7" t="n"/>
      <c r="AK939" s="11" t="n"/>
      <c r="AM939">
        <f>IF($D939="","",IF(COUNTIF($D$2:$D939,$D939)=1,1,0))</f>
        <v/>
      </c>
      <c r="AN939">
        <f>IF($AM939=1,SUMPRODUCT(--($AQ$2:$AQ$1001&lt;$AQ939))+1,"")</f>
        <v/>
      </c>
      <c r="AO939">
        <f>IF($D939="","",IF(OR($U939=TRUE(),$U939="TRUE"),1,0))</f>
        <v/>
      </c>
      <c r="AP939">
        <f>IF($D939="","",IF($AC939="Yes",1,0))</f>
        <v/>
      </c>
      <c r="AQ939">
        <f>IF($AM939=1,IFERROR(VALUE(MID($D939,2,20)),1000000000)+ROW()/100000,"")</f>
        <v/>
      </c>
    </row>
    <row r="940">
      <c r="G940" s="11" t="n"/>
      <c r="Q940" s="7">
        <f>IF($D940="","",P940*Y940/100)</f>
        <v/>
      </c>
      <c r="R940" s="7" t="n"/>
      <c r="X940" s="7" t="n"/>
      <c r="Y940" s="7" t="n"/>
      <c r="Z940" s="7">
        <f>IF($D940="","",Y940*AD940/100)</f>
        <v/>
      </c>
      <c r="AA940" s="7">
        <f>IF($D940="","",Y940-Z940)</f>
        <v/>
      </c>
      <c r="AB940" s="7">
        <f>IF($D940="","",AA940-Q940)</f>
        <v/>
      </c>
      <c r="AD940">
        <f>IF($D940="","",IF($AP940=1,0,IF($AO940=1,Settings!$C$6,Settings!$C$7))*100)</f>
        <v/>
      </c>
      <c r="AH940" s="7" t="n"/>
      <c r="AK940" s="11" t="n"/>
      <c r="AM940">
        <f>IF($D940="","",IF(COUNTIF($D$2:$D940,$D940)=1,1,0))</f>
        <v/>
      </c>
      <c r="AN940">
        <f>IF($AM940=1,SUMPRODUCT(--($AQ$2:$AQ$1001&lt;$AQ940))+1,"")</f>
        <v/>
      </c>
      <c r="AO940">
        <f>IF($D940="","",IF(OR($U940=TRUE(),$U940="TRUE"),1,0))</f>
        <v/>
      </c>
      <c r="AP940">
        <f>IF($D940="","",IF($AC940="Yes",1,0))</f>
        <v/>
      </c>
      <c r="AQ940">
        <f>IF($AM940=1,IFERROR(VALUE(MID($D940,2,20)),1000000000)+ROW()/100000,"")</f>
        <v/>
      </c>
    </row>
    <row r="941">
      <c r="G941" s="11" t="n"/>
      <c r="Q941" s="7">
        <f>IF($D941="","",P941*Y941/100)</f>
        <v/>
      </c>
      <c r="R941" s="7" t="n"/>
      <c r="X941" s="7" t="n"/>
      <c r="Y941" s="7" t="n"/>
      <c r="Z941" s="7">
        <f>IF($D941="","",Y941*AD941/100)</f>
        <v/>
      </c>
      <c r="AA941" s="7">
        <f>IF($D941="","",Y941-Z941)</f>
        <v/>
      </c>
      <c r="AB941" s="7">
        <f>IF($D941="","",AA941-Q941)</f>
        <v/>
      </c>
      <c r="AD941">
        <f>IF($D941="","",IF($AP941=1,0,IF($AO941=1,Settings!$C$6,Settings!$C$7))*100)</f>
        <v/>
      </c>
      <c r="AH941" s="7" t="n"/>
      <c r="AK941" s="11" t="n"/>
      <c r="AM941">
        <f>IF($D941="","",IF(COUNTIF($D$2:$D941,$D941)=1,1,0))</f>
        <v/>
      </c>
      <c r="AN941">
        <f>IF($AM941=1,SUMPRODUCT(--($AQ$2:$AQ$1001&lt;$AQ941))+1,"")</f>
        <v/>
      </c>
      <c r="AO941">
        <f>IF($D941="","",IF(OR($U941=TRUE(),$U941="TRUE"),1,0))</f>
        <v/>
      </c>
      <c r="AP941">
        <f>IF($D941="","",IF($AC941="Yes",1,0))</f>
        <v/>
      </c>
      <c r="AQ941">
        <f>IF($AM941=1,IFERROR(VALUE(MID($D941,2,20)),1000000000)+ROW()/100000,"")</f>
        <v/>
      </c>
    </row>
    <row r="942">
      <c r="G942" s="11" t="n"/>
      <c r="Q942" s="7">
        <f>IF($D942="","",P942*Y942/100)</f>
        <v/>
      </c>
      <c r="R942" s="7" t="n"/>
      <c r="X942" s="7" t="n"/>
      <c r="Y942" s="7" t="n"/>
      <c r="Z942" s="7">
        <f>IF($D942="","",Y942*AD942/100)</f>
        <v/>
      </c>
      <c r="AA942" s="7">
        <f>IF($D942="","",Y942-Z942)</f>
        <v/>
      </c>
      <c r="AB942" s="7">
        <f>IF($D942="","",AA942-Q942)</f>
        <v/>
      </c>
      <c r="AD942">
        <f>IF($D942="","",IF($AP942=1,0,IF($AO942=1,Settings!$C$6,Settings!$C$7))*100)</f>
        <v/>
      </c>
      <c r="AH942" s="7" t="n"/>
      <c r="AK942" s="11" t="n"/>
      <c r="AM942">
        <f>IF($D942="","",IF(COUNTIF($D$2:$D942,$D942)=1,1,0))</f>
        <v/>
      </c>
      <c r="AN942">
        <f>IF($AM942=1,SUMPRODUCT(--($AQ$2:$AQ$1001&lt;$AQ942))+1,"")</f>
        <v/>
      </c>
      <c r="AO942">
        <f>IF($D942="","",IF(OR($U942=TRUE(),$U942="TRUE"),1,0))</f>
        <v/>
      </c>
      <c r="AP942">
        <f>IF($D942="","",IF($AC942="Yes",1,0))</f>
        <v/>
      </c>
      <c r="AQ942">
        <f>IF($AM942=1,IFERROR(VALUE(MID($D942,2,20)),1000000000)+ROW()/100000,"")</f>
        <v/>
      </c>
    </row>
    <row r="943">
      <c r="G943" s="11" t="n"/>
      <c r="Q943" s="7">
        <f>IF($D943="","",P943*Y943/100)</f>
        <v/>
      </c>
      <c r="R943" s="7" t="n"/>
      <c r="X943" s="7" t="n"/>
      <c r="Y943" s="7" t="n"/>
      <c r="Z943" s="7">
        <f>IF($D943="","",Y943*AD943/100)</f>
        <v/>
      </c>
      <c r="AA943" s="7">
        <f>IF($D943="","",Y943-Z943)</f>
        <v/>
      </c>
      <c r="AB943" s="7">
        <f>IF($D943="","",AA943-Q943)</f>
        <v/>
      </c>
      <c r="AD943">
        <f>IF($D943="","",IF($AP943=1,0,IF($AO943=1,Settings!$C$6,Settings!$C$7))*100)</f>
        <v/>
      </c>
      <c r="AH943" s="7" t="n"/>
      <c r="AK943" s="11" t="n"/>
      <c r="AM943">
        <f>IF($D943="","",IF(COUNTIF($D$2:$D943,$D943)=1,1,0))</f>
        <v/>
      </c>
      <c r="AN943">
        <f>IF($AM943=1,SUMPRODUCT(--($AQ$2:$AQ$1001&lt;$AQ943))+1,"")</f>
        <v/>
      </c>
      <c r="AO943">
        <f>IF($D943="","",IF(OR($U943=TRUE(),$U943="TRUE"),1,0))</f>
        <v/>
      </c>
      <c r="AP943">
        <f>IF($D943="","",IF($AC943="Yes",1,0))</f>
        <v/>
      </c>
      <c r="AQ943">
        <f>IF($AM943=1,IFERROR(VALUE(MID($D943,2,20)),1000000000)+ROW()/100000,"")</f>
        <v/>
      </c>
    </row>
    <row r="944">
      <c r="G944" s="11" t="n"/>
      <c r="Q944" s="7">
        <f>IF($D944="","",P944*Y944/100)</f>
        <v/>
      </c>
      <c r="R944" s="7" t="n"/>
      <c r="X944" s="7" t="n"/>
      <c r="Y944" s="7" t="n"/>
      <c r="Z944" s="7">
        <f>IF($D944="","",Y944*AD944/100)</f>
        <v/>
      </c>
      <c r="AA944" s="7">
        <f>IF($D944="","",Y944-Z944)</f>
        <v/>
      </c>
      <c r="AB944" s="7">
        <f>IF($D944="","",AA944-Q944)</f>
        <v/>
      </c>
      <c r="AD944">
        <f>IF($D944="","",IF($AP944=1,0,IF($AO944=1,Settings!$C$6,Settings!$C$7))*100)</f>
        <v/>
      </c>
      <c r="AH944" s="7" t="n"/>
      <c r="AK944" s="11" t="n"/>
      <c r="AM944">
        <f>IF($D944="","",IF(COUNTIF($D$2:$D944,$D944)=1,1,0))</f>
        <v/>
      </c>
      <c r="AN944">
        <f>IF($AM944=1,SUMPRODUCT(--($AQ$2:$AQ$1001&lt;$AQ944))+1,"")</f>
        <v/>
      </c>
      <c r="AO944">
        <f>IF($D944="","",IF(OR($U944=TRUE(),$U944="TRUE"),1,0))</f>
        <v/>
      </c>
      <c r="AP944">
        <f>IF($D944="","",IF($AC944="Yes",1,0))</f>
        <v/>
      </c>
      <c r="AQ944">
        <f>IF($AM944=1,IFERROR(VALUE(MID($D944,2,20)),1000000000)+ROW()/100000,"")</f>
        <v/>
      </c>
    </row>
    <row r="945">
      <c r="G945" s="11" t="n"/>
      <c r="Q945" s="7">
        <f>IF($D945="","",P945*Y945/100)</f>
        <v/>
      </c>
      <c r="R945" s="7" t="n"/>
      <c r="X945" s="7" t="n"/>
      <c r="Y945" s="7" t="n"/>
      <c r="Z945" s="7">
        <f>IF($D945="","",Y945*AD945/100)</f>
        <v/>
      </c>
      <c r="AA945" s="7">
        <f>IF($D945="","",Y945-Z945)</f>
        <v/>
      </c>
      <c r="AB945" s="7">
        <f>IF($D945="","",AA945-Q945)</f>
        <v/>
      </c>
      <c r="AD945">
        <f>IF($D945="","",IF($AP945=1,0,IF($AO945=1,Settings!$C$6,Settings!$C$7))*100)</f>
        <v/>
      </c>
      <c r="AH945" s="7" t="n"/>
      <c r="AK945" s="11" t="n"/>
      <c r="AM945">
        <f>IF($D945="","",IF(COUNTIF($D$2:$D945,$D945)=1,1,0))</f>
        <v/>
      </c>
      <c r="AN945">
        <f>IF($AM945=1,SUMPRODUCT(--($AQ$2:$AQ$1001&lt;$AQ945))+1,"")</f>
        <v/>
      </c>
      <c r="AO945">
        <f>IF($D945="","",IF(OR($U945=TRUE(),$U945="TRUE"),1,0))</f>
        <v/>
      </c>
      <c r="AP945">
        <f>IF($D945="","",IF($AC945="Yes",1,0))</f>
        <v/>
      </c>
      <c r="AQ945">
        <f>IF($AM945=1,IFERROR(VALUE(MID($D945,2,20)),1000000000)+ROW()/100000,"")</f>
        <v/>
      </c>
    </row>
    <row r="946">
      <c r="G946" s="11" t="n"/>
      <c r="Q946" s="7">
        <f>IF($D946="","",P946*Y946/100)</f>
        <v/>
      </c>
      <c r="R946" s="7" t="n"/>
      <c r="X946" s="7" t="n"/>
      <c r="Y946" s="7" t="n"/>
      <c r="Z946" s="7">
        <f>IF($D946="","",Y946*AD946/100)</f>
        <v/>
      </c>
      <c r="AA946" s="7">
        <f>IF($D946="","",Y946-Z946)</f>
        <v/>
      </c>
      <c r="AB946" s="7">
        <f>IF($D946="","",AA946-Q946)</f>
        <v/>
      </c>
      <c r="AD946">
        <f>IF($D946="","",IF($AP946=1,0,IF($AO946=1,Settings!$C$6,Settings!$C$7))*100)</f>
        <v/>
      </c>
      <c r="AH946" s="7" t="n"/>
      <c r="AK946" s="11" t="n"/>
      <c r="AM946">
        <f>IF($D946="","",IF(COUNTIF($D$2:$D946,$D946)=1,1,0))</f>
        <v/>
      </c>
      <c r="AN946">
        <f>IF($AM946=1,SUMPRODUCT(--($AQ$2:$AQ$1001&lt;$AQ946))+1,"")</f>
        <v/>
      </c>
      <c r="AO946">
        <f>IF($D946="","",IF(OR($U946=TRUE(),$U946="TRUE"),1,0))</f>
        <v/>
      </c>
      <c r="AP946">
        <f>IF($D946="","",IF($AC946="Yes",1,0))</f>
        <v/>
      </c>
      <c r="AQ946">
        <f>IF($AM946=1,IFERROR(VALUE(MID($D946,2,20)),1000000000)+ROW()/100000,"")</f>
        <v/>
      </c>
    </row>
    <row r="947">
      <c r="G947" s="11" t="n"/>
      <c r="Q947" s="7">
        <f>IF($D947="","",P947*Y947/100)</f>
        <v/>
      </c>
      <c r="R947" s="7" t="n"/>
      <c r="X947" s="7" t="n"/>
      <c r="Y947" s="7" t="n"/>
      <c r="Z947" s="7">
        <f>IF($D947="","",Y947*AD947/100)</f>
        <v/>
      </c>
      <c r="AA947" s="7">
        <f>IF($D947="","",Y947-Z947)</f>
        <v/>
      </c>
      <c r="AB947" s="7">
        <f>IF($D947="","",AA947-Q947)</f>
        <v/>
      </c>
      <c r="AD947">
        <f>IF($D947="","",IF($AP947=1,0,IF($AO947=1,Settings!$C$6,Settings!$C$7))*100)</f>
        <v/>
      </c>
      <c r="AH947" s="7" t="n"/>
      <c r="AK947" s="11" t="n"/>
      <c r="AM947">
        <f>IF($D947="","",IF(COUNTIF($D$2:$D947,$D947)=1,1,0))</f>
        <v/>
      </c>
      <c r="AN947">
        <f>IF($AM947=1,SUMPRODUCT(--($AQ$2:$AQ$1001&lt;$AQ947))+1,"")</f>
        <v/>
      </c>
      <c r="AO947">
        <f>IF($D947="","",IF(OR($U947=TRUE(),$U947="TRUE"),1,0))</f>
        <v/>
      </c>
      <c r="AP947">
        <f>IF($D947="","",IF($AC947="Yes",1,0))</f>
        <v/>
      </c>
      <c r="AQ947">
        <f>IF($AM947=1,IFERROR(VALUE(MID($D947,2,20)),1000000000)+ROW()/100000,"")</f>
        <v/>
      </c>
    </row>
    <row r="948">
      <c r="G948" s="11" t="n"/>
      <c r="Q948" s="7">
        <f>IF($D948="","",P948*Y948/100)</f>
        <v/>
      </c>
      <c r="R948" s="7" t="n"/>
      <c r="X948" s="7" t="n"/>
      <c r="Y948" s="7" t="n"/>
      <c r="Z948" s="7">
        <f>IF($D948="","",Y948*AD948/100)</f>
        <v/>
      </c>
      <c r="AA948" s="7">
        <f>IF($D948="","",Y948-Z948)</f>
        <v/>
      </c>
      <c r="AB948" s="7">
        <f>IF($D948="","",AA948-Q948)</f>
        <v/>
      </c>
      <c r="AD948">
        <f>IF($D948="","",IF($AP948=1,0,IF($AO948=1,Settings!$C$6,Settings!$C$7))*100)</f>
        <v/>
      </c>
      <c r="AH948" s="7" t="n"/>
      <c r="AK948" s="11" t="n"/>
      <c r="AM948">
        <f>IF($D948="","",IF(COUNTIF($D$2:$D948,$D948)=1,1,0))</f>
        <v/>
      </c>
      <c r="AN948">
        <f>IF($AM948=1,SUMPRODUCT(--($AQ$2:$AQ$1001&lt;$AQ948))+1,"")</f>
        <v/>
      </c>
      <c r="AO948">
        <f>IF($D948="","",IF(OR($U948=TRUE(),$U948="TRUE"),1,0))</f>
        <v/>
      </c>
      <c r="AP948">
        <f>IF($D948="","",IF($AC948="Yes",1,0))</f>
        <v/>
      </c>
      <c r="AQ948">
        <f>IF($AM948=1,IFERROR(VALUE(MID($D948,2,20)),1000000000)+ROW()/100000,"")</f>
        <v/>
      </c>
    </row>
    <row r="949">
      <c r="G949" s="11" t="n"/>
      <c r="Q949" s="7">
        <f>IF($D949="","",P949*Y949/100)</f>
        <v/>
      </c>
      <c r="R949" s="7" t="n"/>
      <c r="X949" s="7" t="n"/>
      <c r="Y949" s="7" t="n"/>
      <c r="Z949" s="7">
        <f>IF($D949="","",Y949*AD949/100)</f>
        <v/>
      </c>
      <c r="AA949" s="7">
        <f>IF($D949="","",Y949-Z949)</f>
        <v/>
      </c>
      <c r="AB949" s="7">
        <f>IF($D949="","",AA949-Q949)</f>
        <v/>
      </c>
      <c r="AD949">
        <f>IF($D949="","",IF($AP949=1,0,IF($AO949=1,Settings!$C$6,Settings!$C$7))*100)</f>
        <v/>
      </c>
      <c r="AH949" s="7" t="n"/>
      <c r="AK949" s="11" t="n"/>
      <c r="AM949">
        <f>IF($D949="","",IF(COUNTIF($D$2:$D949,$D949)=1,1,0))</f>
        <v/>
      </c>
      <c r="AN949">
        <f>IF($AM949=1,SUMPRODUCT(--($AQ$2:$AQ$1001&lt;$AQ949))+1,"")</f>
        <v/>
      </c>
      <c r="AO949">
        <f>IF($D949="","",IF(OR($U949=TRUE(),$U949="TRUE"),1,0))</f>
        <v/>
      </c>
      <c r="AP949">
        <f>IF($D949="","",IF($AC949="Yes",1,0))</f>
        <v/>
      </c>
      <c r="AQ949">
        <f>IF($AM949=1,IFERROR(VALUE(MID($D949,2,20)),1000000000)+ROW()/100000,"")</f>
        <v/>
      </c>
    </row>
    <row r="950">
      <c r="G950" s="11" t="n"/>
      <c r="Q950" s="7">
        <f>IF($D950="","",P950*Y950/100)</f>
        <v/>
      </c>
      <c r="R950" s="7" t="n"/>
      <c r="X950" s="7" t="n"/>
      <c r="Y950" s="7" t="n"/>
      <c r="Z950" s="7">
        <f>IF($D950="","",Y950*AD950/100)</f>
        <v/>
      </c>
      <c r="AA950" s="7">
        <f>IF($D950="","",Y950-Z950)</f>
        <v/>
      </c>
      <c r="AB950" s="7">
        <f>IF($D950="","",AA950-Q950)</f>
        <v/>
      </c>
      <c r="AD950">
        <f>IF($D950="","",IF($AP950=1,0,IF($AO950=1,Settings!$C$6,Settings!$C$7))*100)</f>
        <v/>
      </c>
      <c r="AH950" s="7" t="n"/>
      <c r="AK950" s="11" t="n"/>
      <c r="AM950">
        <f>IF($D950="","",IF(COUNTIF($D$2:$D950,$D950)=1,1,0))</f>
        <v/>
      </c>
      <c r="AN950">
        <f>IF($AM950=1,SUMPRODUCT(--($AQ$2:$AQ$1001&lt;$AQ950))+1,"")</f>
        <v/>
      </c>
      <c r="AO950">
        <f>IF($D950="","",IF(OR($U950=TRUE(),$U950="TRUE"),1,0))</f>
        <v/>
      </c>
      <c r="AP950">
        <f>IF($D950="","",IF($AC950="Yes",1,0))</f>
        <v/>
      </c>
      <c r="AQ950">
        <f>IF($AM950=1,IFERROR(VALUE(MID($D950,2,20)),1000000000)+ROW()/100000,"")</f>
        <v/>
      </c>
    </row>
    <row r="951">
      <c r="G951" s="11" t="n"/>
      <c r="Q951" s="7">
        <f>IF($D951="","",P951*Y951/100)</f>
        <v/>
      </c>
      <c r="R951" s="7" t="n"/>
      <c r="X951" s="7" t="n"/>
      <c r="Y951" s="7" t="n"/>
      <c r="Z951" s="7">
        <f>IF($D951="","",Y951*AD951/100)</f>
        <v/>
      </c>
      <c r="AA951" s="7">
        <f>IF($D951="","",Y951-Z951)</f>
        <v/>
      </c>
      <c r="AB951" s="7">
        <f>IF($D951="","",AA951-Q951)</f>
        <v/>
      </c>
      <c r="AD951">
        <f>IF($D951="","",IF($AP951=1,0,IF($AO951=1,Settings!$C$6,Settings!$C$7))*100)</f>
        <v/>
      </c>
      <c r="AH951" s="7" t="n"/>
      <c r="AK951" s="11" t="n"/>
      <c r="AM951">
        <f>IF($D951="","",IF(COUNTIF($D$2:$D951,$D951)=1,1,0))</f>
        <v/>
      </c>
      <c r="AN951">
        <f>IF($AM951=1,SUMPRODUCT(--($AQ$2:$AQ$1001&lt;$AQ951))+1,"")</f>
        <v/>
      </c>
      <c r="AO951">
        <f>IF($D951="","",IF(OR($U951=TRUE(),$U951="TRUE"),1,0))</f>
        <v/>
      </c>
      <c r="AP951">
        <f>IF($D951="","",IF($AC951="Yes",1,0))</f>
        <v/>
      </c>
      <c r="AQ951">
        <f>IF($AM951=1,IFERROR(VALUE(MID($D951,2,20)),1000000000)+ROW()/100000,"")</f>
        <v/>
      </c>
    </row>
    <row r="952">
      <c r="G952" s="11" t="n"/>
      <c r="Q952" s="7">
        <f>IF($D952="","",P952*Y952/100)</f>
        <v/>
      </c>
      <c r="R952" s="7" t="n"/>
      <c r="X952" s="7" t="n"/>
      <c r="Y952" s="7" t="n"/>
      <c r="Z952" s="7">
        <f>IF($D952="","",Y952*AD952/100)</f>
        <v/>
      </c>
      <c r="AA952" s="7">
        <f>IF($D952="","",Y952-Z952)</f>
        <v/>
      </c>
      <c r="AB952" s="7">
        <f>IF($D952="","",AA952-Q952)</f>
        <v/>
      </c>
      <c r="AD952">
        <f>IF($D952="","",IF($AP952=1,0,IF($AO952=1,Settings!$C$6,Settings!$C$7))*100)</f>
        <v/>
      </c>
      <c r="AH952" s="7" t="n"/>
      <c r="AK952" s="11" t="n"/>
      <c r="AM952">
        <f>IF($D952="","",IF(COUNTIF($D$2:$D952,$D952)=1,1,0))</f>
        <v/>
      </c>
      <c r="AN952">
        <f>IF($AM952=1,SUMPRODUCT(--($AQ$2:$AQ$1001&lt;$AQ952))+1,"")</f>
        <v/>
      </c>
      <c r="AO952">
        <f>IF($D952="","",IF(OR($U952=TRUE(),$U952="TRUE"),1,0))</f>
        <v/>
      </c>
      <c r="AP952">
        <f>IF($D952="","",IF($AC952="Yes",1,0))</f>
        <v/>
      </c>
      <c r="AQ952">
        <f>IF($AM952=1,IFERROR(VALUE(MID($D952,2,20)),1000000000)+ROW()/100000,"")</f>
        <v/>
      </c>
    </row>
    <row r="953">
      <c r="G953" s="11" t="n"/>
      <c r="Q953" s="7">
        <f>IF($D953="","",P953*Y953/100)</f>
        <v/>
      </c>
      <c r="R953" s="7" t="n"/>
      <c r="X953" s="7" t="n"/>
      <c r="Y953" s="7" t="n"/>
      <c r="Z953" s="7">
        <f>IF($D953="","",Y953*AD953/100)</f>
        <v/>
      </c>
      <c r="AA953" s="7">
        <f>IF($D953="","",Y953-Z953)</f>
        <v/>
      </c>
      <c r="AB953" s="7">
        <f>IF($D953="","",AA953-Q953)</f>
        <v/>
      </c>
      <c r="AD953">
        <f>IF($D953="","",IF($AP953=1,0,IF($AO953=1,Settings!$C$6,Settings!$C$7))*100)</f>
        <v/>
      </c>
      <c r="AH953" s="7" t="n"/>
      <c r="AK953" s="11" t="n"/>
      <c r="AM953">
        <f>IF($D953="","",IF(COUNTIF($D$2:$D953,$D953)=1,1,0))</f>
        <v/>
      </c>
      <c r="AN953">
        <f>IF($AM953=1,SUMPRODUCT(--($AQ$2:$AQ$1001&lt;$AQ953))+1,"")</f>
        <v/>
      </c>
      <c r="AO953">
        <f>IF($D953="","",IF(OR($U953=TRUE(),$U953="TRUE"),1,0))</f>
        <v/>
      </c>
      <c r="AP953">
        <f>IF($D953="","",IF($AC953="Yes",1,0))</f>
        <v/>
      </c>
      <c r="AQ953">
        <f>IF($AM953=1,IFERROR(VALUE(MID($D953,2,20)),1000000000)+ROW()/100000,"")</f>
        <v/>
      </c>
    </row>
    <row r="954">
      <c r="G954" s="11" t="n"/>
      <c r="Q954" s="7">
        <f>IF($D954="","",P954*Y954/100)</f>
        <v/>
      </c>
      <c r="R954" s="7" t="n"/>
      <c r="X954" s="7" t="n"/>
      <c r="Y954" s="7" t="n"/>
      <c r="Z954" s="7">
        <f>IF($D954="","",Y954*AD954/100)</f>
        <v/>
      </c>
      <c r="AA954" s="7">
        <f>IF($D954="","",Y954-Z954)</f>
        <v/>
      </c>
      <c r="AB954" s="7">
        <f>IF($D954="","",AA954-Q954)</f>
        <v/>
      </c>
      <c r="AD954">
        <f>IF($D954="","",IF($AP954=1,0,IF($AO954=1,Settings!$C$6,Settings!$C$7))*100)</f>
        <v/>
      </c>
      <c r="AH954" s="7" t="n"/>
      <c r="AK954" s="11" t="n"/>
      <c r="AM954">
        <f>IF($D954="","",IF(COUNTIF($D$2:$D954,$D954)=1,1,0))</f>
        <v/>
      </c>
      <c r="AN954">
        <f>IF($AM954=1,SUMPRODUCT(--($AQ$2:$AQ$1001&lt;$AQ954))+1,"")</f>
        <v/>
      </c>
      <c r="AO954">
        <f>IF($D954="","",IF(OR($U954=TRUE(),$U954="TRUE"),1,0))</f>
        <v/>
      </c>
      <c r="AP954">
        <f>IF($D954="","",IF($AC954="Yes",1,0))</f>
        <v/>
      </c>
      <c r="AQ954">
        <f>IF($AM954=1,IFERROR(VALUE(MID($D954,2,20)),1000000000)+ROW()/100000,"")</f>
        <v/>
      </c>
    </row>
    <row r="955">
      <c r="G955" s="11" t="n"/>
      <c r="Q955" s="7">
        <f>IF($D955="","",P955*Y955/100)</f>
        <v/>
      </c>
      <c r="R955" s="7" t="n"/>
      <c r="X955" s="7" t="n"/>
      <c r="Y955" s="7" t="n"/>
      <c r="Z955" s="7">
        <f>IF($D955="","",Y955*AD955/100)</f>
        <v/>
      </c>
      <c r="AA955" s="7">
        <f>IF($D955="","",Y955-Z955)</f>
        <v/>
      </c>
      <c r="AB955" s="7">
        <f>IF($D955="","",AA955-Q955)</f>
        <v/>
      </c>
      <c r="AD955">
        <f>IF($D955="","",IF($AP955=1,0,IF($AO955=1,Settings!$C$6,Settings!$C$7))*100)</f>
        <v/>
      </c>
      <c r="AH955" s="7" t="n"/>
      <c r="AK955" s="11" t="n"/>
      <c r="AM955">
        <f>IF($D955="","",IF(COUNTIF($D$2:$D955,$D955)=1,1,0))</f>
        <v/>
      </c>
      <c r="AN955">
        <f>IF($AM955=1,SUMPRODUCT(--($AQ$2:$AQ$1001&lt;$AQ955))+1,"")</f>
        <v/>
      </c>
      <c r="AO955">
        <f>IF($D955="","",IF(OR($U955=TRUE(),$U955="TRUE"),1,0))</f>
        <v/>
      </c>
      <c r="AP955">
        <f>IF($D955="","",IF($AC955="Yes",1,0))</f>
        <v/>
      </c>
      <c r="AQ955">
        <f>IF($AM955=1,IFERROR(VALUE(MID($D955,2,20)),1000000000)+ROW()/100000,"")</f>
        <v/>
      </c>
    </row>
    <row r="956">
      <c r="G956" s="11" t="n"/>
      <c r="Q956" s="7">
        <f>IF($D956="","",P956*Y956/100)</f>
        <v/>
      </c>
      <c r="R956" s="7" t="n"/>
      <c r="X956" s="7" t="n"/>
      <c r="Y956" s="7" t="n"/>
      <c r="Z956" s="7">
        <f>IF($D956="","",Y956*AD956/100)</f>
        <v/>
      </c>
      <c r="AA956" s="7">
        <f>IF($D956="","",Y956-Z956)</f>
        <v/>
      </c>
      <c r="AB956" s="7">
        <f>IF($D956="","",AA956-Q956)</f>
        <v/>
      </c>
      <c r="AD956">
        <f>IF($D956="","",IF($AP956=1,0,IF($AO956=1,Settings!$C$6,Settings!$C$7))*100)</f>
        <v/>
      </c>
      <c r="AH956" s="7" t="n"/>
      <c r="AK956" s="11" t="n"/>
      <c r="AM956">
        <f>IF($D956="","",IF(COUNTIF($D$2:$D956,$D956)=1,1,0))</f>
        <v/>
      </c>
      <c r="AN956">
        <f>IF($AM956=1,SUMPRODUCT(--($AQ$2:$AQ$1001&lt;$AQ956))+1,"")</f>
        <v/>
      </c>
      <c r="AO956">
        <f>IF($D956="","",IF(OR($U956=TRUE(),$U956="TRUE"),1,0))</f>
        <v/>
      </c>
      <c r="AP956">
        <f>IF($D956="","",IF($AC956="Yes",1,0))</f>
        <v/>
      </c>
      <c r="AQ956">
        <f>IF($AM956=1,IFERROR(VALUE(MID($D956,2,20)),1000000000)+ROW()/100000,"")</f>
        <v/>
      </c>
    </row>
    <row r="957">
      <c r="G957" s="11" t="n"/>
      <c r="Q957" s="7">
        <f>IF($D957="","",P957*Y957/100)</f>
        <v/>
      </c>
      <c r="R957" s="7" t="n"/>
      <c r="X957" s="7" t="n"/>
      <c r="Y957" s="7" t="n"/>
      <c r="Z957" s="7">
        <f>IF($D957="","",Y957*AD957/100)</f>
        <v/>
      </c>
      <c r="AA957" s="7">
        <f>IF($D957="","",Y957-Z957)</f>
        <v/>
      </c>
      <c r="AB957" s="7">
        <f>IF($D957="","",AA957-Q957)</f>
        <v/>
      </c>
      <c r="AD957">
        <f>IF($D957="","",IF($AP957=1,0,IF($AO957=1,Settings!$C$6,Settings!$C$7))*100)</f>
        <v/>
      </c>
      <c r="AH957" s="7" t="n"/>
      <c r="AK957" s="11" t="n"/>
      <c r="AM957">
        <f>IF($D957="","",IF(COUNTIF($D$2:$D957,$D957)=1,1,0))</f>
        <v/>
      </c>
      <c r="AN957">
        <f>IF($AM957=1,SUMPRODUCT(--($AQ$2:$AQ$1001&lt;$AQ957))+1,"")</f>
        <v/>
      </c>
      <c r="AO957">
        <f>IF($D957="","",IF(OR($U957=TRUE(),$U957="TRUE"),1,0))</f>
        <v/>
      </c>
      <c r="AP957">
        <f>IF($D957="","",IF($AC957="Yes",1,0))</f>
        <v/>
      </c>
      <c r="AQ957">
        <f>IF($AM957=1,IFERROR(VALUE(MID($D957,2,20)),1000000000)+ROW()/100000,"")</f>
        <v/>
      </c>
    </row>
    <row r="958">
      <c r="G958" s="11" t="n"/>
      <c r="Q958" s="7">
        <f>IF($D958="","",P958*Y958/100)</f>
        <v/>
      </c>
      <c r="R958" s="7" t="n"/>
      <c r="X958" s="7" t="n"/>
      <c r="Y958" s="7" t="n"/>
      <c r="Z958" s="7">
        <f>IF($D958="","",Y958*AD958/100)</f>
        <v/>
      </c>
      <c r="AA958" s="7">
        <f>IF($D958="","",Y958-Z958)</f>
        <v/>
      </c>
      <c r="AB958" s="7">
        <f>IF($D958="","",AA958-Q958)</f>
        <v/>
      </c>
      <c r="AD958">
        <f>IF($D958="","",IF($AP958=1,0,IF($AO958=1,Settings!$C$6,Settings!$C$7))*100)</f>
        <v/>
      </c>
      <c r="AH958" s="7" t="n"/>
      <c r="AK958" s="11" t="n"/>
      <c r="AM958">
        <f>IF($D958="","",IF(COUNTIF($D$2:$D958,$D958)=1,1,0))</f>
        <v/>
      </c>
      <c r="AN958">
        <f>IF($AM958=1,SUMPRODUCT(--($AQ$2:$AQ$1001&lt;$AQ958))+1,"")</f>
        <v/>
      </c>
      <c r="AO958">
        <f>IF($D958="","",IF(OR($U958=TRUE(),$U958="TRUE"),1,0))</f>
        <v/>
      </c>
      <c r="AP958">
        <f>IF($D958="","",IF($AC958="Yes",1,0))</f>
        <v/>
      </c>
      <c r="AQ958">
        <f>IF($AM958=1,IFERROR(VALUE(MID($D958,2,20)),1000000000)+ROW()/100000,"")</f>
        <v/>
      </c>
    </row>
    <row r="959">
      <c r="G959" s="11" t="n"/>
      <c r="Q959" s="7">
        <f>IF($D959="","",P959*Y959/100)</f>
        <v/>
      </c>
      <c r="R959" s="7" t="n"/>
      <c r="X959" s="7" t="n"/>
      <c r="Y959" s="7" t="n"/>
      <c r="Z959" s="7">
        <f>IF($D959="","",Y959*AD959/100)</f>
        <v/>
      </c>
      <c r="AA959" s="7">
        <f>IF($D959="","",Y959-Z959)</f>
        <v/>
      </c>
      <c r="AB959" s="7">
        <f>IF($D959="","",AA959-Q959)</f>
        <v/>
      </c>
      <c r="AD959">
        <f>IF($D959="","",IF($AP959=1,0,IF($AO959=1,Settings!$C$6,Settings!$C$7))*100)</f>
        <v/>
      </c>
      <c r="AH959" s="7" t="n"/>
      <c r="AK959" s="11" t="n"/>
      <c r="AM959">
        <f>IF($D959="","",IF(COUNTIF($D$2:$D959,$D959)=1,1,0))</f>
        <v/>
      </c>
      <c r="AN959">
        <f>IF($AM959=1,SUMPRODUCT(--($AQ$2:$AQ$1001&lt;$AQ959))+1,"")</f>
        <v/>
      </c>
      <c r="AO959">
        <f>IF($D959="","",IF(OR($U959=TRUE(),$U959="TRUE"),1,0))</f>
        <v/>
      </c>
      <c r="AP959">
        <f>IF($D959="","",IF($AC959="Yes",1,0))</f>
        <v/>
      </c>
      <c r="AQ959">
        <f>IF($AM959=1,IFERROR(VALUE(MID($D959,2,20)),1000000000)+ROW()/100000,"")</f>
        <v/>
      </c>
    </row>
    <row r="960">
      <c r="G960" s="11" t="n"/>
      <c r="Q960" s="7">
        <f>IF($D960="","",P960*Y960/100)</f>
        <v/>
      </c>
      <c r="R960" s="7" t="n"/>
      <c r="X960" s="7" t="n"/>
      <c r="Y960" s="7" t="n"/>
      <c r="Z960" s="7">
        <f>IF($D960="","",Y960*AD960/100)</f>
        <v/>
      </c>
      <c r="AA960" s="7">
        <f>IF($D960="","",Y960-Z960)</f>
        <v/>
      </c>
      <c r="AB960" s="7">
        <f>IF($D960="","",AA960-Q960)</f>
        <v/>
      </c>
      <c r="AD960">
        <f>IF($D960="","",IF($AP960=1,0,IF($AO960=1,Settings!$C$6,Settings!$C$7))*100)</f>
        <v/>
      </c>
      <c r="AH960" s="7" t="n"/>
      <c r="AK960" s="11" t="n"/>
      <c r="AM960">
        <f>IF($D960="","",IF(COUNTIF($D$2:$D960,$D960)=1,1,0))</f>
        <v/>
      </c>
      <c r="AN960">
        <f>IF($AM960=1,SUMPRODUCT(--($AQ$2:$AQ$1001&lt;$AQ960))+1,"")</f>
        <v/>
      </c>
      <c r="AO960">
        <f>IF($D960="","",IF(OR($U960=TRUE(),$U960="TRUE"),1,0))</f>
        <v/>
      </c>
      <c r="AP960">
        <f>IF($D960="","",IF($AC960="Yes",1,0))</f>
        <v/>
      </c>
      <c r="AQ960">
        <f>IF($AM960=1,IFERROR(VALUE(MID($D960,2,20)),1000000000)+ROW()/100000,"")</f>
        <v/>
      </c>
    </row>
    <row r="961">
      <c r="G961" s="11" t="n"/>
      <c r="Q961" s="7">
        <f>IF($D961="","",P961*Y961/100)</f>
        <v/>
      </c>
      <c r="R961" s="7" t="n"/>
      <c r="X961" s="7" t="n"/>
      <c r="Y961" s="7" t="n"/>
      <c r="Z961" s="7">
        <f>IF($D961="","",Y961*AD961/100)</f>
        <v/>
      </c>
      <c r="AA961" s="7">
        <f>IF($D961="","",Y961-Z961)</f>
        <v/>
      </c>
      <c r="AB961" s="7">
        <f>IF($D961="","",AA961-Q961)</f>
        <v/>
      </c>
      <c r="AD961">
        <f>IF($D961="","",IF($AP961=1,0,IF($AO961=1,Settings!$C$6,Settings!$C$7))*100)</f>
        <v/>
      </c>
      <c r="AH961" s="7" t="n"/>
      <c r="AK961" s="11" t="n"/>
      <c r="AM961">
        <f>IF($D961="","",IF(COUNTIF($D$2:$D961,$D961)=1,1,0))</f>
        <v/>
      </c>
      <c r="AN961">
        <f>IF($AM961=1,SUMPRODUCT(--($AQ$2:$AQ$1001&lt;$AQ961))+1,"")</f>
        <v/>
      </c>
      <c r="AO961">
        <f>IF($D961="","",IF(OR($U961=TRUE(),$U961="TRUE"),1,0))</f>
        <v/>
      </c>
      <c r="AP961">
        <f>IF($D961="","",IF($AC961="Yes",1,0))</f>
        <v/>
      </c>
      <c r="AQ961">
        <f>IF($AM961=1,IFERROR(VALUE(MID($D961,2,20)),1000000000)+ROW()/100000,"")</f>
        <v/>
      </c>
    </row>
    <row r="962">
      <c r="G962" s="11" t="n"/>
      <c r="Q962" s="7">
        <f>IF($D962="","",P962*Y962/100)</f>
        <v/>
      </c>
      <c r="R962" s="7" t="n"/>
      <c r="X962" s="7" t="n"/>
      <c r="Y962" s="7" t="n"/>
      <c r="Z962" s="7">
        <f>IF($D962="","",Y962*AD962/100)</f>
        <v/>
      </c>
      <c r="AA962" s="7">
        <f>IF($D962="","",Y962-Z962)</f>
        <v/>
      </c>
      <c r="AB962" s="7">
        <f>IF($D962="","",AA962-Q962)</f>
        <v/>
      </c>
      <c r="AD962">
        <f>IF($D962="","",IF($AP962=1,0,IF($AO962=1,Settings!$C$6,Settings!$C$7))*100)</f>
        <v/>
      </c>
      <c r="AH962" s="7" t="n"/>
      <c r="AK962" s="11" t="n"/>
      <c r="AM962">
        <f>IF($D962="","",IF(COUNTIF($D$2:$D962,$D962)=1,1,0))</f>
        <v/>
      </c>
      <c r="AN962">
        <f>IF($AM962=1,SUMPRODUCT(--($AQ$2:$AQ$1001&lt;$AQ962))+1,"")</f>
        <v/>
      </c>
      <c r="AO962">
        <f>IF($D962="","",IF(OR($U962=TRUE(),$U962="TRUE"),1,0))</f>
        <v/>
      </c>
      <c r="AP962">
        <f>IF($D962="","",IF($AC962="Yes",1,0))</f>
        <v/>
      </c>
      <c r="AQ962">
        <f>IF($AM962=1,IFERROR(VALUE(MID($D962,2,20)),1000000000)+ROW()/100000,"")</f>
        <v/>
      </c>
    </row>
    <row r="963">
      <c r="G963" s="11" t="n"/>
      <c r="Q963" s="7">
        <f>IF($D963="","",P963*Y963/100)</f>
        <v/>
      </c>
      <c r="R963" s="7" t="n"/>
      <c r="X963" s="7" t="n"/>
      <c r="Y963" s="7" t="n"/>
      <c r="Z963" s="7">
        <f>IF($D963="","",Y963*AD963/100)</f>
        <v/>
      </c>
      <c r="AA963" s="7">
        <f>IF($D963="","",Y963-Z963)</f>
        <v/>
      </c>
      <c r="AB963" s="7">
        <f>IF($D963="","",AA963-Q963)</f>
        <v/>
      </c>
      <c r="AD963">
        <f>IF($D963="","",IF($AP963=1,0,IF($AO963=1,Settings!$C$6,Settings!$C$7))*100)</f>
        <v/>
      </c>
      <c r="AH963" s="7" t="n"/>
      <c r="AK963" s="11" t="n"/>
      <c r="AM963">
        <f>IF($D963="","",IF(COUNTIF($D$2:$D963,$D963)=1,1,0))</f>
        <v/>
      </c>
      <c r="AN963">
        <f>IF($AM963=1,SUMPRODUCT(--($AQ$2:$AQ$1001&lt;$AQ963))+1,"")</f>
        <v/>
      </c>
      <c r="AO963">
        <f>IF($D963="","",IF(OR($U963=TRUE(),$U963="TRUE"),1,0))</f>
        <v/>
      </c>
      <c r="AP963">
        <f>IF($D963="","",IF($AC963="Yes",1,0))</f>
        <v/>
      </c>
      <c r="AQ963">
        <f>IF($AM963=1,IFERROR(VALUE(MID($D963,2,20)),1000000000)+ROW()/100000,"")</f>
        <v/>
      </c>
    </row>
    <row r="964">
      <c r="G964" s="11" t="n"/>
      <c r="Q964" s="7">
        <f>IF($D964="","",P964*Y964/100)</f>
        <v/>
      </c>
      <c r="R964" s="7" t="n"/>
      <c r="X964" s="7" t="n"/>
      <c r="Y964" s="7" t="n"/>
      <c r="Z964" s="7">
        <f>IF($D964="","",Y964*AD964/100)</f>
        <v/>
      </c>
      <c r="AA964" s="7">
        <f>IF($D964="","",Y964-Z964)</f>
        <v/>
      </c>
      <c r="AB964" s="7">
        <f>IF($D964="","",AA964-Q964)</f>
        <v/>
      </c>
      <c r="AD964">
        <f>IF($D964="","",IF($AP964=1,0,IF($AO964=1,Settings!$C$6,Settings!$C$7))*100)</f>
        <v/>
      </c>
      <c r="AH964" s="7" t="n"/>
      <c r="AK964" s="11" t="n"/>
      <c r="AM964">
        <f>IF($D964="","",IF(COUNTIF($D$2:$D964,$D964)=1,1,0))</f>
        <v/>
      </c>
      <c r="AN964">
        <f>IF($AM964=1,SUMPRODUCT(--($AQ$2:$AQ$1001&lt;$AQ964))+1,"")</f>
        <v/>
      </c>
      <c r="AO964">
        <f>IF($D964="","",IF(OR($U964=TRUE(),$U964="TRUE"),1,0))</f>
        <v/>
      </c>
      <c r="AP964">
        <f>IF($D964="","",IF($AC964="Yes",1,0))</f>
        <v/>
      </c>
      <c r="AQ964">
        <f>IF($AM964=1,IFERROR(VALUE(MID($D964,2,20)),1000000000)+ROW()/100000,"")</f>
        <v/>
      </c>
    </row>
    <row r="965">
      <c r="G965" s="11" t="n"/>
      <c r="Q965" s="7">
        <f>IF($D965="","",P965*Y965/100)</f>
        <v/>
      </c>
      <c r="R965" s="7" t="n"/>
      <c r="X965" s="7" t="n"/>
      <c r="Y965" s="7" t="n"/>
      <c r="Z965" s="7">
        <f>IF($D965="","",Y965*AD965/100)</f>
        <v/>
      </c>
      <c r="AA965" s="7">
        <f>IF($D965="","",Y965-Z965)</f>
        <v/>
      </c>
      <c r="AB965" s="7">
        <f>IF($D965="","",AA965-Q965)</f>
        <v/>
      </c>
      <c r="AD965">
        <f>IF($D965="","",IF($AP965=1,0,IF($AO965=1,Settings!$C$6,Settings!$C$7))*100)</f>
        <v/>
      </c>
      <c r="AH965" s="7" t="n"/>
      <c r="AK965" s="11" t="n"/>
      <c r="AM965">
        <f>IF($D965="","",IF(COUNTIF($D$2:$D965,$D965)=1,1,0))</f>
        <v/>
      </c>
      <c r="AN965">
        <f>IF($AM965=1,SUMPRODUCT(--($AQ$2:$AQ$1001&lt;$AQ965))+1,"")</f>
        <v/>
      </c>
      <c r="AO965">
        <f>IF($D965="","",IF(OR($U965=TRUE(),$U965="TRUE"),1,0))</f>
        <v/>
      </c>
      <c r="AP965">
        <f>IF($D965="","",IF($AC965="Yes",1,0))</f>
        <v/>
      </c>
      <c r="AQ965">
        <f>IF($AM965=1,IFERROR(VALUE(MID($D965,2,20)),1000000000)+ROW()/100000,"")</f>
        <v/>
      </c>
    </row>
    <row r="966">
      <c r="G966" s="11" t="n"/>
      <c r="Q966" s="7">
        <f>IF($D966="","",P966*Y966/100)</f>
        <v/>
      </c>
      <c r="R966" s="7" t="n"/>
      <c r="X966" s="7" t="n"/>
      <c r="Y966" s="7" t="n"/>
      <c r="Z966" s="7">
        <f>IF($D966="","",Y966*AD966/100)</f>
        <v/>
      </c>
      <c r="AA966" s="7">
        <f>IF($D966="","",Y966-Z966)</f>
        <v/>
      </c>
      <c r="AB966" s="7">
        <f>IF($D966="","",AA966-Q966)</f>
        <v/>
      </c>
      <c r="AD966">
        <f>IF($D966="","",IF($AP966=1,0,IF($AO966=1,Settings!$C$6,Settings!$C$7))*100)</f>
        <v/>
      </c>
      <c r="AH966" s="7" t="n"/>
      <c r="AK966" s="11" t="n"/>
      <c r="AM966">
        <f>IF($D966="","",IF(COUNTIF($D$2:$D966,$D966)=1,1,0))</f>
        <v/>
      </c>
      <c r="AN966">
        <f>IF($AM966=1,SUMPRODUCT(--($AQ$2:$AQ$1001&lt;$AQ966))+1,"")</f>
        <v/>
      </c>
      <c r="AO966">
        <f>IF($D966="","",IF(OR($U966=TRUE(),$U966="TRUE"),1,0))</f>
        <v/>
      </c>
      <c r="AP966">
        <f>IF($D966="","",IF($AC966="Yes",1,0))</f>
        <v/>
      </c>
      <c r="AQ966">
        <f>IF($AM966=1,IFERROR(VALUE(MID($D966,2,20)),1000000000)+ROW()/100000,"")</f>
        <v/>
      </c>
    </row>
    <row r="967">
      <c r="G967" s="11" t="n"/>
      <c r="Q967" s="7">
        <f>IF($D967="","",P967*Y967/100)</f>
        <v/>
      </c>
      <c r="R967" s="7" t="n"/>
      <c r="X967" s="7" t="n"/>
      <c r="Y967" s="7" t="n"/>
      <c r="Z967" s="7">
        <f>IF($D967="","",Y967*AD967/100)</f>
        <v/>
      </c>
      <c r="AA967" s="7">
        <f>IF($D967="","",Y967-Z967)</f>
        <v/>
      </c>
      <c r="AB967" s="7">
        <f>IF($D967="","",AA967-Q967)</f>
        <v/>
      </c>
      <c r="AD967">
        <f>IF($D967="","",IF($AP967=1,0,IF($AO967=1,Settings!$C$6,Settings!$C$7))*100)</f>
        <v/>
      </c>
      <c r="AH967" s="7" t="n"/>
      <c r="AK967" s="11" t="n"/>
      <c r="AM967">
        <f>IF($D967="","",IF(COUNTIF($D$2:$D967,$D967)=1,1,0))</f>
        <v/>
      </c>
      <c r="AN967">
        <f>IF($AM967=1,SUMPRODUCT(--($AQ$2:$AQ$1001&lt;$AQ967))+1,"")</f>
        <v/>
      </c>
      <c r="AO967">
        <f>IF($D967="","",IF(OR($U967=TRUE(),$U967="TRUE"),1,0))</f>
        <v/>
      </c>
      <c r="AP967">
        <f>IF($D967="","",IF($AC967="Yes",1,0))</f>
        <v/>
      </c>
      <c r="AQ967">
        <f>IF($AM967=1,IFERROR(VALUE(MID($D967,2,20)),1000000000)+ROW()/100000,"")</f>
        <v/>
      </c>
    </row>
    <row r="968">
      <c r="G968" s="11" t="n"/>
      <c r="Q968" s="7">
        <f>IF($D968="","",P968*Y968/100)</f>
        <v/>
      </c>
      <c r="R968" s="7" t="n"/>
      <c r="X968" s="7" t="n"/>
      <c r="Y968" s="7" t="n"/>
      <c r="Z968" s="7">
        <f>IF($D968="","",Y968*AD968/100)</f>
        <v/>
      </c>
      <c r="AA968" s="7">
        <f>IF($D968="","",Y968-Z968)</f>
        <v/>
      </c>
      <c r="AB968" s="7">
        <f>IF($D968="","",AA968-Q968)</f>
        <v/>
      </c>
      <c r="AD968">
        <f>IF($D968="","",IF($AP968=1,0,IF($AO968=1,Settings!$C$6,Settings!$C$7))*100)</f>
        <v/>
      </c>
      <c r="AH968" s="7" t="n"/>
      <c r="AK968" s="11" t="n"/>
      <c r="AM968">
        <f>IF($D968="","",IF(COUNTIF($D$2:$D968,$D968)=1,1,0))</f>
        <v/>
      </c>
      <c r="AN968">
        <f>IF($AM968=1,SUMPRODUCT(--($AQ$2:$AQ$1001&lt;$AQ968))+1,"")</f>
        <v/>
      </c>
      <c r="AO968">
        <f>IF($D968="","",IF(OR($U968=TRUE(),$U968="TRUE"),1,0))</f>
        <v/>
      </c>
      <c r="AP968">
        <f>IF($D968="","",IF($AC968="Yes",1,0))</f>
        <v/>
      </c>
      <c r="AQ968">
        <f>IF($AM968=1,IFERROR(VALUE(MID($D968,2,20)),1000000000)+ROW()/100000,"")</f>
        <v/>
      </c>
    </row>
    <row r="969">
      <c r="G969" s="11" t="n"/>
      <c r="Q969" s="7">
        <f>IF($D969="","",P969*Y969/100)</f>
        <v/>
      </c>
      <c r="R969" s="7" t="n"/>
      <c r="X969" s="7" t="n"/>
      <c r="Y969" s="7" t="n"/>
      <c r="Z969" s="7">
        <f>IF($D969="","",Y969*AD969/100)</f>
        <v/>
      </c>
      <c r="AA969" s="7">
        <f>IF($D969="","",Y969-Z969)</f>
        <v/>
      </c>
      <c r="AB969" s="7">
        <f>IF($D969="","",AA969-Q969)</f>
        <v/>
      </c>
      <c r="AD969">
        <f>IF($D969="","",IF($AP969=1,0,IF($AO969=1,Settings!$C$6,Settings!$C$7))*100)</f>
        <v/>
      </c>
      <c r="AH969" s="7" t="n"/>
      <c r="AK969" s="11" t="n"/>
      <c r="AM969">
        <f>IF($D969="","",IF(COUNTIF($D$2:$D969,$D969)=1,1,0))</f>
        <v/>
      </c>
      <c r="AN969">
        <f>IF($AM969=1,SUMPRODUCT(--($AQ$2:$AQ$1001&lt;$AQ969))+1,"")</f>
        <v/>
      </c>
      <c r="AO969">
        <f>IF($D969="","",IF(OR($U969=TRUE(),$U969="TRUE"),1,0))</f>
        <v/>
      </c>
      <c r="AP969">
        <f>IF($D969="","",IF($AC969="Yes",1,0))</f>
        <v/>
      </c>
      <c r="AQ969">
        <f>IF($AM969=1,IFERROR(VALUE(MID($D969,2,20)),1000000000)+ROW()/100000,"")</f>
        <v/>
      </c>
    </row>
    <row r="970">
      <c r="G970" s="11" t="n"/>
      <c r="Q970" s="7">
        <f>IF($D970="","",P970*Y970/100)</f>
        <v/>
      </c>
      <c r="R970" s="7" t="n"/>
      <c r="X970" s="7" t="n"/>
      <c r="Y970" s="7" t="n"/>
      <c r="Z970" s="7">
        <f>IF($D970="","",Y970*AD970/100)</f>
        <v/>
      </c>
      <c r="AA970" s="7">
        <f>IF($D970="","",Y970-Z970)</f>
        <v/>
      </c>
      <c r="AB970" s="7">
        <f>IF($D970="","",AA970-Q970)</f>
        <v/>
      </c>
      <c r="AD970">
        <f>IF($D970="","",IF($AP970=1,0,IF($AO970=1,Settings!$C$6,Settings!$C$7))*100)</f>
        <v/>
      </c>
      <c r="AH970" s="7" t="n"/>
      <c r="AK970" s="11" t="n"/>
      <c r="AM970">
        <f>IF($D970="","",IF(COUNTIF($D$2:$D970,$D970)=1,1,0))</f>
        <v/>
      </c>
      <c r="AN970">
        <f>IF($AM970=1,SUMPRODUCT(--($AQ$2:$AQ$1001&lt;$AQ970))+1,"")</f>
        <v/>
      </c>
      <c r="AO970">
        <f>IF($D970="","",IF(OR($U970=TRUE(),$U970="TRUE"),1,0))</f>
        <v/>
      </c>
      <c r="AP970">
        <f>IF($D970="","",IF($AC970="Yes",1,0))</f>
        <v/>
      </c>
      <c r="AQ970">
        <f>IF($AM970=1,IFERROR(VALUE(MID($D970,2,20)),1000000000)+ROW()/100000,"")</f>
        <v/>
      </c>
    </row>
    <row r="971">
      <c r="G971" s="11" t="n"/>
      <c r="Q971" s="7">
        <f>IF($D971="","",P971*Y971/100)</f>
        <v/>
      </c>
      <c r="R971" s="7" t="n"/>
      <c r="X971" s="7" t="n"/>
      <c r="Y971" s="7" t="n"/>
      <c r="Z971" s="7">
        <f>IF($D971="","",Y971*AD971/100)</f>
        <v/>
      </c>
      <c r="AA971" s="7">
        <f>IF($D971="","",Y971-Z971)</f>
        <v/>
      </c>
      <c r="AB971" s="7">
        <f>IF($D971="","",AA971-Q971)</f>
        <v/>
      </c>
      <c r="AD971">
        <f>IF($D971="","",IF($AP971=1,0,IF($AO971=1,Settings!$C$6,Settings!$C$7))*100)</f>
        <v/>
      </c>
      <c r="AH971" s="7" t="n"/>
      <c r="AK971" s="11" t="n"/>
      <c r="AM971">
        <f>IF($D971="","",IF(COUNTIF($D$2:$D971,$D971)=1,1,0))</f>
        <v/>
      </c>
      <c r="AN971">
        <f>IF($AM971=1,SUMPRODUCT(--($AQ$2:$AQ$1001&lt;$AQ971))+1,"")</f>
        <v/>
      </c>
      <c r="AO971">
        <f>IF($D971="","",IF(OR($U971=TRUE(),$U971="TRUE"),1,0))</f>
        <v/>
      </c>
      <c r="AP971">
        <f>IF($D971="","",IF($AC971="Yes",1,0))</f>
        <v/>
      </c>
      <c r="AQ971">
        <f>IF($AM971=1,IFERROR(VALUE(MID($D971,2,20)),1000000000)+ROW()/100000,"")</f>
        <v/>
      </c>
    </row>
    <row r="972">
      <c r="G972" s="11" t="n"/>
      <c r="Q972" s="7">
        <f>IF($D972="","",P972*Y972/100)</f>
        <v/>
      </c>
      <c r="R972" s="7" t="n"/>
      <c r="X972" s="7" t="n"/>
      <c r="Y972" s="7" t="n"/>
      <c r="Z972" s="7">
        <f>IF($D972="","",Y972*AD972/100)</f>
        <v/>
      </c>
      <c r="AA972" s="7">
        <f>IF($D972="","",Y972-Z972)</f>
        <v/>
      </c>
      <c r="AB972" s="7">
        <f>IF($D972="","",AA972-Q972)</f>
        <v/>
      </c>
      <c r="AD972">
        <f>IF($D972="","",IF($AP972=1,0,IF($AO972=1,Settings!$C$6,Settings!$C$7))*100)</f>
        <v/>
      </c>
      <c r="AH972" s="7" t="n"/>
      <c r="AK972" s="11" t="n"/>
      <c r="AM972">
        <f>IF($D972="","",IF(COUNTIF($D$2:$D972,$D972)=1,1,0))</f>
        <v/>
      </c>
      <c r="AN972">
        <f>IF($AM972=1,SUMPRODUCT(--($AQ$2:$AQ$1001&lt;$AQ972))+1,"")</f>
        <v/>
      </c>
      <c r="AO972">
        <f>IF($D972="","",IF(OR($U972=TRUE(),$U972="TRUE"),1,0))</f>
        <v/>
      </c>
      <c r="AP972">
        <f>IF($D972="","",IF($AC972="Yes",1,0))</f>
        <v/>
      </c>
      <c r="AQ972">
        <f>IF($AM972=1,IFERROR(VALUE(MID($D972,2,20)),1000000000)+ROW()/100000,"")</f>
        <v/>
      </c>
    </row>
    <row r="973">
      <c r="G973" s="11" t="n"/>
      <c r="Q973" s="7">
        <f>IF($D973="","",P973*Y973/100)</f>
        <v/>
      </c>
      <c r="R973" s="7" t="n"/>
      <c r="X973" s="7" t="n"/>
      <c r="Y973" s="7" t="n"/>
      <c r="Z973" s="7">
        <f>IF($D973="","",Y973*AD973/100)</f>
        <v/>
      </c>
      <c r="AA973" s="7">
        <f>IF($D973="","",Y973-Z973)</f>
        <v/>
      </c>
      <c r="AB973" s="7">
        <f>IF($D973="","",AA973-Q973)</f>
        <v/>
      </c>
      <c r="AD973">
        <f>IF($D973="","",IF($AP973=1,0,IF($AO973=1,Settings!$C$6,Settings!$C$7))*100)</f>
        <v/>
      </c>
      <c r="AH973" s="7" t="n"/>
      <c r="AK973" s="11" t="n"/>
      <c r="AM973">
        <f>IF($D973="","",IF(COUNTIF($D$2:$D973,$D973)=1,1,0))</f>
        <v/>
      </c>
      <c r="AN973">
        <f>IF($AM973=1,SUMPRODUCT(--($AQ$2:$AQ$1001&lt;$AQ973))+1,"")</f>
        <v/>
      </c>
      <c r="AO973">
        <f>IF($D973="","",IF(OR($U973=TRUE(),$U973="TRUE"),1,0))</f>
        <v/>
      </c>
      <c r="AP973">
        <f>IF($D973="","",IF($AC973="Yes",1,0))</f>
        <v/>
      </c>
      <c r="AQ973">
        <f>IF($AM973=1,IFERROR(VALUE(MID($D973,2,20)),1000000000)+ROW()/100000,"")</f>
        <v/>
      </c>
    </row>
    <row r="974">
      <c r="G974" s="11" t="n"/>
      <c r="Q974" s="7">
        <f>IF($D974="","",P974*Y974/100)</f>
        <v/>
      </c>
      <c r="R974" s="7" t="n"/>
      <c r="X974" s="7" t="n"/>
      <c r="Y974" s="7" t="n"/>
      <c r="Z974" s="7">
        <f>IF($D974="","",Y974*AD974/100)</f>
        <v/>
      </c>
      <c r="AA974" s="7">
        <f>IF($D974="","",Y974-Z974)</f>
        <v/>
      </c>
      <c r="AB974" s="7">
        <f>IF($D974="","",AA974-Q974)</f>
        <v/>
      </c>
      <c r="AD974">
        <f>IF($D974="","",IF($AP974=1,0,IF($AO974=1,Settings!$C$6,Settings!$C$7))*100)</f>
        <v/>
      </c>
      <c r="AH974" s="7" t="n"/>
      <c r="AK974" s="11" t="n"/>
      <c r="AM974">
        <f>IF($D974="","",IF(COUNTIF($D$2:$D974,$D974)=1,1,0))</f>
        <v/>
      </c>
      <c r="AN974">
        <f>IF($AM974=1,SUMPRODUCT(--($AQ$2:$AQ$1001&lt;$AQ974))+1,"")</f>
        <v/>
      </c>
      <c r="AO974">
        <f>IF($D974="","",IF(OR($U974=TRUE(),$U974="TRUE"),1,0))</f>
        <v/>
      </c>
      <c r="AP974">
        <f>IF($D974="","",IF($AC974="Yes",1,0))</f>
        <v/>
      </c>
      <c r="AQ974">
        <f>IF($AM974=1,IFERROR(VALUE(MID($D974,2,20)),1000000000)+ROW()/100000,"")</f>
        <v/>
      </c>
    </row>
    <row r="975">
      <c r="G975" s="11" t="n"/>
      <c r="Q975" s="7">
        <f>IF($D975="","",P975*Y975/100)</f>
        <v/>
      </c>
      <c r="R975" s="7" t="n"/>
      <c r="X975" s="7" t="n"/>
      <c r="Y975" s="7" t="n"/>
      <c r="Z975" s="7">
        <f>IF($D975="","",Y975*AD975/100)</f>
        <v/>
      </c>
      <c r="AA975" s="7">
        <f>IF($D975="","",Y975-Z975)</f>
        <v/>
      </c>
      <c r="AB975" s="7">
        <f>IF($D975="","",AA975-Q975)</f>
        <v/>
      </c>
      <c r="AD975">
        <f>IF($D975="","",IF($AP975=1,0,IF($AO975=1,Settings!$C$6,Settings!$C$7))*100)</f>
        <v/>
      </c>
      <c r="AH975" s="7" t="n"/>
      <c r="AK975" s="11" t="n"/>
      <c r="AM975">
        <f>IF($D975="","",IF(COUNTIF($D$2:$D975,$D975)=1,1,0))</f>
        <v/>
      </c>
      <c r="AN975">
        <f>IF($AM975=1,SUMPRODUCT(--($AQ$2:$AQ$1001&lt;$AQ975))+1,"")</f>
        <v/>
      </c>
      <c r="AO975">
        <f>IF($D975="","",IF(OR($U975=TRUE(),$U975="TRUE"),1,0))</f>
        <v/>
      </c>
      <c r="AP975">
        <f>IF($D975="","",IF($AC975="Yes",1,0))</f>
        <v/>
      </c>
      <c r="AQ975">
        <f>IF($AM975=1,IFERROR(VALUE(MID($D975,2,20)),1000000000)+ROW()/100000,"")</f>
        <v/>
      </c>
    </row>
    <row r="976">
      <c r="G976" s="11" t="n"/>
      <c r="Q976" s="7">
        <f>IF($D976="","",P976*Y976/100)</f>
        <v/>
      </c>
      <c r="R976" s="7" t="n"/>
      <c r="X976" s="7" t="n"/>
      <c r="Y976" s="7" t="n"/>
      <c r="Z976" s="7">
        <f>IF($D976="","",Y976*AD976/100)</f>
        <v/>
      </c>
      <c r="AA976" s="7">
        <f>IF($D976="","",Y976-Z976)</f>
        <v/>
      </c>
      <c r="AB976" s="7">
        <f>IF($D976="","",AA976-Q976)</f>
        <v/>
      </c>
      <c r="AD976">
        <f>IF($D976="","",IF($AP976=1,0,IF($AO976=1,Settings!$C$6,Settings!$C$7))*100)</f>
        <v/>
      </c>
      <c r="AH976" s="7" t="n"/>
      <c r="AK976" s="11" t="n"/>
      <c r="AM976">
        <f>IF($D976="","",IF(COUNTIF($D$2:$D976,$D976)=1,1,0))</f>
        <v/>
      </c>
      <c r="AN976">
        <f>IF($AM976=1,SUMPRODUCT(--($AQ$2:$AQ$1001&lt;$AQ976))+1,"")</f>
        <v/>
      </c>
      <c r="AO976">
        <f>IF($D976="","",IF(OR($U976=TRUE(),$U976="TRUE"),1,0))</f>
        <v/>
      </c>
      <c r="AP976">
        <f>IF($D976="","",IF($AC976="Yes",1,0))</f>
        <v/>
      </c>
      <c r="AQ976">
        <f>IF($AM976=1,IFERROR(VALUE(MID($D976,2,20)),1000000000)+ROW()/100000,"")</f>
        <v/>
      </c>
    </row>
    <row r="977">
      <c r="G977" s="11" t="n"/>
      <c r="Q977" s="7">
        <f>IF($D977="","",P977*Y977/100)</f>
        <v/>
      </c>
      <c r="R977" s="7" t="n"/>
      <c r="X977" s="7" t="n"/>
      <c r="Y977" s="7" t="n"/>
      <c r="Z977" s="7">
        <f>IF($D977="","",Y977*AD977/100)</f>
        <v/>
      </c>
      <c r="AA977" s="7">
        <f>IF($D977="","",Y977-Z977)</f>
        <v/>
      </c>
      <c r="AB977" s="7">
        <f>IF($D977="","",AA977-Q977)</f>
        <v/>
      </c>
      <c r="AD977">
        <f>IF($D977="","",IF($AP977=1,0,IF($AO977=1,Settings!$C$6,Settings!$C$7))*100)</f>
        <v/>
      </c>
      <c r="AH977" s="7" t="n"/>
      <c r="AK977" s="11" t="n"/>
      <c r="AM977">
        <f>IF($D977="","",IF(COUNTIF($D$2:$D977,$D977)=1,1,0))</f>
        <v/>
      </c>
      <c r="AN977">
        <f>IF($AM977=1,SUMPRODUCT(--($AQ$2:$AQ$1001&lt;$AQ977))+1,"")</f>
        <v/>
      </c>
      <c r="AO977">
        <f>IF($D977="","",IF(OR($U977=TRUE(),$U977="TRUE"),1,0))</f>
        <v/>
      </c>
      <c r="AP977">
        <f>IF($D977="","",IF($AC977="Yes",1,0))</f>
        <v/>
      </c>
      <c r="AQ977">
        <f>IF($AM977=1,IFERROR(VALUE(MID($D977,2,20)),1000000000)+ROW()/100000,"")</f>
        <v/>
      </c>
    </row>
    <row r="978">
      <c r="G978" s="11" t="n"/>
      <c r="Q978" s="7">
        <f>IF($D978="","",P978*Y978/100)</f>
        <v/>
      </c>
      <c r="R978" s="7" t="n"/>
      <c r="X978" s="7" t="n"/>
      <c r="Y978" s="7" t="n"/>
      <c r="Z978" s="7">
        <f>IF($D978="","",Y978*AD978/100)</f>
        <v/>
      </c>
      <c r="AA978" s="7">
        <f>IF($D978="","",Y978-Z978)</f>
        <v/>
      </c>
      <c r="AB978" s="7">
        <f>IF($D978="","",AA978-Q978)</f>
        <v/>
      </c>
      <c r="AD978">
        <f>IF($D978="","",IF($AP978=1,0,IF($AO978=1,Settings!$C$6,Settings!$C$7))*100)</f>
        <v/>
      </c>
      <c r="AH978" s="7" t="n"/>
      <c r="AK978" s="11" t="n"/>
      <c r="AM978">
        <f>IF($D978="","",IF(COUNTIF($D$2:$D978,$D978)=1,1,0))</f>
        <v/>
      </c>
      <c r="AN978">
        <f>IF($AM978=1,SUMPRODUCT(--($AQ$2:$AQ$1001&lt;$AQ978))+1,"")</f>
        <v/>
      </c>
      <c r="AO978">
        <f>IF($D978="","",IF(OR($U978=TRUE(),$U978="TRUE"),1,0))</f>
        <v/>
      </c>
      <c r="AP978">
        <f>IF($D978="","",IF($AC978="Yes",1,0))</f>
        <v/>
      </c>
      <c r="AQ978">
        <f>IF($AM978=1,IFERROR(VALUE(MID($D978,2,20)),1000000000)+ROW()/100000,"")</f>
        <v/>
      </c>
    </row>
    <row r="979">
      <c r="G979" s="11" t="n"/>
      <c r="Q979" s="7">
        <f>IF($D979="","",P979*Y979/100)</f>
        <v/>
      </c>
      <c r="R979" s="7" t="n"/>
      <c r="X979" s="7" t="n"/>
      <c r="Y979" s="7" t="n"/>
      <c r="Z979" s="7">
        <f>IF($D979="","",Y979*AD979/100)</f>
        <v/>
      </c>
      <c r="AA979" s="7">
        <f>IF($D979="","",Y979-Z979)</f>
        <v/>
      </c>
      <c r="AB979" s="7">
        <f>IF($D979="","",AA979-Q979)</f>
        <v/>
      </c>
      <c r="AD979">
        <f>IF($D979="","",IF($AP979=1,0,IF($AO979=1,Settings!$C$6,Settings!$C$7))*100)</f>
        <v/>
      </c>
      <c r="AH979" s="7" t="n"/>
      <c r="AK979" s="11" t="n"/>
      <c r="AM979">
        <f>IF($D979="","",IF(COUNTIF($D$2:$D979,$D979)=1,1,0))</f>
        <v/>
      </c>
      <c r="AN979">
        <f>IF($AM979=1,SUMPRODUCT(--($AQ$2:$AQ$1001&lt;$AQ979))+1,"")</f>
        <v/>
      </c>
      <c r="AO979">
        <f>IF($D979="","",IF(OR($U979=TRUE(),$U979="TRUE"),1,0))</f>
        <v/>
      </c>
      <c r="AP979">
        <f>IF($D979="","",IF($AC979="Yes",1,0))</f>
        <v/>
      </c>
      <c r="AQ979">
        <f>IF($AM979=1,IFERROR(VALUE(MID($D979,2,20)),1000000000)+ROW()/100000,"")</f>
        <v/>
      </c>
    </row>
    <row r="980">
      <c r="G980" s="11" t="n"/>
      <c r="Q980" s="7">
        <f>IF($D980="","",P980*Y980/100)</f>
        <v/>
      </c>
      <c r="R980" s="7" t="n"/>
      <c r="X980" s="7" t="n"/>
      <c r="Y980" s="7" t="n"/>
      <c r="Z980" s="7">
        <f>IF($D980="","",Y980*AD980/100)</f>
        <v/>
      </c>
      <c r="AA980" s="7">
        <f>IF($D980="","",Y980-Z980)</f>
        <v/>
      </c>
      <c r="AB980" s="7">
        <f>IF($D980="","",AA980-Q980)</f>
        <v/>
      </c>
      <c r="AD980">
        <f>IF($D980="","",IF($AP980=1,0,IF($AO980=1,Settings!$C$6,Settings!$C$7))*100)</f>
        <v/>
      </c>
      <c r="AH980" s="7" t="n"/>
      <c r="AK980" s="11" t="n"/>
      <c r="AM980">
        <f>IF($D980="","",IF(COUNTIF($D$2:$D980,$D980)=1,1,0))</f>
        <v/>
      </c>
      <c r="AN980">
        <f>IF($AM980=1,SUMPRODUCT(--($AQ$2:$AQ$1001&lt;$AQ980))+1,"")</f>
        <v/>
      </c>
      <c r="AO980">
        <f>IF($D980="","",IF(OR($U980=TRUE(),$U980="TRUE"),1,0))</f>
        <v/>
      </c>
      <c r="AP980">
        <f>IF($D980="","",IF($AC980="Yes",1,0))</f>
        <v/>
      </c>
      <c r="AQ980">
        <f>IF($AM980=1,IFERROR(VALUE(MID($D980,2,20)),1000000000)+ROW()/100000,"")</f>
        <v/>
      </c>
    </row>
    <row r="981">
      <c r="G981" s="11" t="n"/>
      <c r="Q981" s="7">
        <f>IF($D981="","",P981*Y981/100)</f>
        <v/>
      </c>
      <c r="R981" s="7" t="n"/>
      <c r="X981" s="7" t="n"/>
      <c r="Y981" s="7" t="n"/>
      <c r="Z981" s="7">
        <f>IF($D981="","",Y981*AD981/100)</f>
        <v/>
      </c>
      <c r="AA981" s="7">
        <f>IF($D981="","",Y981-Z981)</f>
        <v/>
      </c>
      <c r="AB981" s="7">
        <f>IF($D981="","",AA981-Q981)</f>
        <v/>
      </c>
      <c r="AD981">
        <f>IF($D981="","",IF($AP981=1,0,IF($AO981=1,Settings!$C$6,Settings!$C$7))*100)</f>
        <v/>
      </c>
      <c r="AH981" s="7" t="n"/>
      <c r="AK981" s="11" t="n"/>
      <c r="AM981">
        <f>IF($D981="","",IF(COUNTIF($D$2:$D981,$D981)=1,1,0))</f>
        <v/>
      </c>
      <c r="AN981">
        <f>IF($AM981=1,SUMPRODUCT(--($AQ$2:$AQ$1001&lt;$AQ981))+1,"")</f>
        <v/>
      </c>
      <c r="AO981">
        <f>IF($D981="","",IF(OR($U981=TRUE(),$U981="TRUE"),1,0))</f>
        <v/>
      </c>
      <c r="AP981">
        <f>IF($D981="","",IF($AC981="Yes",1,0))</f>
        <v/>
      </c>
      <c r="AQ981">
        <f>IF($AM981=1,IFERROR(VALUE(MID($D981,2,20)),1000000000)+ROW()/100000,"")</f>
        <v/>
      </c>
    </row>
    <row r="982">
      <c r="G982" s="11" t="n"/>
      <c r="Q982" s="7">
        <f>IF($D982="","",P982*Y982/100)</f>
        <v/>
      </c>
      <c r="R982" s="7" t="n"/>
      <c r="X982" s="7" t="n"/>
      <c r="Y982" s="7" t="n"/>
      <c r="Z982" s="7">
        <f>IF($D982="","",Y982*AD982/100)</f>
        <v/>
      </c>
      <c r="AA982" s="7">
        <f>IF($D982="","",Y982-Z982)</f>
        <v/>
      </c>
      <c r="AB982" s="7">
        <f>IF($D982="","",AA982-Q982)</f>
        <v/>
      </c>
      <c r="AD982">
        <f>IF($D982="","",IF($AP982=1,0,IF($AO982=1,Settings!$C$6,Settings!$C$7))*100)</f>
        <v/>
      </c>
      <c r="AH982" s="7" t="n"/>
      <c r="AK982" s="11" t="n"/>
      <c r="AM982">
        <f>IF($D982="","",IF(COUNTIF($D$2:$D982,$D982)=1,1,0))</f>
        <v/>
      </c>
      <c r="AN982">
        <f>IF($AM982=1,SUMPRODUCT(--($AQ$2:$AQ$1001&lt;$AQ982))+1,"")</f>
        <v/>
      </c>
      <c r="AO982">
        <f>IF($D982="","",IF(OR($U982=TRUE(),$U982="TRUE"),1,0))</f>
        <v/>
      </c>
      <c r="AP982">
        <f>IF($D982="","",IF($AC982="Yes",1,0))</f>
        <v/>
      </c>
      <c r="AQ982">
        <f>IF($AM982=1,IFERROR(VALUE(MID($D982,2,20)),1000000000)+ROW()/100000,"")</f>
        <v/>
      </c>
    </row>
    <row r="983">
      <c r="G983" s="11" t="n"/>
      <c r="Q983" s="7">
        <f>IF($D983="","",P983*Y983/100)</f>
        <v/>
      </c>
      <c r="R983" s="7" t="n"/>
      <c r="X983" s="7" t="n"/>
      <c r="Y983" s="7" t="n"/>
      <c r="Z983" s="7">
        <f>IF($D983="","",Y983*AD983/100)</f>
        <v/>
      </c>
      <c r="AA983" s="7">
        <f>IF($D983="","",Y983-Z983)</f>
        <v/>
      </c>
      <c r="AB983" s="7">
        <f>IF($D983="","",AA983-Q983)</f>
        <v/>
      </c>
      <c r="AD983">
        <f>IF($D983="","",IF($AP983=1,0,IF($AO983=1,Settings!$C$6,Settings!$C$7))*100)</f>
        <v/>
      </c>
      <c r="AH983" s="7" t="n"/>
      <c r="AK983" s="11" t="n"/>
      <c r="AM983">
        <f>IF($D983="","",IF(COUNTIF($D$2:$D983,$D983)=1,1,0))</f>
        <v/>
      </c>
      <c r="AN983">
        <f>IF($AM983=1,SUMPRODUCT(--($AQ$2:$AQ$1001&lt;$AQ983))+1,"")</f>
        <v/>
      </c>
      <c r="AO983">
        <f>IF($D983="","",IF(OR($U983=TRUE(),$U983="TRUE"),1,0))</f>
        <v/>
      </c>
      <c r="AP983">
        <f>IF($D983="","",IF($AC983="Yes",1,0))</f>
        <v/>
      </c>
      <c r="AQ983">
        <f>IF($AM983=1,IFERROR(VALUE(MID($D983,2,20)),1000000000)+ROW()/100000,"")</f>
        <v/>
      </c>
    </row>
    <row r="984">
      <c r="G984" s="11" t="n"/>
      <c r="Q984" s="7">
        <f>IF($D984="","",P984*Y984/100)</f>
        <v/>
      </c>
      <c r="R984" s="7" t="n"/>
      <c r="X984" s="7" t="n"/>
      <c r="Y984" s="7" t="n"/>
      <c r="Z984" s="7">
        <f>IF($D984="","",Y984*AD984/100)</f>
        <v/>
      </c>
      <c r="AA984" s="7">
        <f>IF($D984="","",Y984-Z984)</f>
        <v/>
      </c>
      <c r="AB984" s="7">
        <f>IF($D984="","",AA984-Q984)</f>
        <v/>
      </c>
      <c r="AD984">
        <f>IF($D984="","",IF($AP984=1,0,IF($AO984=1,Settings!$C$6,Settings!$C$7))*100)</f>
        <v/>
      </c>
      <c r="AH984" s="7" t="n"/>
      <c r="AK984" s="11" t="n"/>
      <c r="AM984">
        <f>IF($D984="","",IF(COUNTIF($D$2:$D984,$D984)=1,1,0))</f>
        <v/>
      </c>
      <c r="AN984">
        <f>IF($AM984=1,SUMPRODUCT(--($AQ$2:$AQ$1001&lt;$AQ984))+1,"")</f>
        <v/>
      </c>
      <c r="AO984">
        <f>IF($D984="","",IF(OR($U984=TRUE(),$U984="TRUE"),1,0))</f>
        <v/>
      </c>
      <c r="AP984">
        <f>IF($D984="","",IF($AC984="Yes",1,0))</f>
        <v/>
      </c>
      <c r="AQ984">
        <f>IF($AM984=1,IFERROR(VALUE(MID($D984,2,20)),1000000000)+ROW()/100000,"")</f>
        <v/>
      </c>
    </row>
    <row r="985">
      <c r="G985" s="11" t="n"/>
      <c r="Q985" s="7">
        <f>IF($D985="","",P985*Y985/100)</f>
        <v/>
      </c>
      <c r="R985" s="7" t="n"/>
      <c r="X985" s="7" t="n"/>
      <c r="Y985" s="7" t="n"/>
      <c r="Z985" s="7">
        <f>IF($D985="","",Y985*AD985/100)</f>
        <v/>
      </c>
      <c r="AA985" s="7">
        <f>IF($D985="","",Y985-Z985)</f>
        <v/>
      </c>
      <c r="AB985" s="7">
        <f>IF($D985="","",AA985-Q985)</f>
        <v/>
      </c>
      <c r="AD985">
        <f>IF($D985="","",IF($AP985=1,0,IF($AO985=1,Settings!$C$6,Settings!$C$7))*100)</f>
        <v/>
      </c>
      <c r="AH985" s="7" t="n"/>
      <c r="AK985" s="11" t="n"/>
      <c r="AM985">
        <f>IF($D985="","",IF(COUNTIF($D$2:$D985,$D985)=1,1,0))</f>
        <v/>
      </c>
      <c r="AN985">
        <f>IF($AM985=1,SUMPRODUCT(--($AQ$2:$AQ$1001&lt;$AQ985))+1,"")</f>
        <v/>
      </c>
      <c r="AO985">
        <f>IF($D985="","",IF(OR($U985=TRUE(),$U985="TRUE"),1,0))</f>
        <v/>
      </c>
      <c r="AP985">
        <f>IF($D985="","",IF($AC985="Yes",1,0))</f>
        <v/>
      </c>
      <c r="AQ985">
        <f>IF($AM985=1,IFERROR(VALUE(MID($D985,2,20)),1000000000)+ROW()/100000,"")</f>
        <v/>
      </c>
    </row>
    <row r="986">
      <c r="G986" s="11" t="n"/>
      <c r="Q986" s="7">
        <f>IF($D986="","",P986*Y986/100)</f>
        <v/>
      </c>
      <c r="R986" s="7" t="n"/>
      <c r="X986" s="7" t="n"/>
      <c r="Y986" s="7" t="n"/>
      <c r="Z986" s="7">
        <f>IF($D986="","",Y986*AD986/100)</f>
        <v/>
      </c>
      <c r="AA986" s="7">
        <f>IF($D986="","",Y986-Z986)</f>
        <v/>
      </c>
      <c r="AB986" s="7">
        <f>IF($D986="","",AA986-Q986)</f>
        <v/>
      </c>
      <c r="AD986">
        <f>IF($D986="","",IF($AP986=1,0,IF($AO986=1,Settings!$C$6,Settings!$C$7))*100)</f>
        <v/>
      </c>
      <c r="AH986" s="7" t="n"/>
      <c r="AK986" s="11" t="n"/>
      <c r="AM986">
        <f>IF($D986="","",IF(COUNTIF($D$2:$D986,$D986)=1,1,0))</f>
        <v/>
      </c>
      <c r="AN986">
        <f>IF($AM986=1,SUMPRODUCT(--($AQ$2:$AQ$1001&lt;$AQ986))+1,"")</f>
        <v/>
      </c>
      <c r="AO986">
        <f>IF($D986="","",IF(OR($U986=TRUE(),$U986="TRUE"),1,0))</f>
        <v/>
      </c>
      <c r="AP986">
        <f>IF($D986="","",IF($AC986="Yes",1,0))</f>
        <v/>
      </c>
      <c r="AQ986">
        <f>IF($AM986=1,IFERROR(VALUE(MID($D986,2,20)),1000000000)+ROW()/100000,"")</f>
        <v/>
      </c>
    </row>
    <row r="987">
      <c r="G987" s="11" t="n"/>
      <c r="Q987" s="7">
        <f>IF($D987="","",P987*Y987/100)</f>
        <v/>
      </c>
      <c r="R987" s="7" t="n"/>
      <c r="X987" s="7" t="n"/>
      <c r="Y987" s="7" t="n"/>
      <c r="Z987" s="7">
        <f>IF($D987="","",Y987*AD987/100)</f>
        <v/>
      </c>
      <c r="AA987" s="7">
        <f>IF($D987="","",Y987-Z987)</f>
        <v/>
      </c>
      <c r="AB987" s="7">
        <f>IF($D987="","",AA987-Q987)</f>
        <v/>
      </c>
      <c r="AD987">
        <f>IF($D987="","",IF($AP987=1,0,IF($AO987=1,Settings!$C$6,Settings!$C$7))*100)</f>
        <v/>
      </c>
      <c r="AH987" s="7" t="n"/>
      <c r="AK987" s="11" t="n"/>
      <c r="AM987">
        <f>IF($D987="","",IF(COUNTIF($D$2:$D987,$D987)=1,1,0))</f>
        <v/>
      </c>
      <c r="AN987">
        <f>IF($AM987=1,SUMPRODUCT(--($AQ$2:$AQ$1001&lt;$AQ987))+1,"")</f>
        <v/>
      </c>
      <c r="AO987">
        <f>IF($D987="","",IF(OR($U987=TRUE(),$U987="TRUE"),1,0))</f>
        <v/>
      </c>
      <c r="AP987">
        <f>IF($D987="","",IF($AC987="Yes",1,0))</f>
        <v/>
      </c>
      <c r="AQ987">
        <f>IF($AM987=1,IFERROR(VALUE(MID($D987,2,20)),1000000000)+ROW()/100000,"")</f>
        <v/>
      </c>
    </row>
    <row r="988">
      <c r="G988" s="11" t="n"/>
      <c r="Q988" s="7">
        <f>IF($D988="","",P988*Y988/100)</f>
        <v/>
      </c>
      <c r="R988" s="7" t="n"/>
      <c r="X988" s="7" t="n"/>
      <c r="Y988" s="7" t="n"/>
      <c r="Z988" s="7">
        <f>IF($D988="","",Y988*AD988/100)</f>
        <v/>
      </c>
      <c r="AA988" s="7">
        <f>IF($D988="","",Y988-Z988)</f>
        <v/>
      </c>
      <c r="AB988" s="7">
        <f>IF($D988="","",AA988-Q988)</f>
        <v/>
      </c>
      <c r="AD988">
        <f>IF($D988="","",IF($AP988=1,0,IF($AO988=1,Settings!$C$6,Settings!$C$7))*100)</f>
        <v/>
      </c>
      <c r="AH988" s="7" t="n"/>
      <c r="AK988" s="11" t="n"/>
      <c r="AM988">
        <f>IF($D988="","",IF(COUNTIF($D$2:$D988,$D988)=1,1,0))</f>
        <v/>
      </c>
      <c r="AN988">
        <f>IF($AM988=1,SUMPRODUCT(--($AQ$2:$AQ$1001&lt;$AQ988))+1,"")</f>
        <v/>
      </c>
      <c r="AO988">
        <f>IF($D988="","",IF(OR($U988=TRUE(),$U988="TRUE"),1,0))</f>
        <v/>
      </c>
      <c r="AP988">
        <f>IF($D988="","",IF($AC988="Yes",1,0))</f>
        <v/>
      </c>
      <c r="AQ988">
        <f>IF($AM988=1,IFERROR(VALUE(MID($D988,2,20)),1000000000)+ROW()/100000,"")</f>
        <v/>
      </c>
    </row>
    <row r="989">
      <c r="G989" s="11" t="n"/>
      <c r="Q989" s="7">
        <f>IF($D989="","",P989*Y989/100)</f>
        <v/>
      </c>
      <c r="R989" s="7" t="n"/>
      <c r="X989" s="7" t="n"/>
      <c r="Y989" s="7" t="n"/>
      <c r="Z989" s="7">
        <f>IF($D989="","",Y989*AD989/100)</f>
        <v/>
      </c>
      <c r="AA989" s="7">
        <f>IF($D989="","",Y989-Z989)</f>
        <v/>
      </c>
      <c r="AB989" s="7">
        <f>IF($D989="","",AA989-Q989)</f>
        <v/>
      </c>
      <c r="AD989">
        <f>IF($D989="","",IF($AP989=1,0,IF($AO989=1,Settings!$C$6,Settings!$C$7))*100)</f>
        <v/>
      </c>
      <c r="AH989" s="7" t="n"/>
      <c r="AK989" s="11" t="n"/>
      <c r="AM989">
        <f>IF($D989="","",IF(COUNTIF($D$2:$D989,$D989)=1,1,0))</f>
        <v/>
      </c>
      <c r="AN989">
        <f>IF($AM989=1,SUMPRODUCT(--($AQ$2:$AQ$1001&lt;$AQ989))+1,"")</f>
        <v/>
      </c>
      <c r="AO989">
        <f>IF($D989="","",IF(OR($U989=TRUE(),$U989="TRUE"),1,0))</f>
        <v/>
      </c>
      <c r="AP989">
        <f>IF($D989="","",IF($AC989="Yes",1,0))</f>
        <v/>
      </c>
      <c r="AQ989">
        <f>IF($AM989=1,IFERROR(VALUE(MID($D989,2,20)),1000000000)+ROW()/100000,"")</f>
        <v/>
      </c>
    </row>
    <row r="990">
      <c r="G990" s="11" t="n"/>
      <c r="Q990" s="7">
        <f>IF($D990="","",P990*Y990/100)</f>
        <v/>
      </c>
      <c r="R990" s="7" t="n"/>
      <c r="X990" s="7" t="n"/>
      <c r="Y990" s="7" t="n"/>
      <c r="Z990" s="7">
        <f>IF($D990="","",Y990*AD990/100)</f>
        <v/>
      </c>
      <c r="AA990" s="7">
        <f>IF($D990="","",Y990-Z990)</f>
        <v/>
      </c>
      <c r="AB990" s="7">
        <f>IF($D990="","",AA990-Q990)</f>
        <v/>
      </c>
      <c r="AD990">
        <f>IF($D990="","",IF($AP990=1,0,IF($AO990=1,Settings!$C$6,Settings!$C$7))*100)</f>
        <v/>
      </c>
      <c r="AH990" s="7" t="n"/>
      <c r="AK990" s="11" t="n"/>
      <c r="AM990">
        <f>IF($D990="","",IF(COUNTIF($D$2:$D990,$D990)=1,1,0))</f>
        <v/>
      </c>
      <c r="AN990">
        <f>IF($AM990=1,SUMPRODUCT(--($AQ$2:$AQ$1001&lt;$AQ990))+1,"")</f>
        <v/>
      </c>
      <c r="AO990">
        <f>IF($D990="","",IF(OR($U990=TRUE(),$U990="TRUE"),1,0))</f>
        <v/>
      </c>
      <c r="AP990">
        <f>IF($D990="","",IF($AC990="Yes",1,0))</f>
        <v/>
      </c>
      <c r="AQ990">
        <f>IF($AM990=1,IFERROR(VALUE(MID($D990,2,20)),1000000000)+ROW()/100000,"")</f>
        <v/>
      </c>
    </row>
    <row r="991">
      <c r="G991" s="11" t="n"/>
      <c r="Q991" s="7">
        <f>IF($D991="","",P991*Y991/100)</f>
        <v/>
      </c>
      <c r="R991" s="7" t="n"/>
      <c r="X991" s="7" t="n"/>
      <c r="Y991" s="7" t="n"/>
      <c r="Z991" s="7">
        <f>IF($D991="","",Y991*AD991/100)</f>
        <v/>
      </c>
      <c r="AA991" s="7">
        <f>IF($D991="","",Y991-Z991)</f>
        <v/>
      </c>
      <c r="AB991" s="7">
        <f>IF($D991="","",AA991-Q991)</f>
        <v/>
      </c>
      <c r="AD991">
        <f>IF($D991="","",IF($AP991=1,0,IF($AO991=1,Settings!$C$6,Settings!$C$7))*100)</f>
        <v/>
      </c>
      <c r="AH991" s="7" t="n"/>
      <c r="AK991" s="11" t="n"/>
      <c r="AM991">
        <f>IF($D991="","",IF(COUNTIF($D$2:$D991,$D991)=1,1,0))</f>
        <v/>
      </c>
      <c r="AN991">
        <f>IF($AM991=1,SUMPRODUCT(--($AQ$2:$AQ$1001&lt;$AQ991))+1,"")</f>
        <v/>
      </c>
      <c r="AO991">
        <f>IF($D991="","",IF(OR($U991=TRUE(),$U991="TRUE"),1,0))</f>
        <v/>
      </c>
      <c r="AP991">
        <f>IF($D991="","",IF($AC991="Yes",1,0))</f>
        <v/>
      </c>
      <c r="AQ991">
        <f>IF($AM991=1,IFERROR(VALUE(MID($D991,2,20)),1000000000)+ROW()/100000,"")</f>
        <v/>
      </c>
    </row>
    <row r="992">
      <c r="G992" s="11" t="n"/>
      <c r="Q992" s="7">
        <f>IF($D992="","",P992*Y992/100)</f>
        <v/>
      </c>
      <c r="R992" s="7" t="n"/>
      <c r="X992" s="7" t="n"/>
      <c r="Y992" s="7" t="n"/>
      <c r="Z992" s="7">
        <f>IF($D992="","",Y992*AD992/100)</f>
        <v/>
      </c>
      <c r="AA992" s="7">
        <f>IF($D992="","",Y992-Z992)</f>
        <v/>
      </c>
      <c r="AB992" s="7">
        <f>IF($D992="","",AA992-Q992)</f>
        <v/>
      </c>
      <c r="AD992">
        <f>IF($D992="","",IF($AP992=1,0,IF($AO992=1,Settings!$C$6,Settings!$C$7))*100)</f>
        <v/>
      </c>
      <c r="AH992" s="7" t="n"/>
      <c r="AK992" s="11" t="n"/>
      <c r="AM992">
        <f>IF($D992="","",IF(COUNTIF($D$2:$D992,$D992)=1,1,0))</f>
        <v/>
      </c>
      <c r="AN992">
        <f>IF($AM992=1,SUMPRODUCT(--($AQ$2:$AQ$1001&lt;$AQ992))+1,"")</f>
        <v/>
      </c>
      <c r="AO992">
        <f>IF($D992="","",IF(OR($U992=TRUE(),$U992="TRUE"),1,0))</f>
        <v/>
      </c>
      <c r="AP992">
        <f>IF($D992="","",IF($AC992="Yes",1,0))</f>
        <v/>
      </c>
      <c r="AQ992">
        <f>IF($AM992=1,IFERROR(VALUE(MID($D992,2,20)),1000000000)+ROW()/100000,"")</f>
        <v/>
      </c>
    </row>
    <row r="993">
      <c r="G993" s="11" t="n"/>
      <c r="Q993" s="7">
        <f>IF($D993="","",P993*Y993/100)</f>
        <v/>
      </c>
      <c r="R993" s="7" t="n"/>
      <c r="X993" s="7" t="n"/>
      <c r="Y993" s="7" t="n"/>
      <c r="Z993" s="7">
        <f>IF($D993="","",Y993*AD993/100)</f>
        <v/>
      </c>
      <c r="AA993" s="7">
        <f>IF($D993="","",Y993-Z993)</f>
        <v/>
      </c>
      <c r="AB993" s="7">
        <f>IF($D993="","",AA993-Q993)</f>
        <v/>
      </c>
      <c r="AD993">
        <f>IF($D993="","",IF($AP993=1,0,IF($AO993=1,Settings!$C$6,Settings!$C$7))*100)</f>
        <v/>
      </c>
      <c r="AH993" s="7" t="n"/>
      <c r="AK993" s="11" t="n"/>
      <c r="AM993">
        <f>IF($D993="","",IF(COUNTIF($D$2:$D993,$D993)=1,1,0))</f>
        <v/>
      </c>
      <c r="AN993">
        <f>IF($AM993=1,SUMPRODUCT(--($AQ$2:$AQ$1001&lt;$AQ993))+1,"")</f>
        <v/>
      </c>
      <c r="AO993">
        <f>IF($D993="","",IF(OR($U993=TRUE(),$U993="TRUE"),1,0))</f>
        <v/>
      </c>
      <c r="AP993">
        <f>IF($D993="","",IF($AC993="Yes",1,0))</f>
        <v/>
      </c>
      <c r="AQ993">
        <f>IF($AM993=1,IFERROR(VALUE(MID($D993,2,20)),1000000000)+ROW()/100000,"")</f>
        <v/>
      </c>
    </row>
    <row r="994">
      <c r="G994" s="11" t="n"/>
      <c r="Q994" s="7">
        <f>IF($D994="","",P994*Y994/100)</f>
        <v/>
      </c>
      <c r="R994" s="7" t="n"/>
      <c r="X994" s="7" t="n"/>
      <c r="Y994" s="7" t="n"/>
      <c r="Z994" s="7">
        <f>IF($D994="","",Y994*AD994/100)</f>
        <v/>
      </c>
      <c r="AA994" s="7">
        <f>IF($D994="","",Y994-Z994)</f>
        <v/>
      </c>
      <c r="AB994" s="7">
        <f>IF($D994="","",AA994-Q994)</f>
        <v/>
      </c>
      <c r="AD994">
        <f>IF($D994="","",IF($AP994=1,0,IF($AO994=1,Settings!$C$6,Settings!$C$7))*100)</f>
        <v/>
      </c>
      <c r="AH994" s="7" t="n"/>
      <c r="AK994" s="11" t="n"/>
      <c r="AM994">
        <f>IF($D994="","",IF(COUNTIF($D$2:$D994,$D994)=1,1,0))</f>
        <v/>
      </c>
      <c r="AN994">
        <f>IF($AM994=1,SUMPRODUCT(--($AQ$2:$AQ$1001&lt;$AQ994))+1,"")</f>
        <v/>
      </c>
      <c r="AO994">
        <f>IF($D994="","",IF(OR($U994=TRUE(),$U994="TRUE"),1,0))</f>
        <v/>
      </c>
      <c r="AP994">
        <f>IF($D994="","",IF($AC994="Yes",1,0))</f>
        <v/>
      </c>
      <c r="AQ994">
        <f>IF($AM994=1,IFERROR(VALUE(MID($D994,2,20)),1000000000)+ROW()/100000,"")</f>
        <v/>
      </c>
    </row>
    <row r="995">
      <c r="G995" s="11" t="n"/>
      <c r="Q995" s="7">
        <f>IF($D995="","",P995*Y995/100)</f>
        <v/>
      </c>
      <c r="R995" s="7" t="n"/>
      <c r="X995" s="7" t="n"/>
      <c r="Y995" s="7" t="n"/>
      <c r="Z995" s="7">
        <f>IF($D995="","",Y995*AD995/100)</f>
        <v/>
      </c>
      <c r="AA995" s="7">
        <f>IF($D995="","",Y995-Z995)</f>
        <v/>
      </c>
      <c r="AB995" s="7">
        <f>IF($D995="","",AA995-Q995)</f>
        <v/>
      </c>
      <c r="AD995">
        <f>IF($D995="","",IF($AP995=1,0,IF($AO995=1,Settings!$C$6,Settings!$C$7))*100)</f>
        <v/>
      </c>
      <c r="AH995" s="7" t="n"/>
      <c r="AK995" s="11" t="n"/>
      <c r="AM995">
        <f>IF($D995="","",IF(COUNTIF($D$2:$D995,$D995)=1,1,0))</f>
        <v/>
      </c>
      <c r="AN995">
        <f>IF($AM995=1,SUMPRODUCT(--($AQ$2:$AQ$1001&lt;$AQ995))+1,"")</f>
        <v/>
      </c>
      <c r="AO995">
        <f>IF($D995="","",IF(OR($U995=TRUE(),$U995="TRUE"),1,0))</f>
        <v/>
      </c>
      <c r="AP995">
        <f>IF($D995="","",IF($AC995="Yes",1,0))</f>
        <v/>
      </c>
      <c r="AQ995">
        <f>IF($AM995=1,IFERROR(VALUE(MID($D995,2,20)),1000000000)+ROW()/100000,"")</f>
        <v/>
      </c>
    </row>
    <row r="996">
      <c r="G996" s="11" t="n"/>
      <c r="Q996" s="7">
        <f>IF($D996="","",P996*Y996/100)</f>
        <v/>
      </c>
      <c r="R996" s="7" t="n"/>
      <c r="X996" s="7" t="n"/>
      <c r="Y996" s="7" t="n"/>
      <c r="Z996" s="7">
        <f>IF($D996="","",Y996*AD996/100)</f>
        <v/>
      </c>
      <c r="AA996" s="7">
        <f>IF($D996="","",Y996-Z996)</f>
        <v/>
      </c>
      <c r="AB996" s="7">
        <f>IF($D996="","",AA996-Q996)</f>
        <v/>
      </c>
      <c r="AD996">
        <f>IF($D996="","",IF($AP996=1,0,IF($AO996=1,Settings!$C$6,Settings!$C$7))*100)</f>
        <v/>
      </c>
      <c r="AH996" s="7" t="n"/>
      <c r="AK996" s="11" t="n"/>
      <c r="AM996">
        <f>IF($D996="","",IF(COUNTIF($D$2:$D996,$D996)=1,1,0))</f>
        <v/>
      </c>
      <c r="AN996">
        <f>IF($AM996=1,SUMPRODUCT(--($AQ$2:$AQ$1001&lt;$AQ996))+1,"")</f>
        <v/>
      </c>
      <c r="AO996">
        <f>IF($D996="","",IF(OR($U996=TRUE(),$U996="TRUE"),1,0))</f>
        <v/>
      </c>
      <c r="AP996">
        <f>IF($D996="","",IF($AC996="Yes",1,0))</f>
        <v/>
      </c>
      <c r="AQ996">
        <f>IF($AM996=1,IFERROR(VALUE(MID($D996,2,20)),1000000000)+ROW()/100000,"")</f>
        <v/>
      </c>
    </row>
    <row r="997">
      <c r="G997" s="11" t="n"/>
      <c r="Q997" s="7">
        <f>IF($D997="","",P997*Y997/100)</f>
        <v/>
      </c>
      <c r="R997" s="7" t="n"/>
      <c r="X997" s="7" t="n"/>
      <c r="Y997" s="7" t="n"/>
      <c r="Z997" s="7">
        <f>IF($D997="","",Y997*AD997/100)</f>
        <v/>
      </c>
      <c r="AA997" s="7">
        <f>IF($D997="","",Y997-Z997)</f>
        <v/>
      </c>
      <c r="AB997" s="7">
        <f>IF($D997="","",AA997-Q997)</f>
        <v/>
      </c>
      <c r="AD997">
        <f>IF($D997="","",IF($AP997=1,0,IF($AO997=1,Settings!$C$6,Settings!$C$7))*100)</f>
        <v/>
      </c>
      <c r="AH997" s="7" t="n"/>
      <c r="AK997" s="11" t="n"/>
      <c r="AM997">
        <f>IF($D997="","",IF(COUNTIF($D$2:$D997,$D997)=1,1,0))</f>
        <v/>
      </c>
      <c r="AN997">
        <f>IF($AM997=1,SUMPRODUCT(--($AQ$2:$AQ$1001&lt;$AQ997))+1,"")</f>
        <v/>
      </c>
      <c r="AO997">
        <f>IF($D997="","",IF(OR($U997=TRUE(),$U997="TRUE"),1,0))</f>
        <v/>
      </c>
      <c r="AP997">
        <f>IF($D997="","",IF($AC997="Yes",1,0))</f>
        <v/>
      </c>
      <c r="AQ997">
        <f>IF($AM997=1,IFERROR(VALUE(MID($D997,2,20)),1000000000)+ROW()/100000,"")</f>
        <v/>
      </c>
    </row>
    <row r="998">
      <c r="G998" s="11" t="n"/>
      <c r="Q998" s="7">
        <f>IF($D998="","",P998*Y998/100)</f>
        <v/>
      </c>
      <c r="R998" s="7" t="n"/>
      <c r="X998" s="7" t="n"/>
      <c r="Y998" s="7" t="n"/>
      <c r="Z998" s="7">
        <f>IF($D998="","",Y998*AD998/100)</f>
        <v/>
      </c>
      <c r="AA998" s="7">
        <f>IF($D998="","",Y998-Z998)</f>
        <v/>
      </c>
      <c r="AB998" s="7">
        <f>IF($D998="","",AA998-Q998)</f>
        <v/>
      </c>
      <c r="AD998">
        <f>IF($D998="","",IF($AP998=1,0,IF($AO998=1,Settings!$C$6,Settings!$C$7))*100)</f>
        <v/>
      </c>
      <c r="AH998" s="7" t="n"/>
      <c r="AK998" s="11" t="n"/>
      <c r="AM998">
        <f>IF($D998="","",IF(COUNTIF($D$2:$D998,$D998)=1,1,0))</f>
        <v/>
      </c>
      <c r="AN998">
        <f>IF($AM998=1,SUMPRODUCT(--($AQ$2:$AQ$1001&lt;$AQ998))+1,"")</f>
        <v/>
      </c>
      <c r="AO998">
        <f>IF($D998="","",IF(OR($U998=TRUE(),$U998="TRUE"),1,0))</f>
        <v/>
      </c>
      <c r="AP998">
        <f>IF($D998="","",IF($AC998="Yes",1,0))</f>
        <v/>
      </c>
      <c r="AQ998">
        <f>IF($AM998=1,IFERROR(VALUE(MID($D998,2,20)),1000000000)+ROW()/100000,"")</f>
        <v/>
      </c>
    </row>
    <row r="999">
      <c r="G999" s="11" t="n"/>
      <c r="Q999" s="7">
        <f>IF($D999="","",P999*Y999/100)</f>
        <v/>
      </c>
      <c r="R999" s="7" t="n"/>
      <c r="X999" s="7" t="n"/>
      <c r="Y999" s="7" t="n"/>
      <c r="Z999" s="7">
        <f>IF($D999="","",Y999*AD999/100)</f>
        <v/>
      </c>
      <c r="AA999" s="7">
        <f>IF($D999="","",Y999-Z999)</f>
        <v/>
      </c>
      <c r="AB999" s="7">
        <f>IF($D999="","",AA999-Q999)</f>
        <v/>
      </c>
      <c r="AD999">
        <f>IF($D999="","",IF($AP999=1,0,IF($AO999=1,Settings!$C$6,Settings!$C$7))*100)</f>
        <v/>
      </c>
      <c r="AH999" s="7" t="n"/>
      <c r="AK999" s="11" t="n"/>
      <c r="AM999">
        <f>IF($D999="","",IF(COUNTIF($D$2:$D999,$D999)=1,1,0))</f>
        <v/>
      </c>
      <c r="AN999">
        <f>IF($AM999=1,SUMPRODUCT(--($AQ$2:$AQ$1001&lt;$AQ999))+1,"")</f>
        <v/>
      </c>
      <c r="AO999">
        <f>IF($D999="","",IF(OR($U999=TRUE(),$U999="TRUE"),1,0))</f>
        <v/>
      </c>
      <c r="AP999">
        <f>IF($D999="","",IF($AC999="Yes",1,0))</f>
        <v/>
      </c>
      <c r="AQ999">
        <f>IF($AM999=1,IFERROR(VALUE(MID($D999,2,20)),1000000000)+ROW()/100000,"")</f>
        <v/>
      </c>
    </row>
    <row r="1000">
      <c r="G1000" s="11" t="n"/>
      <c r="Q1000" s="7">
        <f>IF($D1000="","",P1000*Y1000/100)</f>
        <v/>
      </c>
      <c r="R1000" s="7" t="n"/>
      <c r="X1000" s="7" t="n"/>
      <c r="Y1000" s="7" t="n"/>
      <c r="Z1000" s="7">
        <f>IF($D1000="","",Y1000*AD1000/100)</f>
        <v/>
      </c>
      <c r="AA1000" s="7">
        <f>IF($D1000="","",Y1000-Z1000)</f>
        <v/>
      </c>
      <c r="AB1000" s="7">
        <f>IF($D1000="","",AA1000-Q1000)</f>
        <v/>
      </c>
      <c r="AD1000">
        <f>IF($D1000="","",IF($AP1000=1,0,IF($AO1000=1,Settings!$C$6,Settings!$C$7))*100)</f>
        <v/>
      </c>
      <c r="AH1000" s="7" t="n"/>
      <c r="AK1000" s="11" t="n"/>
      <c r="AM1000">
        <f>IF($D1000="","",IF(COUNTIF($D$2:$D1000,$D1000)=1,1,0))</f>
        <v/>
      </c>
      <c r="AN1000">
        <f>IF($AM1000=1,SUMPRODUCT(--($AQ$2:$AQ$1001&lt;$AQ1000))+1,"")</f>
        <v/>
      </c>
      <c r="AO1000">
        <f>IF($D1000="","",IF(OR($U1000=TRUE(),$U1000="TRUE"),1,0))</f>
        <v/>
      </c>
      <c r="AP1000">
        <f>IF($D1000="","",IF($AC1000="Yes",1,0))</f>
        <v/>
      </c>
      <c r="AQ1000">
        <f>IF($AM1000=1,IFERROR(VALUE(MID($D1000,2,20)),1000000000)+ROW()/100000,"")</f>
        <v/>
      </c>
    </row>
    <row r="1001">
      <c r="G1001" s="11" t="n"/>
      <c r="Q1001" s="7">
        <f>IF($D1001="","",P1001*Y1001/100)</f>
        <v/>
      </c>
      <c r="R1001" s="7" t="n"/>
      <c r="X1001" s="7" t="n"/>
      <c r="Y1001" s="7" t="n"/>
      <c r="Z1001" s="7">
        <f>IF($D1001="","",Y1001*AD1001/100)</f>
        <v/>
      </c>
      <c r="AA1001" s="7">
        <f>IF($D1001="","",Y1001-Z1001)</f>
        <v/>
      </c>
      <c r="AB1001" s="7">
        <f>IF($D1001="","",AA1001-Q1001)</f>
        <v/>
      </c>
      <c r="AD1001">
        <f>IF($D1001="","",IF($AP1001=1,0,IF($AO1001=1,Settings!$C$6,Settings!$C$7))*100)</f>
        <v/>
      </c>
      <c r="AH1001" s="7" t="n"/>
      <c r="AK1001" s="11" t="n"/>
      <c r="AM1001">
        <f>IF($D1001="","",IF(COUNTIF($D$2:$D1001,$D1001)=1,1,0))</f>
        <v/>
      </c>
      <c r="AN1001">
        <f>IF($AM1001=1,SUMPRODUCT(--($AQ$2:$AQ$1001&lt;$AQ1001))+1,"")</f>
        <v/>
      </c>
      <c r="AO1001">
        <f>IF($D1001="","",IF(OR($U1001=TRUE(),$U1001="TRUE"),1,0))</f>
        <v/>
      </c>
      <c r="AP1001">
        <f>IF($D1001="","",IF($AC1001="Yes",1,0))</f>
        <v/>
      </c>
      <c r="AQ1001">
        <f>IF($AM1001=1,IFERROR(VALUE(MID($D1001,2,20)),1000000000)+ROW()/100000,"")</f>
        <v/>
      </c>
    </row>
  </sheetData>
  <autoFilter ref="A1:AQ100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2" customWidth="1" min="3" max="3"/>
    <col width="10" customWidth="1" min="4" max="4"/>
    <col width="14" customWidth="1" min="5" max="5"/>
    <col width="36" customWidth="1" min="6" max="6"/>
    <col width="17" customWidth="1" min="7" max="7"/>
    <col width="12" customWidth="1" min="8" max="8"/>
    <col width="24" customWidth="1" min="9" max="9"/>
    <col width="12" customWidth="1" min="10" max="10"/>
    <col width="26" customWidth="1" min="11" max="11"/>
    <col width="14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3" customWidth="1" min="26" max="26"/>
  </cols>
  <sheetData>
    <row r="1" ht="32" customHeight="1">
      <c r="A1" s="8" t="inlineStr">
        <is>
          <t>Invoice</t>
        </is>
      </c>
      <c r="B1" s="9" t="inlineStr">
        <is>
          <t>Order #</t>
        </is>
      </c>
      <c r="C1" s="9" t="inlineStr">
        <is>
          <t>Stage</t>
        </is>
      </c>
      <c r="D1" s="9" t="inlineStr">
        <is>
          <t>Ticket #</t>
        </is>
      </c>
      <c r="E1" s="9" t="inlineStr">
        <is>
          <t>Channel</t>
        </is>
      </c>
      <c r="F1" s="9" t="inlineStr">
        <is>
          <t>ERX ID</t>
        </is>
      </c>
      <c r="G1" s="9" t="inlineStr">
        <is>
          <t>Create At</t>
        </is>
      </c>
      <c r="H1" s="9" t="inlineStr">
        <is>
          <t>Country Portal ID</t>
        </is>
      </c>
      <c r="I1" s="9" t="inlineStr">
        <is>
          <t>Corporate</t>
        </is>
      </c>
      <c r="J1" s="9" t="inlineStr">
        <is>
          <t>Card</t>
        </is>
      </c>
      <c r="K1" s="9" t="inlineStr">
        <is>
          <t>Name</t>
        </is>
      </c>
      <c r="L1" s="9" t="inlineStr">
        <is>
          <t>Status</t>
        </is>
      </c>
      <c r="M1" s="9" t="inlineStr">
        <is>
          <t>Order Co Payment</t>
        </is>
      </c>
      <c r="N1" s="9" t="inlineStr">
        <is>
          <t>Co val</t>
        </is>
      </c>
      <c r="O1" s="9" t="inlineStr">
        <is>
          <t>Special</t>
        </is>
      </c>
      <c r="P1" s="9" t="inlineStr">
        <is>
          <t>imp %</t>
        </is>
      </c>
      <c r="Q1" s="9" t="inlineStr">
        <is>
          <t>imp</t>
        </is>
      </c>
      <c r="R1" s="9" t="inlineStr">
        <is>
          <t>imp val</t>
        </is>
      </c>
      <c r="S1" s="9" t="inlineStr">
        <is>
          <t>local%</t>
        </is>
      </c>
      <c r="T1" s="9" t="inlineStr">
        <is>
          <t>local</t>
        </is>
      </c>
      <c r="U1" s="9" t="inlineStr">
        <is>
          <t>local val</t>
        </is>
      </c>
      <c r="V1" s="9" t="inlineStr">
        <is>
          <t>disc</t>
        </is>
      </c>
      <c r="W1" s="9" t="inlineStr">
        <is>
          <t>sub</t>
        </is>
      </c>
      <c r="X1" s="9" t="inlineStr">
        <is>
          <t>Grand Total</t>
        </is>
      </c>
      <c r="Y1" s="9" t="inlineStr">
        <is>
          <t>net</t>
        </is>
      </c>
      <c r="Z1" s="10" t="inlineStr">
        <is>
          <t>Src Row (helper)</t>
        </is>
      </c>
    </row>
    <row r="2">
      <c r="A2" s="12" t="n"/>
      <c r="B2">
        <f>IF($Z2="","",INDEX('Per Line'!$D$2:$D$1001,$Z2)&amp;"")</f>
        <v/>
      </c>
      <c r="C2">
        <f>IF($Z2="","",INDEX('Per Line'!$B$2:$B$1001,$Z2)&amp;"")</f>
        <v/>
      </c>
      <c r="D2">
        <f>IF($Z2="","",INDEX('Per Line'!$A$2:$A$1001,$Z2))</f>
        <v/>
      </c>
      <c r="E2">
        <f>IF($Z2="","",INDEX('Per Line'!$E$2:$E$1001,$Z2)&amp;"")</f>
        <v/>
      </c>
      <c r="F2">
        <f>IF($Z2="","",INDEX('Per Line'!$F$2:$F$1001,$Z2)&amp;"")</f>
        <v/>
      </c>
      <c r="G2" s="11">
        <f>IF($Z2="","",INDEX('Per Line'!$G$2:$G$1001,$Z2))</f>
        <v/>
      </c>
      <c r="H2">
        <f>IF($Z2="","",INDEX('Per Line'!$I$2:$I$1001,$Z2)&amp;"")</f>
        <v/>
      </c>
      <c r="I2">
        <f>IF($Z2="","",INDEX('Per Line'!$J$2:$J$1001,$Z2)&amp;"")</f>
        <v/>
      </c>
      <c r="J2">
        <f>IF($Z2="","",INDEX('Per Line'!$K$2:$K$1001,$Z2)&amp;"")</f>
        <v/>
      </c>
      <c r="K2">
        <f>IF($Z2="","",INDEX('Per Line'!$L$2:$L$1001,$Z2)&amp;"")</f>
        <v/>
      </c>
      <c r="L2">
        <f>IF($Z2="","",INDEX('Per Line'!$M$2:$M$1001,$Z2)&amp;"")</f>
        <v/>
      </c>
      <c r="M2">
        <f>IF($Z2="","",INDEX('Per Line'!$P$2:$P$1001,$Z2))</f>
        <v/>
      </c>
      <c r="N2" s="7">
        <f>IF($Z2="","",M2*X2/100)</f>
        <v/>
      </c>
      <c r="O2" s="7">
        <f>IF($Z2="","",SUMIFS('Per Line'!$Y$2:$Y$1001,'Per Line'!$D$2:$D$1001,$B2,'Per Line'!$AP$2:$AP$1001,1))</f>
        <v/>
      </c>
      <c r="P2">
        <f>IF($Z2="","",Settings!$C$7)</f>
        <v/>
      </c>
      <c r="Q2" s="7">
        <f>IF($Z2="","",SUMIFS('Per Line'!$Y$2:$Y$1001,'Per Line'!$D$2:$D$1001,$B2,'Per Line'!$AO$2:$AO$1001,0,'Per Line'!$AP$2:$AP$1001,0))</f>
        <v/>
      </c>
      <c r="R2" s="7">
        <f>IF($Z2="","",Q2*P2)</f>
        <v/>
      </c>
      <c r="S2">
        <f>IF($Z2="","",Settings!$C$6)</f>
        <v/>
      </c>
      <c r="T2" s="7">
        <f>IF($Z2="","",SUMIFS('Per Line'!$Y$2:$Y$1001,'Per Line'!$D$2:$D$1001,$B2,'Per Line'!$AO$2:$AO$1001,1,'Per Line'!$AP$2:$AP$1001,0))</f>
        <v/>
      </c>
      <c r="U2" s="7">
        <f>IF($Z2="","",T2*S2)</f>
        <v/>
      </c>
      <c r="V2" s="7">
        <f>IF($Z2="","",U2+R2)</f>
        <v/>
      </c>
      <c r="W2" s="7">
        <f>IF($Z2="","",X2-V2)</f>
        <v/>
      </c>
      <c r="X2" s="7">
        <f>IF($Z2="","",Q2+T2+O2)</f>
        <v/>
      </c>
      <c r="Y2" s="7">
        <f>IF($Z2="","",X2-V2-N2)</f>
        <v/>
      </c>
      <c r="Z2" s="13">
        <f>IF(ROWS($Z$2:$Z2)&lt;=MAX('Per Line'!$AN$2:$AN$1001),MATCH(ROWS($Z$2:$Z2),'Per Line'!$AN$2:$AN$1001,0),"")</f>
        <v/>
      </c>
    </row>
    <row r="3">
      <c r="A3" s="12" t="n"/>
      <c r="B3">
        <f>IF($Z3="","",INDEX('Per Line'!$D$2:$D$1001,$Z3)&amp;"")</f>
        <v/>
      </c>
      <c r="C3">
        <f>IF($Z3="","",INDEX('Per Line'!$B$2:$B$1001,$Z3)&amp;"")</f>
        <v/>
      </c>
      <c r="D3">
        <f>IF($Z3="","",INDEX('Per Line'!$A$2:$A$1001,$Z3))</f>
        <v/>
      </c>
      <c r="E3">
        <f>IF($Z3="","",INDEX('Per Line'!$E$2:$E$1001,$Z3)&amp;"")</f>
        <v/>
      </c>
      <c r="F3">
        <f>IF($Z3="","",INDEX('Per Line'!$F$2:$F$1001,$Z3)&amp;"")</f>
        <v/>
      </c>
      <c r="G3" s="11">
        <f>IF($Z3="","",INDEX('Per Line'!$G$2:$G$1001,$Z3))</f>
        <v/>
      </c>
      <c r="H3">
        <f>IF($Z3="","",INDEX('Per Line'!$I$2:$I$1001,$Z3)&amp;"")</f>
        <v/>
      </c>
      <c r="I3">
        <f>IF($Z3="","",INDEX('Per Line'!$J$2:$J$1001,$Z3)&amp;"")</f>
        <v/>
      </c>
      <c r="J3">
        <f>IF($Z3="","",INDEX('Per Line'!$K$2:$K$1001,$Z3)&amp;"")</f>
        <v/>
      </c>
      <c r="K3">
        <f>IF($Z3="","",INDEX('Per Line'!$L$2:$L$1001,$Z3)&amp;"")</f>
        <v/>
      </c>
      <c r="L3">
        <f>IF($Z3="","",INDEX('Per Line'!$M$2:$M$1001,$Z3)&amp;"")</f>
        <v/>
      </c>
      <c r="M3">
        <f>IF($Z3="","",INDEX('Per Line'!$P$2:$P$1001,$Z3))</f>
        <v/>
      </c>
      <c r="N3" s="7">
        <f>IF($Z3="","",M3*X3/100)</f>
        <v/>
      </c>
      <c r="O3" s="7">
        <f>IF($Z3="","",SUMIFS('Per Line'!$Y$2:$Y$1001,'Per Line'!$D$2:$D$1001,$B3,'Per Line'!$AP$2:$AP$1001,1))</f>
        <v/>
      </c>
      <c r="P3">
        <f>IF($Z3="","",Settings!$C$7)</f>
        <v/>
      </c>
      <c r="Q3" s="7">
        <f>IF($Z3="","",SUMIFS('Per Line'!$Y$2:$Y$1001,'Per Line'!$D$2:$D$1001,$B3,'Per Line'!$AO$2:$AO$1001,0,'Per Line'!$AP$2:$AP$1001,0))</f>
        <v/>
      </c>
      <c r="R3" s="7">
        <f>IF($Z3="","",Q3*P3)</f>
        <v/>
      </c>
      <c r="S3">
        <f>IF($Z3="","",Settings!$C$6)</f>
        <v/>
      </c>
      <c r="T3" s="7">
        <f>IF($Z3="","",SUMIFS('Per Line'!$Y$2:$Y$1001,'Per Line'!$D$2:$D$1001,$B3,'Per Line'!$AO$2:$AO$1001,1,'Per Line'!$AP$2:$AP$1001,0))</f>
        <v/>
      </c>
      <c r="U3" s="7">
        <f>IF($Z3="","",T3*S3)</f>
        <v/>
      </c>
      <c r="V3" s="7">
        <f>IF($Z3="","",U3+R3)</f>
        <v/>
      </c>
      <c r="W3" s="7">
        <f>IF($Z3="","",X3-V3)</f>
        <v/>
      </c>
      <c r="X3" s="7">
        <f>IF($Z3="","",Q3+T3+O3)</f>
        <v/>
      </c>
      <c r="Y3" s="7">
        <f>IF($Z3="","",X3-V3-N3)</f>
        <v/>
      </c>
      <c r="Z3" s="13">
        <f>IF(ROWS($Z$2:$Z3)&lt;=MAX('Per Line'!$AN$2:$AN$1001),MATCH(ROWS($Z$2:$Z3),'Per Line'!$AN$2:$AN$1001,0),"")</f>
        <v/>
      </c>
    </row>
    <row r="4">
      <c r="A4" s="12" t="n"/>
      <c r="B4">
        <f>IF($Z4="","",INDEX('Per Line'!$D$2:$D$1001,$Z4)&amp;"")</f>
        <v/>
      </c>
      <c r="C4">
        <f>IF($Z4="","",INDEX('Per Line'!$B$2:$B$1001,$Z4)&amp;"")</f>
        <v/>
      </c>
      <c r="D4">
        <f>IF($Z4="","",INDEX('Per Line'!$A$2:$A$1001,$Z4))</f>
        <v/>
      </c>
      <c r="E4">
        <f>IF($Z4="","",INDEX('Per Line'!$E$2:$E$1001,$Z4)&amp;"")</f>
        <v/>
      </c>
      <c r="F4">
        <f>IF($Z4="","",INDEX('Per Line'!$F$2:$F$1001,$Z4)&amp;"")</f>
        <v/>
      </c>
      <c r="G4" s="11">
        <f>IF($Z4="","",INDEX('Per Line'!$G$2:$G$1001,$Z4))</f>
        <v/>
      </c>
      <c r="H4">
        <f>IF($Z4="","",INDEX('Per Line'!$I$2:$I$1001,$Z4)&amp;"")</f>
        <v/>
      </c>
      <c r="I4">
        <f>IF($Z4="","",INDEX('Per Line'!$J$2:$J$1001,$Z4)&amp;"")</f>
        <v/>
      </c>
      <c r="J4">
        <f>IF($Z4="","",INDEX('Per Line'!$K$2:$K$1001,$Z4)&amp;"")</f>
        <v/>
      </c>
      <c r="K4">
        <f>IF($Z4="","",INDEX('Per Line'!$L$2:$L$1001,$Z4)&amp;"")</f>
        <v/>
      </c>
      <c r="L4">
        <f>IF($Z4="","",INDEX('Per Line'!$M$2:$M$1001,$Z4)&amp;"")</f>
        <v/>
      </c>
      <c r="M4">
        <f>IF($Z4="","",INDEX('Per Line'!$P$2:$P$1001,$Z4))</f>
        <v/>
      </c>
      <c r="N4" s="7">
        <f>IF($Z4="","",M4*X4/100)</f>
        <v/>
      </c>
      <c r="O4" s="7">
        <f>IF($Z4="","",SUMIFS('Per Line'!$Y$2:$Y$1001,'Per Line'!$D$2:$D$1001,$B4,'Per Line'!$AP$2:$AP$1001,1))</f>
        <v/>
      </c>
      <c r="P4">
        <f>IF($Z4="","",Settings!$C$7)</f>
        <v/>
      </c>
      <c r="Q4" s="7">
        <f>IF($Z4="","",SUMIFS('Per Line'!$Y$2:$Y$1001,'Per Line'!$D$2:$D$1001,$B4,'Per Line'!$AO$2:$AO$1001,0,'Per Line'!$AP$2:$AP$1001,0))</f>
        <v/>
      </c>
      <c r="R4" s="7">
        <f>IF($Z4="","",Q4*P4)</f>
        <v/>
      </c>
      <c r="S4">
        <f>IF($Z4="","",Settings!$C$6)</f>
        <v/>
      </c>
      <c r="T4" s="7">
        <f>IF($Z4="","",SUMIFS('Per Line'!$Y$2:$Y$1001,'Per Line'!$D$2:$D$1001,$B4,'Per Line'!$AO$2:$AO$1001,1,'Per Line'!$AP$2:$AP$1001,0))</f>
        <v/>
      </c>
      <c r="U4" s="7">
        <f>IF($Z4="","",T4*S4)</f>
        <v/>
      </c>
      <c r="V4" s="7">
        <f>IF($Z4="","",U4+R4)</f>
        <v/>
      </c>
      <c r="W4" s="7">
        <f>IF($Z4="","",X4-V4)</f>
        <v/>
      </c>
      <c r="X4" s="7">
        <f>IF($Z4="","",Q4+T4+O4)</f>
        <v/>
      </c>
      <c r="Y4" s="7">
        <f>IF($Z4="","",X4-V4-N4)</f>
        <v/>
      </c>
      <c r="Z4" s="13">
        <f>IF(ROWS($Z$2:$Z4)&lt;=MAX('Per Line'!$AN$2:$AN$1001),MATCH(ROWS($Z$2:$Z4),'Per Line'!$AN$2:$AN$1001,0),"")</f>
        <v/>
      </c>
    </row>
    <row r="5">
      <c r="A5" s="12" t="n"/>
      <c r="B5">
        <f>IF($Z5="","",INDEX('Per Line'!$D$2:$D$1001,$Z5)&amp;"")</f>
        <v/>
      </c>
      <c r="C5">
        <f>IF($Z5="","",INDEX('Per Line'!$B$2:$B$1001,$Z5)&amp;"")</f>
        <v/>
      </c>
      <c r="D5">
        <f>IF($Z5="","",INDEX('Per Line'!$A$2:$A$1001,$Z5))</f>
        <v/>
      </c>
      <c r="E5">
        <f>IF($Z5="","",INDEX('Per Line'!$E$2:$E$1001,$Z5)&amp;"")</f>
        <v/>
      </c>
      <c r="F5">
        <f>IF($Z5="","",INDEX('Per Line'!$F$2:$F$1001,$Z5)&amp;"")</f>
        <v/>
      </c>
      <c r="G5" s="11">
        <f>IF($Z5="","",INDEX('Per Line'!$G$2:$G$1001,$Z5))</f>
        <v/>
      </c>
      <c r="H5">
        <f>IF($Z5="","",INDEX('Per Line'!$I$2:$I$1001,$Z5)&amp;"")</f>
        <v/>
      </c>
      <c r="I5">
        <f>IF($Z5="","",INDEX('Per Line'!$J$2:$J$1001,$Z5)&amp;"")</f>
        <v/>
      </c>
      <c r="J5">
        <f>IF($Z5="","",INDEX('Per Line'!$K$2:$K$1001,$Z5)&amp;"")</f>
        <v/>
      </c>
      <c r="K5">
        <f>IF($Z5="","",INDEX('Per Line'!$L$2:$L$1001,$Z5)&amp;"")</f>
        <v/>
      </c>
      <c r="L5">
        <f>IF($Z5="","",INDEX('Per Line'!$M$2:$M$1001,$Z5)&amp;"")</f>
        <v/>
      </c>
      <c r="M5">
        <f>IF($Z5="","",INDEX('Per Line'!$P$2:$P$1001,$Z5))</f>
        <v/>
      </c>
      <c r="N5" s="7">
        <f>IF($Z5="","",M5*X5/100)</f>
        <v/>
      </c>
      <c r="O5" s="7">
        <f>IF($Z5="","",SUMIFS('Per Line'!$Y$2:$Y$1001,'Per Line'!$D$2:$D$1001,$B5,'Per Line'!$AP$2:$AP$1001,1))</f>
        <v/>
      </c>
      <c r="P5">
        <f>IF($Z5="","",Settings!$C$7)</f>
        <v/>
      </c>
      <c r="Q5" s="7">
        <f>IF($Z5="","",SUMIFS('Per Line'!$Y$2:$Y$1001,'Per Line'!$D$2:$D$1001,$B5,'Per Line'!$AO$2:$AO$1001,0,'Per Line'!$AP$2:$AP$1001,0))</f>
        <v/>
      </c>
      <c r="R5" s="7">
        <f>IF($Z5="","",Q5*P5)</f>
        <v/>
      </c>
      <c r="S5">
        <f>IF($Z5="","",Settings!$C$6)</f>
        <v/>
      </c>
      <c r="T5" s="7">
        <f>IF($Z5="","",SUMIFS('Per Line'!$Y$2:$Y$1001,'Per Line'!$D$2:$D$1001,$B5,'Per Line'!$AO$2:$AO$1001,1,'Per Line'!$AP$2:$AP$1001,0))</f>
        <v/>
      </c>
      <c r="U5" s="7">
        <f>IF($Z5="","",T5*S5)</f>
        <v/>
      </c>
      <c r="V5" s="7">
        <f>IF($Z5="","",U5+R5)</f>
        <v/>
      </c>
      <c r="W5" s="7">
        <f>IF($Z5="","",X5-V5)</f>
        <v/>
      </c>
      <c r="X5" s="7">
        <f>IF($Z5="","",Q5+T5+O5)</f>
        <v/>
      </c>
      <c r="Y5" s="7">
        <f>IF($Z5="","",X5-V5-N5)</f>
        <v/>
      </c>
      <c r="Z5" s="13">
        <f>IF(ROWS($Z$2:$Z5)&lt;=MAX('Per Line'!$AN$2:$AN$1001),MATCH(ROWS($Z$2:$Z5),'Per Line'!$AN$2:$AN$1001,0),"")</f>
        <v/>
      </c>
    </row>
    <row r="6">
      <c r="A6" s="12" t="n"/>
      <c r="B6">
        <f>IF($Z6="","",INDEX('Per Line'!$D$2:$D$1001,$Z6)&amp;"")</f>
        <v/>
      </c>
      <c r="C6">
        <f>IF($Z6="","",INDEX('Per Line'!$B$2:$B$1001,$Z6)&amp;"")</f>
        <v/>
      </c>
      <c r="D6">
        <f>IF($Z6="","",INDEX('Per Line'!$A$2:$A$1001,$Z6))</f>
        <v/>
      </c>
      <c r="E6">
        <f>IF($Z6="","",INDEX('Per Line'!$E$2:$E$1001,$Z6)&amp;"")</f>
        <v/>
      </c>
      <c r="F6">
        <f>IF($Z6="","",INDEX('Per Line'!$F$2:$F$1001,$Z6)&amp;"")</f>
        <v/>
      </c>
      <c r="G6" s="11">
        <f>IF($Z6="","",INDEX('Per Line'!$G$2:$G$1001,$Z6))</f>
        <v/>
      </c>
      <c r="H6">
        <f>IF($Z6="","",INDEX('Per Line'!$I$2:$I$1001,$Z6)&amp;"")</f>
        <v/>
      </c>
      <c r="I6">
        <f>IF($Z6="","",INDEX('Per Line'!$J$2:$J$1001,$Z6)&amp;"")</f>
        <v/>
      </c>
      <c r="J6">
        <f>IF($Z6="","",INDEX('Per Line'!$K$2:$K$1001,$Z6)&amp;"")</f>
        <v/>
      </c>
      <c r="K6">
        <f>IF($Z6="","",INDEX('Per Line'!$L$2:$L$1001,$Z6)&amp;"")</f>
        <v/>
      </c>
      <c r="L6">
        <f>IF($Z6="","",INDEX('Per Line'!$M$2:$M$1001,$Z6)&amp;"")</f>
        <v/>
      </c>
      <c r="M6">
        <f>IF($Z6="","",INDEX('Per Line'!$P$2:$P$1001,$Z6))</f>
        <v/>
      </c>
      <c r="N6" s="7">
        <f>IF($Z6="","",M6*X6/100)</f>
        <v/>
      </c>
      <c r="O6" s="7">
        <f>IF($Z6="","",SUMIFS('Per Line'!$Y$2:$Y$1001,'Per Line'!$D$2:$D$1001,$B6,'Per Line'!$AP$2:$AP$1001,1))</f>
        <v/>
      </c>
      <c r="P6">
        <f>IF($Z6="","",Settings!$C$7)</f>
        <v/>
      </c>
      <c r="Q6" s="7">
        <f>IF($Z6="","",SUMIFS('Per Line'!$Y$2:$Y$1001,'Per Line'!$D$2:$D$1001,$B6,'Per Line'!$AO$2:$AO$1001,0,'Per Line'!$AP$2:$AP$1001,0))</f>
        <v/>
      </c>
      <c r="R6" s="7">
        <f>IF($Z6="","",Q6*P6)</f>
        <v/>
      </c>
      <c r="S6">
        <f>IF($Z6="","",Settings!$C$6)</f>
        <v/>
      </c>
      <c r="T6" s="7">
        <f>IF($Z6="","",SUMIFS('Per Line'!$Y$2:$Y$1001,'Per Line'!$D$2:$D$1001,$B6,'Per Line'!$AO$2:$AO$1001,1,'Per Line'!$AP$2:$AP$1001,0))</f>
        <v/>
      </c>
      <c r="U6" s="7">
        <f>IF($Z6="","",T6*S6)</f>
        <v/>
      </c>
      <c r="V6" s="7">
        <f>IF($Z6="","",U6+R6)</f>
        <v/>
      </c>
      <c r="W6" s="7">
        <f>IF($Z6="","",X6-V6)</f>
        <v/>
      </c>
      <c r="X6" s="7">
        <f>IF($Z6="","",Q6+T6+O6)</f>
        <v/>
      </c>
      <c r="Y6" s="7">
        <f>IF($Z6="","",X6-V6-N6)</f>
        <v/>
      </c>
      <c r="Z6" s="13">
        <f>IF(ROWS($Z$2:$Z6)&lt;=MAX('Per Line'!$AN$2:$AN$1001),MATCH(ROWS($Z$2:$Z6),'Per Line'!$AN$2:$AN$1001,0),"")</f>
        <v/>
      </c>
    </row>
    <row r="7">
      <c r="A7" s="12" t="n"/>
      <c r="B7">
        <f>IF($Z7="","",INDEX('Per Line'!$D$2:$D$1001,$Z7)&amp;"")</f>
        <v/>
      </c>
      <c r="C7">
        <f>IF($Z7="","",INDEX('Per Line'!$B$2:$B$1001,$Z7)&amp;"")</f>
        <v/>
      </c>
      <c r="D7">
        <f>IF($Z7="","",INDEX('Per Line'!$A$2:$A$1001,$Z7))</f>
        <v/>
      </c>
      <c r="E7">
        <f>IF($Z7="","",INDEX('Per Line'!$E$2:$E$1001,$Z7)&amp;"")</f>
        <v/>
      </c>
      <c r="F7">
        <f>IF($Z7="","",INDEX('Per Line'!$F$2:$F$1001,$Z7)&amp;"")</f>
        <v/>
      </c>
      <c r="G7" s="11">
        <f>IF($Z7="","",INDEX('Per Line'!$G$2:$G$1001,$Z7))</f>
        <v/>
      </c>
      <c r="H7">
        <f>IF($Z7="","",INDEX('Per Line'!$I$2:$I$1001,$Z7)&amp;"")</f>
        <v/>
      </c>
      <c r="I7">
        <f>IF($Z7="","",INDEX('Per Line'!$J$2:$J$1001,$Z7)&amp;"")</f>
        <v/>
      </c>
      <c r="J7">
        <f>IF($Z7="","",INDEX('Per Line'!$K$2:$K$1001,$Z7)&amp;"")</f>
        <v/>
      </c>
      <c r="K7">
        <f>IF($Z7="","",INDEX('Per Line'!$L$2:$L$1001,$Z7)&amp;"")</f>
        <v/>
      </c>
      <c r="L7">
        <f>IF($Z7="","",INDEX('Per Line'!$M$2:$M$1001,$Z7)&amp;"")</f>
        <v/>
      </c>
      <c r="M7">
        <f>IF($Z7="","",INDEX('Per Line'!$P$2:$P$1001,$Z7))</f>
        <v/>
      </c>
      <c r="N7" s="7">
        <f>IF($Z7="","",M7*X7/100)</f>
        <v/>
      </c>
      <c r="O7" s="7">
        <f>IF($Z7="","",SUMIFS('Per Line'!$Y$2:$Y$1001,'Per Line'!$D$2:$D$1001,$B7,'Per Line'!$AP$2:$AP$1001,1))</f>
        <v/>
      </c>
      <c r="P7">
        <f>IF($Z7="","",Settings!$C$7)</f>
        <v/>
      </c>
      <c r="Q7" s="7">
        <f>IF($Z7="","",SUMIFS('Per Line'!$Y$2:$Y$1001,'Per Line'!$D$2:$D$1001,$B7,'Per Line'!$AO$2:$AO$1001,0,'Per Line'!$AP$2:$AP$1001,0))</f>
        <v/>
      </c>
      <c r="R7" s="7">
        <f>IF($Z7="","",Q7*P7)</f>
        <v/>
      </c>
      <c r="S7">
        <f>IF($Z7="","",Settings!$C$6)</f>
        <v/>
      </c>
      <c r="T7" s="7">
        <f>IF($Z7="","",SUMIFS('Per Line'!$Y$2:$Y$1001,'Per Line'!$D$2:$D$1001,$B7,'Per Line'!$AO$2:$AO$1001,1,'Per Line'!$AP$2:$AP$1001,0))</f>
        <v/>
      </c>
      <c r="U7" s="7">
        <f>IF($Z7="","",T7*S7)</f>
        <v/>
      </c>
      <c r="V7" s="7">
        <f>IF($Z7="","",U7+R7)</f>
        <v/>
      </c>
      <c r="W7" s="7">
        <f>IF($Z7="","",X7-V7)</f>
        <v/>
      </c>
      <c r="X7" s="7">
        <f>IF($Z7="","",Q7+T7+O7)</f>
        <v/>
      </c>
      <c r="Y7" s="7">
        <f>IF($Z7="","",X7-V7-N7)</f>
        <v/>
      </c>
      <c r="Z7" s="13">
        <f>IF(ROWS($Z$2:$Z7)&lt;=MAX('Per Line'!$AN$2:$AN$1001),MATCH(ROWS($Z$2:$Z7),'Per Line'!$AN$2:$AN$1001,0),"")</f>
        <v/>
      </c>
    </row>
    <row r="8">
      <c r="A8" s="12" t="n"/>
      <c r="B8">
        <f>IF($Z8="","",INDEX('Per Line'!$D$2:$D$1001,$Z8)&amp;"")</f>
        <v/>
      </c>
      <c r="C8">
        <f>IF($Z8="","",INDEX('Per Line'!$B$2:$B$1001,$Z8)&amp;"")</f>
        <v/>
      </c>
      <c r="D8">
        <f>IF($Z8="","",INDEX('Per Line'!$A$2:$A$1001,$Z8))</f>
        <v/>
      </c>
      <c r="E8">
        <f>IF($Z8="","",INDEX('Per Line'!$E$2:$E$1001,$Z8)&amp;"")</f>
        <v/>
      </c>
      <c r="F8">
        <f>IF($Z8="","",INDEX('Per Line'!$F$2:$F$1001,$Z8)&amp;"")</f>
        <v/>
      </c>
      <c r="G8" s="11">
        <f>IF($Z8="","",INDEX('Per Line'!$G$2:$G$1001,$Z8))</f>
        <v/>
      </c>
      <c r="H8">
        <f>IF($Z8="","",INDEX('Per Line'!$I$2:$I$1001,$Z8)&amp;"")</f>
        <v/>
      </c>
      <c r="I8">
        <f>IF($Z8="","",INDEX('Per Line'!$J$2:$J$1001,$Z8)&amp;"")</f>
        <v/>
      </c>
      <c r="J8">
        <f>IF($Z8="","",INDEX('Per Line'!$K$2:$K$1001,$Z8)&amp;"")</f>
        <v/>
      </c>
      <c r="K8">
        <f>IF($Z8="","",INDEX('Per Line'!$L$2:$L$1001,$Z8)&amp;"")</f>
        <v/>
      </c>
      <c r="L8">
        <f>IF($Z8="","",INDEX('Per Line'!$M$2:$M$1001,$Z8)&amp;"")</f>
        <v/>
      </c>
      <c r="M8">
        <f>IF($Z8="","",INDEX('Per Line'!$P$2:$P$1001,$Z8))</f>
        <v/>
      </c>
      <c r="N8" s="7">
        <f>IF($Z8="","",M8*X8/100)</f>
        <v/>
      </c>
      <c r="O8" s="7">
        <f>IF($Z8="","",SUMIFS('Per Line'!$Y$2:$Y$1001,'Per Line'!$D$2:$D$1001,$B8,'Per Line'!$AP$2:$AP$1001,1))</f>
        <v/>
      </c>
      <c r="P8">
        <f>IF($Z8="","",Settings!$C$7)</f>
        <v/>
      </c>
      <c r="Q8" s="7">
        <f>IF($Z8="","",SUMIFS('Per Line'!$Y$2:$Y$1001,'Per Line'!$D$2:$D$1001,$B8,'Per Line'!$AO$2:$AO$1001,0,'Per Line'!$AP$2:$AP$1001,0))</f>
        <v/>
      </c>
      <c r="R8" s="7">
        <f>IF($Z8="","",Q8*P8)</f>
        <v/>
      </c>
      <c r="S8">
        <f>IF($Z8="","",Settings!$C$6)</f>
        <v/>
      </c>
      <c r="T8" s="7">
        <f>IF($Z8="","",SUMIFS('Per Line'!$Y$2:$Y$1001,'Per Line'!$D$2:$D$1001,$B8,'Per Line'!$AO$2:$AO$1001,1,'Per Line'!$AP$2:$AP$1001,0))</f>
        <v/>
      </c>
      <c r="U8" s="7">
        <f>IF($Z8="","",T8*S8)</f>
        <v/>
      </c>
      <c r="V8" s="7">
        <f>IF($Z8="","",U8+R8)</f>
        <v/>
      </c>
      <c r="W8" s="7">
        <f>IF($Z8="","",X8-V8)</f>
        <v/>
      </c>
      <c r="X8" s="7">
        <f>IF($Z8="","",Q8+T8+O8)</f>
        <v/>
      </c>
      <c r="Y8" s="7">
        <f>IF($Z8="","",X8-V8-N8)</f>
        <v/>
      </c>
      <c r="Z8" s="13">
        <f>IF(ROWS($Z$2:$Z8)&lt;=MAX('Per Line'!$AN$2:$AN$1001),MATCH(ROWS($Z$2:$Z8),'Per Line'!$AN$2:$AN$1001,0),"")</f>
        <v/>
      </c>
    </row>
    <row r="9">
      <c r="A9" s="12" t="n"/>
      <c r="B9">
        <f>IF($Z9="","",INDEX('Per Line'!$D$2:$D$1001,$Z9)&amp;"")</f>
        <v/>
      </c>
      <c r="C9">
        <f>IF($Z9="","",INDEX('Per Line'!$B$2:$B$1001,$Z9)&amp;"")</f>
        <v/>
      </c>
      <c r="D9">
        <f>IF($Z9="","",INDEX('Per Line'!$A$2:$A$1001,$Z9))</f>
        <v/>
      </c>
      <c r="E9">
        <f>IF($Z9="","",INDEX('Per Line'!$E$2:$E$1001,$Z9)&amp;"")</f>
        <v/>
      </c>
      <c r="F9">
        <f>IF($Z9="","",INDEX('Per Line'!$F$2:$F$1001,$Z9)&amp;"")</f>
        <v/>
      </c>
      <c r="G9" s="11">
        <f>IF($Z9="","",INDEX('Per Line'!$G$2:$G$1001,$Z9))</f>
        <v/>
      </c>
      <c r="H9">
        <f>IF($Z9="","",INDEX('Per Line'!$I$2:$I$1001,$Z9)&amp;"")</f>
        <v/>
      </c>
      <c r="I9">
        <f>IF($Z9="","",INDEX('Per Line'!$J$2:$J$1001,$Z9)&amp;"")</f>
        <v/>
      </c>
      <c r="J9">
        <f>IF($Z9="","",INDEX('Per Line'!$K$2:$K$1001,$Z9)&amp;"")</f>
        <v/>
      </c>
      <c r="K9">
        <f>IF($Z9="","",INDEX('Per Line'!$L$2:$L$1001,$Z9)&amp;"")</f>
        <v/>
      </c>
      <c r="L9">
        <f>IF($Z9="","",INDEX('Per Line'!$M$2:$M$1001,$Z9)&amp;"")</f>
        <v/>
      </c>
      <c r="M9">
        <f>IF($Z9="","",INDEX('Per Line'!$P$2:$P$1001,$Z9))</f>
        <v/>
      </c>
      <c r="N9" s="7">
        <f>IF($Z9="","",M9*X9/100)</f>
        <v/>
      </c>
      <c r="O9" s="7">
        <f>IF($Z9="","",SUMIFS('Per Line'!$Y$2:$Y$1001,'Per Line'!$D$2:$D$1001,$B9,'Per Line'!$AP$2:$AP$1001,1))</f>
        <v/>
      </c>
      <c r="P9">
        <f>IF($Z9="","",Settings!$C$7)</f>
        <v/>
      </c>
      <c r="Q9" s="7">
        <f>IF($Z9="","",SUMIFS('Per Line'!$Y$2:$Y$1001,'Per Line'!$D$2:$D$1001,$B9,'Per Line'!$AO$2:$AO$1001,0,'Per Line'!$AP$2:$AP$1001,0))</f>
        <v/>
      </c>
      <c r="R9" s="7">
        <f>IF($Z9="","",Q9*P9)</f>
        <v/>
      </c>
      <c r="S9">
        <f>IF($Z9="","",Settings!$C$6)</f>
        <v/>
      </c>
      <c r="T9" s="7">
        <f>IF($Z9="","",SUMIFS('Per Line'!$Y$2:$Y$1001,'Per Line'!$D$2:$D$1001,$B9,'Per Line'!$AO$2:$AO$1001,1,'Per Line'!$AP$2:$AP$1001,0))</f>
        <v/>
      </c>
      <c r="U9" s="7">
        <f>IF($Z9="","",T9*S9)</f>
        <v/>
      </c>
      <c r="V9" s="7">
        <f>IF($Z9="","",U9+R9)</f>
        <v/>
      </c>
      <c r="W9" s="7">
        <f>IF($Z9="","",X9-V9)</f>
        <v/>
      </c>
      <c r="X9" s="7">
        <f>IF($Z9="","",Q9+T9+O9)</f>
        <v/>
      </c>
      <c r="Y9" s="7">
        <f>IF($Z9="","",X9-V9-N9)</f>
        <v/>
      </c>
      <c r="Z9" s="13">
        <f>IF(ROWS($Z$2:$Z9)&lt;=MAX('Per Line'!$AN$2:$AN$1001),MATCH(ROWS($Z$2:$Z9),'Per Line'!$AN$2:$AN$1001,0),"")</f>
        <v/>
      </c>
    </row>
    <row r="10">
      <c r="A10" s="12" t="n"/>
      <c r="B10">
        <f>IF($Z10="","",INDEX('Per Line'!$D$2:$D$1001,$Z10)&amp;"")</f>
        <v/>
      </c>
      <c r="C10">
        <f>IF($Z10="","",INDEX('Per Line'!$B$2:$B$1001,$Z10)&amp;"")</f>
        <v/>
      </c>
      <c r="D10">
        <f>IF($Z10="","",INDEX('Per Line'!$A$2:$A$1001,$Z10))</f>
        <v/>
      </c>
      <c r="E10">
        <f>IF($Z10="","",INDEX('Per Line'!$E$2:$E$1001,$Z10)&amp;"")</f>
        <v/>
      </c>
      <c r="F10">
        <f>IF($Z10="","",INDEX('Per Line'!$F$2:$F$1001,$Z10)&amp;"")</f>
        <v/>
      </c>
      <c r="G10" s="11">
        <f>IF($Z10="","",INDEX('Per Line'!$G$2:$G$1001,$Z10))</f>
        <v/>
      </c>
      <c r="H10">
        <f>IF($Z10="","",INDEX('Per Line'!$I$2:$I$1001,$Z10)&amp;"")</f>
        <v/>
      </c>
      <c r="I10">
        <f>IF($Z10="","",INDEX('Per Line'!$J$2:$J$1001,$Z10)&amp;"")</f>
        <v/>
      </c>
      <c r="J10">
        <f>IF($Z10="","",INDEX('Per Line'!$K$2:$K$1001,$Z10)&amp;"")</f>
        <v/>
      </c>
      <c r="K10">
        <f>IF($Z10="","",INDEX('Per Line'!$L$2:$L$1001,$Z10)&amp;"")</f>
        <v/>
      </c>
      <c r="L10">
        <f>IF($Z10="","",INDEX('Per Line'!$M$2:$M$1001,$Z10)&amp;"")</f>
        <v/>
      </c>
      <c r="M10">
        <f>IF($Z10="","",INDEX('Per Line'!$P$2:$P$1001,$Z10))</f>
        <v/>
      </c>
      <c r="N10" s="7">
        <f>IF($Z10="","",M10*X10/100)</f>
        <v/>
      </c>
      <c r="O10" s="7">
        <f>IF($Z10="","",SUMIFS('Per Line'!$Y$2:$Y$1001,'Per Line'!$D$2:$D$1001,$B10,'Per Line'!$AP$2:$AP$1001,1))</f>
        <v/>
      </c>
      <c r="P10">
        <f>IF($Z10="","",Settings!$C$7)</f>
        <v/>
      </c>
      <c r="Q10" s="7">
        <f>IF($Z10="","",SUMIFS('Per Line'!$Y$2:$Y$1001,'Per Line'!$D$2:$D$1001,$B10,'Per Line'!$AO$2:$AO$1001,0,'Per Line'!$AP$2:$AP$1001,0))</f>
        <v/>
      </c>
      <c r="R10" s="7">
        <f>IF($Z10="","",Q10*P10)</f>
        <v/>
      </c>
      <c r="S10">
        <f>IF($Z10="","",Settings!$C$6)</f>
        <v/>
      </c>
      <c r="T10" s="7">
        <f>IF($Z10="","",SUMIFS('Per Line'!$Y$2:$Y$1001,'Per Line'!$D$2:$D$1001,$B10,'Per Line'!$AO$2:$AO$1001,1,'Per Line'!$AP$2:$AP$1001,0))</f>
        <v/>
      </c>
      <c r="U10" s="7">
        <f>IF($Z10="","",T10*S10)</f>
        <v/>
      </c>
      <c r="V10" s="7">
        <f>IF($Z10="","",U10+R10)</f>
        <v/>
      </c>
      <c r="W10" s="7">
        <f>IF($Z10="","",X10-V10)</f>
        <v/>
      </c>
      <c r="X10" s="7">
        <f>IF($Z10="","",Q10+T10+O10)</f>
        <v/>
      </c>
      <c r="Y10" s="7">
        <f>IF($Z10="","",X10-V10-N10)</f>
        <v/>
      </c>
      <c r="Z10" s="13">
        <f>IF(ROWS($Z$2:$Z10)&lt;=MAX('Per Line'!$AN$2:$AN$1001),MATCH(ROWS($Z$2:$Z10),'Per Line'!$AN$2:$AN$1001,0),"")</f>
        <v/>
      </c>
    </row>
    <row r="11">
      <c r="A11" s="12" t="n"/>
      <c r="B11">
        <f>IF($Z11="","",INDEX('Per Line'!$D$2:$D$1001,$Z11)&amp;"")</f>
        <v/>
      </c>
      <c r="C11">
        <f>IF($Z11="","",INDEX('Per Line'!$B$2:$B$1001,$Z11)&amp;"")</f>
        <v/>
      </c>
      <c r="D11">
        <f>IF($Z11="","",INDEX('Per Line'!$A$2:$A$1001,$Z11))</f>
        <v/>
      </c>
      <c r="E11">
        <f>IF($Z11="","",INDEX('Per Line'!$E$2:$E$1001,$Z11)&amp;"")</f>
        <v/>
      </c>
      <c r="F11">
        <f>IF($Z11="","",INDEX('Per Line'!$F$2:$F$1001,$Z11)&amp;"")</f>
        <v/>
      </c>
      <c r="G11" s="11">
        <f>IF($Z11="","",INDEX('Per Line'!$G$2:$G$1001,$Z11))</f>
        <v/>
      </c>
      <c r="H11">
        <f>IF($Z11="","",INDEX('Per Line'!$I$2:$I$1001,$Z11)&amp;"")</f>
        <v/>
      </c>
      <c r="I11">
        <f>IF($Z11="","",INDEX('Per Line'!$J$2:$J$1001,$Z11)&amp;"")</f>
        <v/>
      </c>
      <c r="J11">
        <f>IF($Z11="","",INDEX('Per Line'!$K$2:$K$1001,$Z11)&amp;"")</f>
        <v/>
      </c>
      <c r="K11">
        <f>IF($Z11="","",INDEX('Per Line'!$L$2:$L$1001,$Z11)&amp;"")</f>
        <v/>
      </c>
      <c r="L11">
        <f>IF($Z11="","",INDEX('Per Line'!$M$2:$M$1001,$Z11)&amp;"")</f>
        <v/>
      </c>
      <c r="M11">
        <f>IF($Z11="","",INDEX('Per Line'!$P$2:$P$1001,$Z11))</f>
        <v/>
      </c>
      <c r="N11" s="7">
        <f>IF($Z11="","",M11*X11/100)</f>
        <v/>
      </c>
      <c r="O11" s="7">
        <f>IF($Z11="","",SUMIFS('Per Line'!$Y$2:$Y$1001,'Per Line'!$D$2:$D$1001,$B11,'Per Line'!$AP$2:$AP$1001,1))</f>
        <v/>
      </c>
      <c r="P11">
        <f>IF($Z11="","",Settings!$C$7)</f>
        <v/>
      </c>
      <c r="Q11" s="7">
        <f>IF($Z11="","",SUMIFS('Per Line'!$Y$2:$Y$1001,'Per Line'!$D$2:$D$1001,$B11,'Per Line'!$AO$2:$AO$1001,0,'Per Line'!$AP$2:$AP$1001,0))</f>
        <v/>
      </c>
      <c r="R11" s="7">
        <f>IF($Z11="","",Q11*P11)</f>
        <v/>
      </c>
      <c r="S11">
        <f>IF($Z11="","",Settings!$C$6)</f>
        <v/>
      </c>
      <c r="T11" s="7">
        <f>IF($Z11="","",SUMIFS('Per Line'!$Y$2:$Y$1001,'Per Line'!$D$2:$D$1001,$B11,'Per Line'!$AO$2:$AO$1001,1,'Per Line'!$AP$2:$AP$1001,0))</f>
        <v/>
      </c>
      <c r="U11" s="7">
        <f>IF($Z11="","",T11*S11)</f>
        <v/>
      </c>
      <c r="V11" s="7">
        <f>IF($Z11="","",U11+R11)</f>
        <v/>
      </c>
      <c r="W11" s="7">
        <f>IF($Z11="","",X11-V11)</f>
        <v/>
      </c>
      <c r="X11" s="7">
        <f>IF($Z11="","",Q11+T11+O11)</f>
        <v/>
      </c>
      <c r="Y11" s="7">
        <f>IF($Z11="","",X11-V11-N11)</f>
        <v/>
      </c>
      <c r="Z11" s="13">
        <f>IF(ROWS($Z$2:$Z11)&lt;=MAX('Per Line'!$AN$2:$AN$1001),MATCH(ROWS($Z$2:$Z11),'Per Line'!$AN$2:$AN$1001,0),"")</f>
        <v/>
      </c>
    </row>
    <row r="12">
      <c r="A12" s="12" t="n"/>
      <c r="B12">
        <f>IF($Z12="","",INDEX('Per Line'!$D$2:$D$1001,$Z12)&amp;"")</f>
        <v/>
      </c>
      <c r="C12">
        <f>IF($Z12="","",INDEX('Per Line'!$B$2:$B$1001,$Z12)&amp;"")</f>
        <v/>
      </c>
      <c r="D12">
        <f>IF($Z12="","",INDEX('Per Line'!$A$2:$A$1001,$Z12))</f>
        <v/>
      </c>
      <c r="E12">
        <f>IF($Z12="","",INDEX('Per Line'!$E$2:$E$1001,$Z12)&amp;"")</f>
        <v/>
      </c>
      <c r="F12">
        <f>IF($Z12="","",INDEX('Per Line'!$F$2:$F$1001,$Z12)&amp;"")</f>
        <v/>
      </c>
      <c r="G12" s="11">
        <f>IF($Z12="","",INDEX('Per Line'!$G$2:$G$1001,$Z12))</f>
        <v/>
      </c>
      <c r="H12">
        <f>IF($Z12="","",INDEX('Per Line'!$I$2:$I$1001,$Z12)&amp;"")</f>
        <v/>
      </c>
      <c r="I12">
        <f>IF($Z12="","",INDEX('Per Line'!$J$2:$J$1001,$Z12)&amp;"")</f>
        <v/>
      </c>
      <c r="J12">
        <f>IF($Z12="","",INDEX('Per Line'!$K$2:$K$1001,$Z12)&amp;"")</f>
        <v/>
      </c>
      <c r="K12">
        <f>IF($Z12="","",INDEX('Per Line'!$L$2:$L$1001,$Z12)&amp;"")</f>
        <v/>
      </c>
      <c r="L12">
        <f>IF($Z12="","",INDEX('Per Line'!$M$2:$M$1001,$Z12)&amp;"")</f>
        <v/>
      </c>
      <c r="M12">
        <f>IF($Z12="","",INDEX('Per Line'!$P$2:$P$1001,$Z12))</f>
        <v/>
      </c>
      <c r="N12" s="7">
        <f>IF($Z12="","",M12*X12/100)</f>
        <v/>
      </c>
      <c r="O12" s="7">
        <f>IF($Z12="","",SUMIFS('Per Line'!$Y$2:$Y$1001,'Per Line'!$D$2:$D$1001,$B12,'Per Line'!$AP$2:$AP$1001,1))</f>
        <v/>
      </c>
      <c r="P12">
        <f>IF($Z12="","",Settings!$C$7)</f>
        <v/>
      </c>
      <c r="Q12" s="7">
        <f>IF($Z12="","",SUMIFS('Per Line'!$Y$2:$Y$1001,'Per Line'!$D$2:$D$1001,$B12,'Per Line'!$AO$2:$AO$1001,0,'Per Line'!$AP$2:$AP$1001,0))</f>
        <v/>
      </c>
      <c r="R12" s="7">
        <f>IF($Z12="","",Q12*P12)</f>
        <v/>
      </c>
      <c r="S12">
        <f>IF($Z12="","",Settings!$C$6)</f>
        <v/>
      </c>
      <c r="T12" s="7">
        <f>IF($Z12="","",SUMIFS('Per Line'!$Y$2:$Y$1001,'Per Line'!$D$2:$D$1001,$B12,'Per Line'!$AO$2:$AO$1001,1,'Per Line'!$AP$2:$AP$1001,0))</f>
        <v/>
      </c>
      <c r="U12" s="7">
        <f>IF($Z12="","",T12*S12)</f>
        <v/>
      </c>
      <c r="V12" s="7">
        <f>IF($Z12="","",U12+R12)</f>
        <v/>
      </c>
      <c r="W12" s="7">
        <f>IF($Z12="","",X12-V12)</f>
        <v/>
      </c>
      <c r="X12" s="7">
        <f>IF($Z12="","",Q12+T12+O12)</f>
        <v/>
      </c>
      <c r="Y12" s="7">
        <f>IF($Z12="","",X12-V12-N12)</f>
        <v/>
      </c>
      <c r="Z12" s="13">
        <f>IF(ROWS($Z$2:$Z12)&lt;=MAX('Per Line'!$AN$2:$AN$1001),MATCH(ROWS($Z$2:$Z12),'Per Line'!$AN$2:$AN$1001,0),"")</f>
        <v/>
      </c>
    </row>
    <row r="13">
      <c r="A13" s="12" t="n"/>
      <c r="B13">
        <f>IF($Z13="","",INDEX('Per Line'!$D$2:$D$1001,$Z13)&amp;"")</f>
        <v/>
      </c>
      <c r="C13">
        <f>IF($Z13="","",INDEX('Per Line'!$B$2:$B$1001,$Z13)&amp;"")</f>
        <v/>
      </c>
      <c r="D13">
        <f>IF($Z13="","",INDEX('Per Line'!$A$2:$A$1001,$Z13))</f>
        <v/>
      </c>
      <c r="E13">
        <f>IF($Z13="","",INDEX('Per Line'!$E$2:$E$1001,$Z13)&amp;"")</f>
        <v/>
      </c>
      <c r="F13">
        <f>IF($Z13="","",INDEX('Per Line'!$F$2:$F$1001,$Z13)&amp;"")</f>
        <v/>
      </c>
      <c r="G13" s="11">
        <f>IF($Z13="","",INDEX('Per Line'!$G$2:$G$1001,$Z13))</f>
        <v/>
      </c>
      <c r="H13">
        <f>IF($Z13="","",INDEX('Per Line'!$I$2:$I$1001,$Z13)&amp;"")</f>
        <v/>
      </c>
      <c r="I13">
        <f>IF($Z13="","",INDEX('Per Line'!$J$2:$J$1001,$Z13)&amp;"")</f>
        <v/>
      </c>
      <c r="J13">
        <f>IF($Z13="","",INDEX('Per Line'!$K$2:$K$1001,$Z13)&amp;"")</f>
        <v/>
      </c>
      <c r="K13">
        <f>IF($Z13="","",INDEX('Per Line'!$L$2:$L$1001,$Z13)&amp;"")</f>
        <v/>
      </c>
      <c r="L13">
        <f>IF($Z13="","",INDEX('Per Line'!$M$2:$M$1001,$Z13)&amp;"")</f>
        <v/>
      </c>
      <c r="M13">
        <f>IF($Z13="","",INDEX('Per Line'!$P$2:$P$1001,$Z13))</f>
        <v/>
      </c>
      <c r="N13" s="7">
        <f>IF($Z13="","",M13*X13/100)</f>
        <v/>
      </c>
      <c r="O13" s="7">
        <f>IF($Z13="","",SUMIFS('Per Line'!$Y$2:$Y$1001,'Per Line'!$D$2:$D$1001,$B13,'Per Line'!$AP$2:$AP$1001,1))</f>
        <v/>
      </c>
      <c r="P13">
        <f>IF($Z13="","",Settings!$C$7)</f>
        <v/>
      </c>
      <c r="Q13" s="7">
        <f>IF($Z13="","",SUMIFS('Per Line'!$Y$2:$Y$1001,'Per Line'!$D$2:$D$1001,$B13,'Per Line'!$AO$2:$AO$1001,0,'Per Line'!$AP$2:$AP$1001,0))</f>
        <v/>
      </c>
      <c r="R13" s="7">
        <f>IF($Z13="","",Q13*P13)</f>
        <v/>
      </c>
      <c r="S13">
        <f>IF($Z13="","",Settings!$C$6)</f>
        <v/>
      </c>
      <c r="T13" s="7">
        <f>IF($Z13="","",SUMIFS('Per Line'!$Y$2:$Y$1001,'Per Line'!$D$2:$D$1001,$B13,'Per Line'!$AO$2:$AO$1001,1,'Per Line'!$AP$2:$AP$1001,0))</f>
        <v/>
      </c>
      <c r="U13" s="7">
        <f>IF($Z13="","",T13*S13)</f>
        <v/>
      </c>
      <c r="V13" s="7">
        <f>IF($Z13="","",U13+R13)</f>
        <v/>
      </c>
      <c r="W13" s="7">
        <f>IF($Z13="","",X13-V13)</f>
        <v/>
      </c>
      <c r="X13" s="7">
        <f>IF($Z13="","",Q13+T13+O13)</f>
        <v/>
      </c>
      <c r="Y13" s="7">
        <f>IF($Z13="","",X13-V13-N13)</f>
        <v/>
      </c>
      <c r="Z13" s="13">
        <f>IF(ROWS($Z$2:$Z13)&lt;=MAX('Per Line'!$AN$2:$AN$1001),MATCH(ROWS($Z$2:$Z13),'Per Line'!$AN$2:$AN$1001,0),"")</f>
        <v/>
      </c>
    </row>
    <row r="14">
      <c r="A14" s="12" t="n"/>
      <c r="B14">
        <f>IF($Z14="","",INDEX('Per Line'!$D$2:$D$1001,$Z14)&amp;"")</f>
        <v/>
      </c>
      <c r="C14">
        <f>IF($Z14="","",INDEX('Per Line'!$B$2:$B$1001,$Z14)&amp;"")</f>
        <v/>
      </c>
      <c r="D14">
        <f>IF($Z14="","",INDEX('Per Line'!$A$2:$A$1001,$Z14))</f>
        <v/>
      </c>
      <c r="E14">
        <f>IF($Z14="","",INDEX('Per Line'!$E$2:$E$1001,$Z14)&amp;"")</f>
        <v/>
      </c>
      <c r="F14">
        <f>IF($Z14="","",INDEX('Per Line'!$F$2:$F$1001,$Z14)&amp;"")</f>
        <v/>
      </c>
      <c r="G14" s="11">
        <f>IF($Z14="","",INDEX('Per Line'!$G$2:$G$1001,$Z14))</f>
        <v/>
      </c>
      <c r="H14">
        <f>IF($Z14="","",INDEX('Per Line'!$I$2:$I$1001,$Z14)&amp;"")</f>
        <v/>
      </c>
      <c r="I14">
        <f>IF($Z14="","",INDEX('Per Line'!$J$2:$J$1001,$Z14)&amp;"")</f>
        <v/>
      </c>
      <c r="J14">
        <f>IF($Z14="","",INDEX('Per Line'!$K$2:$K$1001,$Z14)&amp;"")</f>
        <v/>
      </c>
      <c r="K14">
        <f>IF($Z14="","",INDEX('Per Line'!$L$2:$L$1001,$Z14)&amp;"")</f>
        <v/>
      </c>
      <c r="L14">
        <f>IF($Z14="","",INDEX('Per Line'!$M$2:$M$1001,$Z14)&amp;"")</f>
        <v/>
      </c>
      <c r="M14">
        <f>IF($Z14="","",INDEX('Per Line'!$P$2:$P$1001,$Z14))</f>
        <v/>
      </c>
      <c r="N14" s="7">
        <f>IF($Z14="","",M14*X14/100)</f>
        <v/>
      </c>
      <c r="O14" s="7">
        <f>IF($Z14="","",SUMIFS('Per Line'!$Y$2:$Y$1001,'Per Line'!$D$2:$D$1001,$B14,'Per Line'!$AP$2:$AP$1001,1))</f>
        <v/>
      </c>
      <c r="P14">
        <f>IF($Z14="","",Settings!$C$7)</f>
        <v/>
      </c>
      <c r="Q14" s="7">
        <f>IF($Z14="","",SUMIFS('Per Line'!$Y$2:$Y$1001,'Per Line'!$D$2:$D$1001,$B14,'Per Line'!$AO$2:$AO$1001,0,'Per Line'!$AP$2:$AP$1001,0))</f>
        <v/>
      </c>
      <c r="R14" s="7">
        <f>IF($Z14="","",Q14*P14)</f>
        <v/>
      </c>
      <c r="S14">
        <f>IF($Z14="","",Settings!$C$6)</f>
        <v/>
      </c>
      <c r="T14" s="7">
        <f>IF($Z14="","",SUMIFS('Per Line'!$Y$2:$Y$1001,'Per Line'!$D$2:$D$1001,$B14,'Per Line'!$AO$2:$AO$1001,1,'Per Line'!$AP$2:$AP$1001,0))</f>
        <v/>
      </c>
      <c r="U14" s="7">
        <f>IF($Z14="","",T14*S14)</f>
        <v/>
      </c>
      <c r="V14" s="7">
        <f>IF($Z14="","",U14+R14)</f>
        <v/>
      </c>
      <c r="W14" s="7">
        <f>IF($Z14="","",X14-V14)</f>
        <v/>
      </c>
      <c r="X14" s="7">
        <f>IF($Z14="","",Q14+T14+O14)</f>
        <v/>
      </c>
      <c r="Y14" s="7">
        <f>IF($Z14="","",X14-V14-N14)</f>
        <v/>
      </c>
      <c r="Z14" s="13">
        <f>IF(ROWS($Z$2:$Z14)&lt;=MAX('Per Line'!$AN$2:$AN$1001),MATCH(ROWS($Z$2:$Z14),'Per Line'!$AN$2:$AN$1001,0),"")</f>
        <v/>
      </c>
    </row>
    <row r="15">
      <c r="A15" s="12" t="n"/>
      <c r="B15">
        <f>IF($Z15="","",INDEX('Per Line'!$D$2:$D$1001,$Z15)&amp;"")</f>
        <v/>
      </c>
      <c r="C15">
        <f>IF($Z15="","",INDEX('Per Line'!$B$2:$B$1001,$Z15)&amp;"")</f>
        <v/>
      </c>
      <c r="D15">
        <f>IF($Z15="","",INDEX('Per Line'!$A$2:$A$1001,$Z15))</f>
        <v/>
      </c>
      <c r="E15">
        <f>IF($Z15="","",INDEX('Per Line'!$E$2:$E$1001,$Z15)&amp;"")</f>
        <v/>
      </c>
      <c r="F15">
        <f>IF($Z15="","",INDEX('Per Line'!$F$2:$F$1001,$Z15)&amp;"")</f>
        <v/>
      </c>
      <c r="G15" s="11">
        <f>IF($Z15="","",INDEX('Per Line'!$G$2:$G$1001,$Z15))</f>
        <v/>
      </c>
      <c r="H15">
        <f>IF($Z15="","",INDEX('Per Line'!$I$2:$I$1001,$Z15)&amp;"")</f>
        <v/>
      </c>
      <c r="I15">
        <f>IF($Z15="","",INDEX('Per Line'!$J$2:$J$1001,$Z15)&amp;"")</f>
        <v/>
      </c>
      <c r="J15">
        <f>IF($Z15="","",INDEX('Per Line'!$K$2:$K$1001,$Z15)&amp;"")</f>
        <v/>
      </c>
      <c r="K15">
        <f>IF($Z15="","",INDEX('Per Line'!$L$2:$L$1001,$Z15)&amp;"")</f>
        <v/>
      </c>
      <c r="L15">
        <f>IF($Z15="","",INDEX('Per Line'!$M$2:$M$1001,$Z15)&amp;"")</f>
        <v/>
      </c>
      <c r="M15">
        <f>IF($Z15="","",INDEX('Per Line'!$P$2:$P$1001,$Z15))</f>
        <v/>
      </c>
      <c r="N15" s="7">
        <f>IF($Z15="","",M15*X15/100)</f>
        <v/>
      </c>
      <c r="O15" s="7">
        <f>IF($Z15="","",SUMIFS('Per Line'!$Y$2:$Y$1001,'Per Line'!$D$2:$D$1001,$B15,'Per Line'!$AP$2:$AP$1001,1))</f>
        <v/>
      </c>
      <c r="P15">
        <f>IF($Z15="","",Settings!$C$7)</f>
        <v/>
      </c>
      <c r="Q15" s="7">
        <f>IF($Z15="","",SUMIFS('Per Line'!$Y$2:$Y$1001,'Per Line'!$D$2:$D$1001,$B15,'Per Line'!$AO$2:$AO$1001,0,'Per Line'!$AP$2:$AP$1001,0))</f>
        <v/>
      </c>
      <c r="R15" s="7">
        <f>IF($Z15="","",Q15*P15)</f>
        <v/>
      </c>
      <c r="S15">
        <f>IF($Z15="","",Settings!$C$6)</f>
        <v/>
      </c>
      <c r="T15" s="7">
        <f>IF($Z15="","",SUMIFS('Per Line'!$Y$2:$Y$1001,'Per Line'!$D$2:$D$1001,$B15,'Per Line'!$AO$2:$AO$1001,1,'Per Line'!$AP$2:$AP$1001,0))</f>
        <v/>
      </c>
      <c r="U15" s="7">
        <f>IF($Z15="","",T15*S15)</f>
        <v/>
      </c>
      <c r="V15" s="7">
        <f>IF($Z15="","",U15+R15)</f>
        <v/>
      </c>
      <c r="W15" s="7">
        <f>IF($Z15="","",X15-V15)</f>
        <v/>
      </c>
      <c r="X15" s="7">
        <f>IF($Z15="","",Q15+T15+O15)</f>
        <v/>
      </c>
      <c r="Y15" s="7">
        <f>IF($Z15="","",X15-V15-N15)</f>
        <v/>
      </c>
      <c r="Z15" s="13">
        <f>IF(ROWS($Z$2:$Z15)&lt;=MAX('Per Line'!$AN$2:$AN$1001),MATCH(ROWS($Z$2:$Z15),'Per Line'!$AN$2:$AN$1001,0),"")</f>
        <v/>
      </c>
    </row>
    <row r="16">
      <c r="A16" s="12" t="n"/>
      <c r="B16">
        <f>IF($Z16="","",INDEX('Per Line'!$D$2:$D$1001,$Z16)&amp;"")</f>
        <v/>
      </c>
      <c r="C16">
        <f>IF($Z16="","",INDEX('Per Line'!$B$2:$B$1001,$Z16)&amp;"")</f>
        <v/>
      </c>
      <c r="D16">
        <f>IF($Z16="","",INDEX('Per Line'!$A$2:$A$1001,$Z16))</f>
        <v/>
      </c>
      <c r="E16">
        <f>IF($Z16="","",INDEX('Per Line'!$E$2:$E$1001,$Z16)&amp;"")</f>
        <v/>
      </c>
      <c r="F16">
        <f>IF($Z16="","",INDEX('Per Line'!$F$2:$F$1001,$Z16)&amp;"")</f>
        <v/>
      </c>
      <c r="G16" s="11">
        <f>IF($Z16="","",INDEX('Per Line'!$G$2:$G$1001,$Z16))</f>
        <v/>
      </c>
      <c r="H16">
        <f>IF($Z16="","",INDEX('Per Line'!$I$2:$I$1001,$Z16)&amp;"")</f>
        <v/>
      </c>
      <c r="I16">
        <f>IF($Z16="","",INDEX('Per Line'!$J$2:$J$1001,$Z16)&amp;"")</f>
        <v/>
      </c>
      <c r="J16">
        <f>IF($Z16="","",INDEX('Per Line'!$K$2:$K$1001,$Z16)&amp;"")</f>
        <v/>
      </c>
      <c r="K16">
        <f>IF($Z16="","",INDEX('Per Line'!$L$2:$L$1001,$Z16)&amp;"")</f>
        <v/>
      </c>
      <c r="L16">
        <f>IF($Z16="","",INDEX('Per Line'!$M$2:$M$1001,$Z16)&amp;"")</f>
        <v/>
      </c>
      <c r="M16">
        <f>IF($Z16="","",INDEX('Per Line'!$P$2:$P$1001,$Z16))</f>
        <v/>
      </c>
      <c r="N16" s="7">
        <f>IF($Z16="","",M16*X16/100)</f>
        <v/>
      </c>
      <c r="O16" s="7">
        <f>IF($Z16="","",SUMIFS('Per Line'!$Y$2:$Y$1001,'Per Line'!$D$2:$D$1001,$B16,'Per Line'!$AP$2:$AP$1001,1))</f>
        <v/>
      </c>
      <c r="P16">
        <f>IF($Z16="","",Settings!$C$7)</f>
        <v/>
      </c>
      <c r="Q16" s="7">
        <f>IF($Z16="","",SUMIFS('Per Line'!$Y$2:$Y$1001,'Per Line'!$D$2:$D$1001,$B16,'Per Line'!$AO$2:$AO$1001,0,'Per Line'!$AP$2:$AP$1001,0))</f>
        <v/>
      </c>
      <c r="R16" s="7">
        <f>IF($Z16="","",Q16*P16)</f>
        <v/>
      </c>
      <c r="S16">
        <f>IF($Z16="","",Settings!$C$6)</f>
        <v/>
      </c>
      <c r="T16" s="7">
        <f>IF($Z16="","",SUMIFS('Per Line'!$Y$2:$Y$1001,'Per Line'!$D$2:$D$1001,$B16,'Per Line'!$AO$2:$AO$1001,1,'Per Line'!$AP$2:$AP$1001,0))</f>
        <v/>
      </c>
      <c r="U16" s="7">
        <f>IF($Z16="","",T16*S16)</f>
        <v/>
      </c>
      <c r="V16" s="7">
        <f>IF($Z16="","",U16+R16)</f>
        <v/>
      </c>
      <c r="W16" s="7">
        <f>IF($Z16="","",X16-V16)</f>
        <v/>
      </c>
      <c r="X16" s="7">
        <f>IF($Z16="","",Q16+T16+O16)</f>
        <v/>
      </c>
      <c r="Y16" s="7">
        <f>IF($Z16="","",X16-V16-N16)</f>
        <v/>
      </c>
      <c r="Z16" s="13">
        <f>IF(ROWS($Z$2:$Z16)&lt;=MAX('Per Line'!$AN$2:$AN$1001),MATCH(ROWS($Z$2:$Z16),'Per Line'!$AN$2:$AN$1001,0),"")</f>
        <v/>
      </c>
    </row>
    <row r="17">
      <c r="A17" s="12" t="n"/>
      <c r="B17">
        <f>IF($Z17="","",INDEX('Per Line'!$D$2:$D$1001,$Z17)&amp;"")</f>
        <v/>
      </c>
      <c r="C17">
        <f>IF($Z17="","",INDEX('Per Line'!$B$2:$B$1001,$Z17)&amp;"")</f>
        <v/>
      </c>
      <c r="D17">
        <f>IF($Z17="","",INDEX('Per Line'!$A$2:$A$1001,$Z17))</f>
        <v/>
      </c>
      <c r="E17">
        <f>IF($Z17="","",INDEX('Per Line'!$E$2:$E$1001,$Z17)&amp;"")</f>
        <v/>
      </c>
      <c r="F17">
        <f>IF($Z17="","",INDEX('Per Line'!$F$2:$F$1001,$Z17)&amp;"")</f>
        <v/>
      </c>
      <c r="G17" s="11">
        <f>IF($Z17="","",INDEX('Per Line'!$G$2:$G$1001,$Z17))</f>
        <v/>
      </c>
      <c r="H17">
        <f>IF($Z17="","",INDEX('Per Line'!$I$2:$I$1001,$Z17)&amp;"")</f>
        <v/>
      </c>
      <c r="I17">
        <f>IF($Z17="","",INDEX('Per Line'!$J$2:$J$1001,$Z17)&amp;"")</f>
        <v/>
      </c>
      <c r="J17">
        <f>IF($Z17="","",INDEX('Per Line'!$K$2:$K$1001,$Z17)&amp;"")</f>
        <v/>
      </c>
      <c r="K17">
        <f>IF($Z17="","",INDEX('Per Line'!$L$2:$L$1001,$Z17)&amp;"")</f>
        <v/>
      </c>
      <c r="L17">
        <f>IF($Z17="","",INDEX('Per Line'!$M$2:$M$1001,$Z17)&amp;"")</f>
        <v/>
      </c>
      <c r="M17">
        <f>IF($Z17="","",INDEX('Per Line'!$P$2:$P$1001,$Z17))</f>
        <v/>
      </c>
      <c r="N17" s="7">
        <f>IF($Z17="","",M17*X17/100)</f>
        <v/>
      </c>
      <c r="O17" s="7">
        <f>IF($Z17="","",SUMIFS('Per Line'!$Y$2:$Y$1001,'Per Line'!$D$2:$D$1001,$B17,'Per Line'!$AP$2:$AP$1001,1))</f>
        <v/>
      </c>
      <c r="P17">
        <f>IF($Z17="","",Settings!$C$7)</f>
        <v/>
      </c>
      <c r="Q17" s="7">
        <f>IF($Z17="","",SUMIFS('Per Line'!$Y$2:$Y$1001,'Per Line'!$D$2:$D$1001,$B17,'Per Line'!$AO$2:$AO$1001,0,'Per Line'!$AP$2:$AP$1001,0))</f>
        <v/>
      </c>
      <c r="R17" s="7">
        <f>IF($Z17="","",Q17*P17)</f>
        <v/>
      </c>
      <c r="S17">
        <f>IF($Z17="","",Settings!$C$6)</f>
        <v/>
      </c>
      <c r="T17" s="7">
        <f>IF($Z17="","",SUMIFS('Per Line'!$Y$2:$Y$1001,'Per Line'!$D$2:$D$1001,$B17,'Per Line'!$AO$2:$AO$1001,1,'Per Line'!$AP$2:$AP$1001,0))</f>
        <v/>
      </c>
      <c r="U17" s="7">
        <f>IF($Z17="","",T17*S17)</f>
        <v/>
      </c>
      <c r="V17" s="7">
        <f>IF($Z17="","",U17+R17)</f>
        <v/>
      </c>
      <c r="W17" s="7">
        <f>IF($Z17="","",X17-V17)</f>
        <v/>
      </c>
      <c r="X17" s="7">
        <f>IF($Z17="","",Q17+T17+O17)</f>
        <v/>
      </c>
      <c r="Y17" s="7">
        <f>IF($Z17="","",X17-V17-N17)</f>
        <v/>
      </c>
      <c r="Z17" s="13">
        <f>IF(ROWS($Z$2:$Z17)&lt;=MAX('Per Line'!$AN$2:$AN$1001),MATCH(ROWS($Z$2:$Z17),'Per Line'!$AN$2:$AN$1001,0),"")</f>
        <v/>
      </c>
    </row>
    <row r="18">
      <c r="A18" s="12" t="n"/>
      <c r="B18">
        <f>IF($Z18="","",INDEX('Per Line'!$D$2:$D$1001,$Z18)&amp;"")</f>
        <v/>
      </c>
      <c r="C18">
        <f>IF($Z18="","",INDEX('Per Line'!$B$2:$B$1001,$Z18)&amp;"")</f>
        <v/>
      </c>
      <c r="D18">
        <f>IF($Z18="","",INDEX('Per Line'!$A$2:$A$1001,$Z18))</f>
        <v/>
      </c>
      <c r="E18">
        <f>IF($Z18="","",INDEX('Per Line'!$E$2:$E$1001,$Z18)&amp;"")</f>
        <v/>
      </c>
      <c r="F18">
        <f>IF($Z18="","",INDEX('Per Line'!$F$2:$F$1001,$Z18)&amp;"")</f>
        <v/>
      </c>
      <c r="G18" s="11">
        <f>IF($Z18="","",INDEX('Per Line'!$G$2:$G$1001,$Z18))</f>
        <v/>
      </c>
      <c r="H18">
        <f>IF($Z18="","",INDEX('Per Line'!$I$2:$I$1001,$Z18)&amp;"")</f>
        <v/>
      </c>
      <c r="I18">
        <f>IF($Z18="","",INDEX('Per Line'!$J$2:$J$1001,$Z18)&amp;"")</f>
        <v/>
      </c>
      <c r="J18">
        <f>IF($Z18="","",INDEX('Per Line'!$K$2:$K$1001,$Z18)&amp;"")</f>
        <v/>
      </c>
      <c r="K18">
        <f>IF($Z18="","",INDEX('Per Line'!$L$2:$L$1001,$Z18)&amp;"")</f>
        <v/>
      </c>
      <c r="L18">
        <f>IF($Z18="","",INDEX('Per Line'!$M$2:$M$1001,$Z18)&amp;"")</f>
        <v/>
      </c>
      <c r="M18">
        <f>IF($Z18="","",INDEX('Per Line'!$P$2:$P$1001,$Z18))</f>
        <v/>
      </c>
      <c r="N18" s="7">
        <f>IF($Z18="","",M18*X18/100)</f>
        <v/>
      </c>
      <c r="O18" s="7">
        <f>IF($Z18="","",SUMIFS('Per Line'!$Y$2:$Y$1001,'Per Line'!$D$2:$D$1001,$B18,'Per Line'!$AP$2:$AP$1001,1))</f>
        <v/>
      </c>
      <c r="P18">
        <f>IF($Z18="","",Settings!$C$7)</f>
        <v/>
      </c>
      <c r="Q18" s="7">
        <f>IF($Z18="","",SUMIFS('Per Line'!$Y$2:$Y$1001,'Per Line'!$D$2:$D$1001,$B18,'Per Line'!$AO$2:$AO$1001,0,'Per Line'!$AP$2:$AP$1001,0))</f>
        <v/>
      </c>
      <c r="R18" s="7">
        <f>IF($Z18="","",Q18*P18)</f>
        <v/>
      </c>
      <c r="S18">
        <f>IF($Z18="","",Settings!$C$6)</f>
        <v/>
      </c>
      <c r="T18" s="7">
        <f>IF($Z18="","",SUMIFS('Per Line'!$Y$2:$Y$1001,'Per Line'!$D$2:$D$1001,$B18,'Per Line'!$AO$2:$AO$1001,1,'Per Line'!$AP$2:$AP$1001,0))</f>
        <v/>
      </c>
      <c r="U18" s="7">
        <f>IF($Z18="","",T18*S18)</f>
        <v/>
      </c>
      <c r="V18" s="7">
        <f>IF($Z18="","",U18+R18)</f>
        <v/>
      </c>
      <c r="W18" s="7">
        <f>IF($Z18="","",X18-V18)</f>
        <v/>
      </c>
      <c r="X18" s="7">
        <f>IF($Z18="","",Q18+T18+O18)</f>
        <v/>
      </c>
      <c r="Y18" s="7">
        <f>IF($Z18="","",X18-V18-N18)</f>
        <v/>
      </c>
      <c r="Z18" s="13">
        <f>IF(ROWS($Z$2:$Z18)&lt;=MAX('Per Line'!$AN$2:$AN$1001),MATCH(ROWS($Z$2:$Z18),'Per Line'!$AN$2:$AN$1001,0),"")</f>
        <v/>
      </c>
    </row>
    <row r="19">
      <c r="A19" s="12" t="n"/>
      <c r="B19">
        <f>IF($Z19="","",INDEX('Per Line'!$D$2:$D$1001,$Z19)&amp;"")</f>
        <v/>
      </c>
      <c r="C19">
        <f>IF($Z19="","",INDEX('Per Line'!$B$2:$B$1001,$Z19)&amp;"")</f>
        <v/>
      </c>
      <c r="D19">
        <f>IF($Z19="","",INDEX('Per Line'!$A$2:$A$1001,$Z19))</f>
        <v/>
      </c>
      <c r="E19">
        <f>IF($Z19="","",INDEX('Per Line'!$E$2:$E$1001,$Z19)&amp;"")</f>
        <v/>
      </c>
      <c r="F19">
        <f>IF($Z19="","",INDEX('Per Line'!$F$2:$F$1001,$Z19)&amp;"")</f>
        <v/>
      </c>
      <c r="G19" s="11">
        <f>IF($Z19="","",INDEX('Per Line'!$G$2:$G$1001,$Z19))</f>
        <v/>
      </c>
      <c r="H19">
        <f>IF($Z19="","",INDEX('Per Line'!$I$2:$I$1001,$Z19)&amp;"")</f>
        <v/>
      </c>
      <c r="I19">
        <f>IF($Z19="","",INDEX('Per Line'!$J$2:$J$1001,$Z19)&amp;"")</f>
        <v/>
      </c>
      <c r="J19">
        <f>IF($Z19="","",INDEX('Per Line'!$K$2:$K$1001,$Z19)&amp;"")</f>
        <v/>
      </c>
      <c r="K19">
        <f>IF($Z19="","",INDEX('Per Line'!$L$2:$L$1001,$Z19)&amp;"")</f>
        <v/>
      </c>
      <c r="L19">
        <f>IF($Z19="","",INDEX('Per Line'!$M$2:$M$1001,$Z19)&amp;"")</f>
        <v/>
      </c>
      <c r="M19">
        <f>IF($Z19="","",INDEX('Per Line'!$P$2:$P$1001,$Z19))</f>
        <v/>
      </c>
      <c r="N19" s="7">
        <f>IF($Z19="","",M19*X19/100)</f>
        <v/>
      </c>
      <c r="O19" s="7">
        <f>IF($Z19="","",SUMIFS('Per Line'!$Y$2:$Y$1001,'Per Line'!$D$2:$D$1001,$B19,'Per Line'!$AP$2:$AP$1001,1))</f>
        <v/>
      </c>
      <c r="P19">
        <f>IF($Z19="","",Settings!$C$7)</f>
        <v/>
      </c>
      <c r="Q19" s="7">
        <f>IF($Z19="","",SUMIFS('Per Line'!$Y$2:$Y$1001,'Per Line'!$D$2:$D$1001,$B19,'Per Line'!$AO$2:$AO$1001,0,'Per Line'!$AP$2:$AP$1001,0))</f>
        <v/>
      </c>
      <c r="R19" s="7">
        <f>IF($Z19="","",Q19*P19)</f>
        <v/>
      </c>
      <c r="S19">
        <f>IF($Z19="","",Settings!$C$6)</f>
        <v/>
      </c>
      <c r="T19" s="7">
        <f>IF($Z19="","",SUMIFS('Per Line'!$Y$2:$Y$1001,'Per Line'!$D$2:$D$1001,$B19,'Per Line'!$AO$2:$AO$1001,1,'Per Line'!$AP$2:$AP$1001,0))</f>
        <v/>
      </c>
      <c r="U19" s="7">
        <f>IF($Z19="","",T19*S19)</f>
        <v/>
      </c>
      <c r="V19" s="7">
        <f>IF($Z19="","",U19+R19)</f>
        <v/>
      </c>
      <c r="W19" s="7">
        <f>IF($Z19="","",X19-V19)</f>
        <v/>
      </c>
      <c r="X19" s="7">
        <f>IF($Z19="","",Q19+T19+O19)</f>
        <v/>
      </c>
      <c r="Y19" s="7">
        <f>IF($Z19="","",X19-V19-N19)</f>
        <v/>
      </c>
      <c r="Z19" s="13">
        <f>IF(ROWS($Z$2:$Z19)&lt;=MAX('Per Line'!$AN$2:$AN$1001),MATCH(ROWS($Z$2:$Z19),'Per Line'!$AN$2:$AN$1001,0),"")</f>
        <v/>
      </c>
    </row>
    <row r="20">
      <c r="A20" s="12" t="n"/>
      <c r="B20">
        <f>IF($Z20="","",INDEX('Per Line'!$D$2:$D$1001,$Z20)&amp;"")</f>
        <v/>
      </c>
      <c r="C20">
        <f>IF($Z20="","",INDEX('Per Line'!$B$2:$B$1001,$Z20)&amp;"")</f>
        <v/>
      </c>
      <c r="D20">
        <f>IF($Z20="","",INDEX('Per Line'!$A$2:$A$1001,$Z20))</f>
        <v/>
      </c>
      <c r="E20">
        <f>IF($Z20="","",INDEX('Per Line'!$E$2:$E$1001,$Z20)&amp;"")</f>
        <v/>
      </c>
      <c r="F20">
        <f>IF($Z20="","",INDEX('Per Line'!$F$2:$F$1001,$Z20)&amp;"")</f>
        <v/>
      </c>
      <c r="G20" s="11">
        <f>IF($Z20="","",INDEX('Per Line'!$G$2:$G$1001,$Z20))</f>
        <v/>
      </c>
      <c r="H20">
        <f>IF($Z20="","",INDEX('Per Line'!$I$2:$I$1001,$Z20)&amp;"")</f>
        <v/>
      </c>
      <c r="I20">
        <f>IF($Z20="","",INDEX('Per Line'!$J$2:$J$1001,$Z20)&amp;"")</f>
        <v/>
      </c>
      <c r="J20">
        <f>IF($Z20="","",INDEX('Per Line'!$K$2:$K$1001,$Z20)&amp;"")</f>
        <v/>
      </c>
      <c r="K20">
        <f>IF($Z20="","",INDEX('Per Line'!$L$2:$L$1001,$Z20)&amp;"")</f>
        <v/>
      </c>
      <c r="L20">
        <f>IF($Z20="","",INDEX('Per Line'!$M$2:$M$1001,$Z20)&amp;"")</f>
        <v/>
      </c>
      <c r="M20">
        <f>IF($Z20="","",INDEX('Per Line'!$P$2:$P$1001,$Z20))</f>
        <v/>
      </c>
      <c r="N20" s="7">
        <f>IF($Z20="","",M20*X20/100)</f>
        <v/>
      </c>
      <c r="O20" s="7">
        <f>IF($Z20="","",SUMIFS('Per Line'!$Y$2:$Y$1001,'Per Line'!$D$2:$D$1001,$B20,'Per Line'!$AP$2:$AP$1001,1))</f>
        <v/>
      </c>
      <c r="P20">
        <f>IF($Z20="","",Settings!$C$7)</f>
        <v/>
      </c>
      <c r="Q20" s="7">
        <f>IF($Z20="","",SUMIFS('Per Line'!$Y$2:$Y$1001,'Per Line'!$D$2:$D$1001,$B20,'Per Line'!$AO$2:$AO$1001,0,'Per Line'!$AP$2:$AP$1001,0))</f>
        <v/>
      </c>
      <c r="R20" s="7">
        <f>IF($Z20="","",Q20*P20)</f>
        <v/>
      </c>
      <c r="S20">
        <f>IF($Z20="","",Settings!$C$6)</f>
        <v/>
      </c>
      <c r="T20" s="7">
        <f>IF($Z20="","",SUMIFS('Per Line'!$Y$2:$Y$1001,'Per Line'!$D$2:$D$1001,$B20,'Per Line'!$AO$2:$AO$1001,1,'Per Line'!$AP$2:$AP$1001,0))</f>
        <v/>
      </c>
      <c r="U20" s="7">
        <f>IF($Z20="","",T20*S20)</f>
        <v/>
      </c>
      <c r="V20" s="7">
        <f>IF($Z20="","",U20+R20)</f>
        <v/>
      </c>
      <c r="W20" s="7">
        <f>IF($Z20="","",X20-V20)</f>
        <v/>
      </c>
      <c r="X20" s="7">
        <f>IF($Z20="","",Q20+T20+O20)</f>
        <v/>
      </c>
      <c r="Y20" s="7">
        <f>IF($Z20="","",X20-V20-N20)</f>
        <v/>
      </c>
      <c r="Z20" s="13">
        <f>IF(ROWS($Z$2:$Z20)&lt;=MAX('Per Line'!$AN$2:$AN$1001),MATCH(ROWS($Z$2:$Z20),'Per Line'!$AN$2:$AN$1001,0),"")</f>
        <v/>
      </c>
    </row>
    <row r="21">
      <c r="A21" s="12" t="n"/>
      <c r="B21">
        <f>IF($Z21="","",INDEX('Per Line'!$D$2:$D$1001,$Z21)&amp;"")</f>
        <v/>
      </c>
      <c r="C21">
        <f>IF($Z21="","",INDEX('Per Line'!$B$2:$B$1001,$Z21)&amp;"")</f>
        <v/>
      </c>
      <c r="D21">
        <f>IF($Z21="","",INDEX('Per Line'!$A$2:$A$1001,$Z21))</f>
        <v/>
      </c>
      <c r="E21">
        <f>IF($Z21="","",INDEX('Per Line'!$E$2:$E$1001,$Z21)&amp;"")</f>
        <v/>
      </c>
      <c r="F21">
        <f>IF($Z21="","",INDEX('Per Line'!$F$2:$F$1001,$Z21)&amp;"")</f>
        <v/>
      </c>
      <c r="G21" s="11">
        <f>IF($Z21="","",INDEX('Per Line'!$G$2:$G$1001,$Z21))</f>
        <v/>
      </c>
      <c r="H21">
        <f>IF($Z21="","",INDEX('Per Line'!$I$2:$I$1001,$Z21)&amp;"")</f>
        <v/>
      </c>
      <c r="I21">
        <f>IF($Z21="","",INDEX('Per Line'!$J$2:$J$1001,$Z21)&amp;"")</f>
        <v/>
      </c>
      <c r="J21">
        <f>IF($Z21="","",INDEX('Per Line'!$K$2:$K$1001,$Z21)&amp;"")</f>
        <v/>
      </c>
      <c r="K21">
        <f>IF($Z21="","",INDEX('Per Line'!$L$2:$L$1001,$Z21)&amp;"")</f>
        <v/>
      </c>
      <c r="L21">
        <f>IF($Z21="","",INDEX('Per Line'!$M$2:$M$1001,$Z21)&amp;"")</f>
        <v/>
      </c>
      <c r="M21">
        <f>IF($Z21="","",INDEX('Per Line'!$P$2:$P$1001,$Z21))</f>
        <v/>
      </c>
      <c r="N21" s="7">
        <f>IF($Z21="","",M21*X21/100)</f>
        <v/>
      </c>
      <c r="O21" s="7">
        <f>IF($Z21="","",SUMIFS('Per Line'!$Y$2:$Y$1001,'Per Line'!$D$2:$D$1001,$B21,'Per Line'!$AP$2:$AP$1001,1))</f>
        <v/>
      </c>
      <c r="P21">
        <f>IF($Z21="","",Settings!$C$7)</f>
        <v/>
      </c>
      <c r="Q21" s="7">
        <f>IF($Z21="","",SUMIFS('Per Line'!$Y$2:$Y$1001,'Per Line'!$D$2:$D$1001,$B21,'Per Line'!$AO$2:$AO$1001,0,'Per Line'!$AP$2:$AP$1001,0))</f>
        <v/>
      </c>
      <c r="R21" s="7">
        <f>IF($Z21="","",Q21*P21)</f>
        <v/>
      </c>
      <c r="S21">
        <f>IF($Z21="","",Settings!$C$6)</f>
        <v/>
      </c>
      <c r="T21" s="7">
        <f>IF($Z21="","",SUMIFS('Per Line'!$Y$2:$Y$1001,'Per Line'!$D$2:$D$1001,$B21,'Per Line'!$AO$2:$AO$1001,1,'Per Line'!$AP$2:$AP$1001,0))</f>
        <v/>
      </c>
      <c r="U21" s="7">
        <f>IF($Z21="","",T21*S21)</f>
        <v/>
      </c>
      <c r="V21" s="7">
        <f>IF($Z21="","",U21+R21)</f>
        <v/>
      </c>
      <c r="W21" s="7">
        <f>IF($Z21="","",X21-V21)</f>
        <v/>
      </c>
      <c r="X21" s="7">
        <f>IF($Z21="","",Q21+T21+O21)</f>
        <v/>
      </c>
      <c r="Y21" s="7">
        <f>IF($Z21="","",X21-V21-N21)</f>
        <v/>
      </c>
      <c r="Z21" s="13">
        <f>IF(ROWS($Z$2:$Z21)&lt;=MAX('Per Line'!$AN$2:$AN$1001),MATCH(ROWS($Z$2:$Z21),'Per Line'!$AN$2:$AN$1001,0),"")</f>
        <v/>
      </c>
    </row>
    <row r="22">
      <c r="A22" s="12" t="n"/>
      <c r="B22">
        <f>IF($Z22="","",INDEX('Per Line'!$D$2:$D$1001,$Z22)&amp;"")</f>
        <v/>
      </c>
      <c r="C22">
        <f>IF($Z22="","",INDEX('Per Line'!$B$2:$B$1001,$Z22)&amp;"")</f>
        <v/>
      </c>
      <c r="D22">
        <f>IF($Z22="","",INDEX('Per Line'!$A$2:$A$1001,$Z22))</f>
        <v/>
      </c>
      <c r="E22">
        <f>IF($Z22="","",INDEX('Per Line'!$E$2:$E$1001,$Z22)&amp;"")</f>
        <v/>
      </c>
      <c r="F22">
        <f>IF($Z22="","",INDEX('Per Line'!$F$2:$F$1001,$Z22)&amp;"")</f>
        <v/>
      </c>
      <c r="G22" s="11">
        <f>IF($Z22="","",INDEX('Per Line'!$G$2:$G$1001,$Z22))</f>
        <v/>
      </c>
      <c r="H22">
        <f>IF($Z22="","",INDEX('Per Line'!$I$2:$I$1001,$Z22)&amp;"")</f>
        <v/>
      </c>
      <c r="I22">
        <f>IF($Z22="","",INDEX('Per Line'!$J$2:$J$1001,$Z22)&amp;"")</f>
        <v/>
      </c>
      <c r="J22">
        <f>IF($Z22="","",INDEX('Per Line'!$K$2:$K$1001,$Z22)&amp;"")</f>
        <v/>
      </c>
      <c r="K22">
        <f>IF($Z22="","",INDEX('Per Line'!$L$2:$L$1001,$Z22)&amp;"")</f>
        <v/>
      </c>
      <c r="L22">
        <f>IF($Z22="","",INDEX('Per Line'!$M$2:$M$1001,$Z22)&amp;"")</f>
        <v/>
      </c>
      <c r="M22">
        <f>IF($Z22="","",INDEX('Per Line'!$P$2:$P$1001,$Z22))</f>
        <v/>
      </c>
      <c r="N22" s="7">
        <f>IF($Z22="","",M22*X22/100)</f>
        <v/>
      </c>
      <c r="O22" s="7">
        <f>IF($Z22="","",SUMIFS('Per Line'!$Y$2:$Y$1001,'Per Line'!$D$2:$D$1001,$B22,'Per Line'!$AP$2:$AP$1001,1))</f>
        <v/>
      </c>
      <c r="P22">
        <f>IF($Z22="","",Settings!$C$7)</f>
        <v/>
      </c>
      <c r="Q22" s="7">
        <f>IF($Z22="","",SUMIFS('Per Line'!$Y$2:$Y$1001,'Per Line'!$D$2:$D$1001,$B22,'Per Line'!$AO$2:$AO$1001,0,'Per Line'!$AP$2:$AP$1001,0))</f>
        <v/>
      </c>
      <c r="R22" s="7">
        <f>IF($Z22="","",Q22*P22)</f>
        <v/>
      </c>
      <c r="S22">
        <f>IF($Z22="","",Settings!$C$6)</f>
        <v/>
      </c>
      <c r="T22" s="7">
        <f>IF($Z22="","",SUMIFS('Per Line'!$Y$2:$Y$1001,'Per Line'!$D$2:$D$1001,$B22,'Per Line'!$AO$2:$AO$1001,1,'Per Line'!$AP$2:$AP$1001,0))</f>
        <v/>
      </c>
      <c r="U22" s="7">
        <f>IF($Z22="","",T22*S22)</f>
        <v/>
      </c>
      <c r="V22" s="7">
        <f>IF($Z22="","",U22+R22)</f>
        <v/>
      </c>
      <c r="W22" s="7">
        <f>IF($Z22="","",X22-V22)</f>
        <v/>
      </c>
      <c r="X22" s="7">
        <f>IF($Z22="","",Q22+T22+O22)</f>
        <v/>
      </c>
      <c r="Y22" s="7">
        <f>IF($Z22="","",X22-V22-N22)</f>
        <v/>
      </c>
      <c r="Z22" s="13">
        <f>IF(ROWS($Z$2:$Z22)&lt;=MAX('Per Line'!$AN$2:$AN$1001),MATCH(ROWS($Z$2:$Z22),'Per Line'!$AN$2:$AN$1001,0),"")</f>
        <v/>
      </c>
    </row>
    <row r="23">
      <c r="A23" s="12" t="n"/>
      <c r="B23">
        <f>IF($Z23="","",INDEX('Per Line'!$D$2:$D$1001,$Z23)&amp;"")</f>
        <v/>
      </c>
      <c r="C23">
        <f>IF($Z23="","",INDEX('Per Line'!$B$2:$B$1001,$Z23)&amp;"")</f>
        <v/>
      </c>
      <c r="D23">
        <f>IF($Z23="","",INDEX('Per Line'!$A$2:$A$1001,$Z23))</f>
        <v/>
      </c>
      <c r="E23">
        <f>IF($Z23="","",INDEX('Per Line'!$E$2:$E$1001,$Z23)&amp;"")</f>
        <v/>
      </c>
      <c r="F23">
        <f>IF($Z23="","",INDEX('Per Line'!$F$2:$F$1001,$Z23)&amp;"")</f>
        <v/>
      </c>
      <c r="G23" s="11">
        <f>IF($Z23="","",INDEX('Per Line'!$G$2:$G$1001,$Z23))</f>
        <v/>
      </c>
      <c r="H23">
        <f>IF($Z23="","",INDEX('Per Line'!$I$2:$I$1001,$Z23)&amp;"")</f>
        <v/>
      </c>
      <c r="I23">
        <f>IF($Z23="","",INDEX('Per Line'!$J$2:$J$1001,$Z23)&amp;"")</f>
        <v/>
      </c>
      <c r="J23">
        <f>IF($Z23="","",INDEX('Per Line'!$K$2:$K$1001,$Z23)&amp;"")</f>
        <v/>
      </c>
      <c r="K23">
        <f>IF($Z23="","",INDEX('Per Line'!$L$2:$L$1001,$Z23)&amp;"")</f>
        <v/>
      </c>
      <c r="L23">
        <f>IF($Z23="","",INDEX('Per Line'!$M$2:$M$1001,$Z23)&amp;"")</f>
        <v/>
      </c>
      <c r="M23">
        <f>IF($Z23="","",INDEX('Per Line'!$P$2:$P$1001,$Z23))</f>
        <v/>
      </c>
      <c r="N23" s="7">
        <f>IF($Z23="","",M23*X23/100)</f>
        <v/>
      </c>
      <c r="O23" s="7">
        <f>IF($Z23="","",SUMIFS('Per Line'!$Y$2:$Y$1001,'Per Line'!$D$2:$D$1001,$B23,'Per Line'!$AP$2:$AP$1001,1))</f>
        <v/>
      </c>
      <c r="P23">
        <f>IF($Z23="","",Settings!$C$7)</f>
        <v/>
      </c>
      <c r="Q23" s="7">
        <f>IF($Z23="","",SUMIFS('Per Line'!$Y$2:$Y$1001,'Per Line'!$D$2:$D$1001,$B23,'Per Line'!$AO$2:$AO$1001,0,'Per Line'!$AP$2:$AP$1001,0))</f>
        <v/>
      </c>
      <c r="R23" s="7">
        <f>IF($Z23="","",Q23*P23)</f>
        <v/>
      </c>
      <c r="S23">
        <f>IF($Z23="","",Settings!$C$6)</f>
        <v/>
      </c>
      <c r="T23" s="7">
        <f>IF($Z23="","",SUMIFS('Per Line'!$Y$2:$Y$1001,'Per Line'!$D$2:$D$1001,$B23,'Per Line'!$AO$2:$AO$1001,1,'Per Line'!$AP$2:$AP$1001,0))</f>
        <v/>
      </c>
      <c r="U23" s="7">
        <f>IF($Z23="","",T23*S23)</f>
        <v/>
      </c>
      <c r="V23" s="7">
        <f>IF($Z23="","",U23+R23)</f>
        <v/>
      </c>
      <c r="W23" s="7">
        <f>IF($Z23="","",X23-V23)</f>
        <v/>
      </c>
      <c r="X23" s="7">
        <f>IF($Z23="","",Q23+T23+O23)</f>
        <v/>
      </c>
      <c r="Y23" s="7">
        <f>IF($Z23="","",X23-V23-N23)</f>
        <v/>
      </c>
      <c r="Z23" s="13">
        <f>IF(ROWS($Z$2:$Z23)&lt;=MAX('Per Line'!$AN$2:$AN$1001),MATCH(ROWS($Z$2:$Z23),'Per Line'!$AN$2:$AN$1001,0),"")</f>
        <v/>
      </c>
    </row>
    <row r="24">
      <c r="A24" s="12" t="n"/>
      <c r="B24">
        <f>IF($Z24="","",INDEX('Per Line'!$D$2:$D$1001,$Z24)&amp;"")</f>
        <v/>
      </c>
      <c r="C24">
        <f>IF($Z24="","",INDEX('Per Line'!$B$2:$B$1001,$Z24)&amp;"")</f>
        <v/>
      </c>
      <c r="D24">
        <f>IF($Z24="","",INDEX('Per Line'!$A$2:$A$1001,$Z24))</f>
        <v/>
      </c>
      <c r="E24">
        <f>IF($Z24="","",INDEX('Per Line'!$E$2:$E$1001,$Z24)&amp;"")</f>
        <v/>
      </c>
      <c r="F24">
        <f>IF($Z24="","",INDEX('Per Line'!$F$2:$F$1001,$Z24)&amp;"")</f>
        <v/>
      </c>
      <c r="G24" s="11">
        <f>IF($Z24="","",INDEX('Per Line'!$G$2:$G$1001,$Z24))</f>
        <v/>
      </c>
      <c r="H24">
        <f>IF($Z24="","",INDEX('Per Line'!$I$2:$I$1001,$Z24)&amp;"")</f>
        <v/>
      </c>
      <c r="I24">
        <f>IF($Z24="","",INDEX('Per Line'!$J$2:$J$1001,$Z24)&amp;"")</f>
        <v/>
      </c>
      <c r="J24">
        <f>IF($Z24="","",INDEX('Per Line'!$K$2:$K$1001,$Z24)&amp;"")</f>
        <v/>
      </c>
      <c r="K24">
        <f>IF($Z24="","",INDEX('Per Line'!$L$2:$L$1001,$Z24)&amp;"")</f>
        <v/>
      </c>
      <c r="L24">
        <f>IF($Z24="","",INDEX('Per Line'!$M$2:$M$1001,$Z24)&amp;"")</f>
        <v/>
      </c>
      <c r="M24">
        <f>IF($Z24="","",INDEX('Per Line'!$P$2:$P$1001,$Z24))</f>
        <v/>
      </c>
      <c r="N24" s="7">
        <f>IF($Z24="","",M24*X24/100)</f>
        <v/>
      </c>
      <c r="O24" s="7">
        <f>IF($Z24="","",SUMIFS('Per Line'!$Y$2:$Y$1001,'Per Line'!$D$2:$D$1001,$B24,'Per Line'!$AP$2:$AP$1001,1))</f>
        <v/>
      </c>
      <c r="P24">
        <f>IF($Z24="","",Settings!$C$7)</f>
        <v/>
      </c>
      <c r="Q24" s="7">
        <f>IF($Z24="","",SUMIFS('Per Line'!$Y$2:$Y$1001,'Per Line'!$D$2:$D$1001,$B24,'Per Line'!$AO$2:$AO$1001,0,'Per Line'!$AP$2:$AP$1001,0))</f>
        <v/>
      </c>
      <c r="R24" s="7">
        <f>IF($Z24="","",Q24*P24)</f>
        <v/>
      </c>
      <c r="S24">
        <f>IF($Z24="","",Settings!$C$6)</f>
        <v/>
      </c>
      <c r="T24" s="7">
        <f>IF($Z24="","",SUMIFS('Per Line'!$Y$2:$Y$1001,'Per Line'!$D$2:$D$1001,$B24,'Per Line'!$AO$2:$AO$1001,1,'Per Line'!$AP$2:$AP$1001,0))</f>
        <v/>
      </c>
      <c r="U24" s="7">
        <f>IF($Z24="","",T24*S24)</f>
        <v/>
      </c>
      <c r="V24" s="7">
        <f>IF($Z24="","",U24+R24)</f>
        <v/>
      </c>
      <c r="W24" s="7">
        <f>IF($Z24="","",X24-V24)</f>
        <v/>
      </c>
      <c r="X24" s="7">
        <f>IF($Z24="","",Q24+T24+O24)</f>
        <v/>
      </c>
      <c r="Y24" s="7">
        <f>IF($Z24="","",X24-V24-N24)</f>
        <v/>
      </c>
      <c r="Z24" s="13">
        <f>IF(ROWS($Z$2:$Z24)&lt;=MAX('Per Line'!$AN$2:$AN$1001),MATCH(ROWS($Z$2:$Z24),'Per Line'!$AN$2:$AN$1001,0),"")</f>
        <v/>
      </c>
    </row>
    <row r="25">
      <c r="A25" s="12" t="n"/>
      <c r="B25">
        <f>IF($Z25="","",INDEX('Per Line'!$D$2:$D$1001,$Z25)&amp;"")</f>
        <v/>
      </c>
      <c r="C25">
        <f>IF($Z25="","",INDEX('Per Line'!$B$2:$B$1001,$Z25)&amp;"")</f>
        <v/>
      </c>
      <c r="D25">
        <f>IF($Z25="","",INDEX('Per Line'!$A$2:$A$1001,$Z25))</f>
        <v/>
      </c>
      <c r="E25">
        <f>IF($Z25="","",INDEX('Per Line'!$E$2:$E$1001,$Z25)&amp;"")</f>
        <v/>
      </c>
      <c r="F25">
        <f>IF($Z25="","",INDEX('Per Line'!$F$2:$F$1001,$Z25)&amp;"")</f>
        <v/>
      </c>
      <c r="G25" s="11">
        <f>IF($Z25="","",INDEX('Per Line'!$G$2:$G$1001,$Z25))</f>
        <v/>
      </c>
      <c r="H25">
        <f>IF($Z25="","",INDEX('Per Line'!$I$2:$I$1001,$Z25)&amp;"")</f>
        <v/>
      </c>
      <c r="I25">
        <f>IF($Z25="","",INDEX('Per Line'!$J$2:$J$1001,$Z25)&amp;"")</f>
        <v/>
      </c>
      <c r="J25">
        <f>IF($Z25="","",INDEX('Per Line'!$K$2:$K$1001,$Z25)&amp;"")</f>
        <v/>
      </c>
      <c r="K25">
        <f>IF($Z25="","",INDEX('Per Line'!$L$2:$L$1001,$Z25)&amp;"")</f>
        <v/>
      </c>
      <c r="L25">
        <f>IF($Z25="","",INDEX('Per Line'!$M$2:$M$1001,$Z25)&amp;"")</f>
        <v/>
      </c>
      <c r="M25">
        <f>IF($Z25="","",INDEX('Per Line'!$P$2:$P$1001,$Z25))</f>
        <v/>
      </c>
      <c r="N25" s="7">
        <f>IF($Z25="","",M25*X25/100)</f>
        <v/>
      </c>
      <c r="O25" s="7">
        <f>IF($Z25="","",SUMIFS('Per Line'!$Y$2:$Y$1001,'Per Line'!$D$2:$D$1001,$B25,'Per Line'!$AP$2:$AP$1001,1))</f>
        <v/>
      </c>
      <c r="P25">
        <f>IF($Z25="","",Settings!$C$7)</f>
        <v/>
      </c>
      <c r="Q25" s="7">
        <f>IF($Z25="","",SUMIFS('Per Line'!$Y$2:$Y$1001,'Per Line'!$D$2:$D$1001,$B25,'Per Line'!$AO$2:$AO$1001,0,'Per Line'!$AP$2:$AP$1001,0))</f>
        <v/>
      </c>
      <c r="R25" s="7">
        <f>IF($Z25="","",Q25*P25)</f>
        <v/>
      </c>
      <c r="S25">
        <f>IF($Z25="","",Settings!$C$6)</f>
        <v/>
      </c>
      <c r="T25" s="7">
        <f>IF($Z25="","",SUMIFS('Per Line'!$Y$2:$Y$1001,'Per Line'!$D$2:$D$1001,$B25,'Per Line'!$AO$2:$AO$1001,1,'Per Line'!$AP$2:$AP$1001,0))</f>
        <v/>
      </c>
      <c r="U25" s="7">
        <f>IF($Z25="","",T25*S25)</f>
        <v/>
      </c>
      <c r="V25" s="7">
        <f>IF($Z25="","",U25+R25)</f>
        <v/>
      </c>
      <c r="W25" s="7">
        <f>IF($Z25="","",X25-V25)</f>
        <v/>
      </c>
      <c r="X25" s="7">
        <f>IF($Z25="","",Q25+T25+O25)</f>
        <v/>
      </c>
      <c r="Y25" s="7">
        <f>IF($Z25="","",X25-V25-N25)</f>
        <v/>
      </c>
      <c r="Z25" s="13">
        <f>IF(ROWS($Z$2:$Z25)&lt;=MAX('Per Line'!$AN$2:$AN$1001),MATCH(ROWS($Z$2:$Z25),'Per Line'!$AN$2:$AN$1001,0),"")</f>
        <v/>
      </c>
    </row>
    <row r="26">
      <c r="A26" s="12" t="n"/>
      <c r="B26">
        <f>IF($Z26="","",INDEX('Per Line'!$D$2:$D$1001,$Z26)&amp;"")</f>
        <v/>
      </c>
      <c r="C26">
        <f>IF($Z26="","",INDEX('Per Line'!$B$2:$B$1001,$Z26)&amp;"")</f>
        <v/>
      </c>
      <c r="D26">
        <f>IF($Z26="","",INDEX('Per Line'!$A$2:$A$1001,$Z26))</f>
        <v/>
      </c>
      <c r="E26">
        <f>IF($Z26="","",INDEX('Per Line'!$E$2:$E$1001,$Z26)&amp;"")</f>
        <v/>
      </c>
      <c r="F26">
        <f>IF($Z26="","",INDEX('Per Line'!$F$2:$F$1001,$Z26)&amp;"")</f>
        <v/>
      </c>
      <c r="G26" s="11">
        <f>IF($Z26="","",INDEX('Per Line'!$G$2:$G$1001,$Z26))</f>
        <v/>
      </c>
      <c r="H26">
        <f>IF($Z26="","",INDEX('Per Line'!$I$2:$I$1001,$Z26)&amp;"")</f>
        <v/>
      </c>
      <c r="I26">
        <f>IF($Z26="","",INDEX('Per Line'!$J$2:$J$1001,$Z26)&amp;"")</f>
        <v/>
      </c>
      <c r="J26">
        <f>IF($Z26="","",INDEX('Per Line'!$K$2:$K$1001,$Z26)&amp;"")</f>
        <v/>
      </c>
      <c r="K26">
        <f>IF($Z26="","",INDEX('Per Line'!$L$2:$L$1001,$Z26)&amp;"")</f>
        <v/>
      </c>
      <c r="L26">
        <f>IF($Z26="","",INDEX('Per Line'!$M$2:$M$1001,$Z26)&amp;"")</f>
        <v/>
      </c>
      <c r="M26">
        <f>IF($Z26="","",INDEX('Per Line'!$P$2:$P$1001,$Z26))</f>
        <v/>
      </c>
      <c r="N26" s="7">
        <f>IF($Z26="","",M26*X26/100)</f>
        <v/>
      </c>
      <c r="O26" s="7">
        <f>IF($Z26="","",SUMIFS('Per Line'!$Y$2:$Y$1001,'Per Line'!$D$2:$D$1001,$B26,'Per Line'!$AP$2:$AP$1001,1))</f>
        <v/>
      </c>
      <c r="P26">
        <f>IF($Z26="","",Settings!$C$7)</f>
        <v/>
      </c>
      <c r="Q26" s="7">
        <f>IF($Z26="","",SUMIFS('Per Line'!$Y$2:$Y$1001,'Per Line'!$D$2:$D$1001,$B26,'Per Line'!$AO$2:$AO$1001,0,'Per Line'!$AP$2:$AP$1001,0))</f>
        <v/>
      </c>
      <c r="R26" s="7">
        <f>IF($Z26="","",Q26*P26)</f>
        <v/>
      </c>
      <c r="S26">
        <f>IF($Z26="","",Settings!$C$6)</f>
        <v/>
      </c>
      <c r="T26" s="7">
        <f>IF($Z26="","",SUMIFS('Per Line'!$Y$2:$Y$1001,'Per Line'!$D$2:$D$1001,$B26,'Per Line'!$AO$2:$AO$1001,1,'Per Line'!$AP$2:$AP$1001,0))</f>
        <v/>
      </c>
      <c r="U26" s="7">
        <f>IF($Z26="","",T26*S26)</f>
        <v/>
      </c>
      <c r="V26" s="7">
        <f>IF($Z26="","",U26+R26)</f>
        <v/>
      </c>
      <c r="W26" s="7">
        <f>IF($Z26="","",X26-V26)</f>
        <v/>
      </c>
      <c r="X26" s="7">
        <f>IF($Z26="","",Q26+T26+O26)</f>
        <v/>
      </c>
      <c r="Y26" s="7">
        <f>IF($Z26="","",X26-V26-N26)</f>
        <v/>
      </c>
      <c r="Z26" s="13">
        <f>IF(ROWS($Z$2:$Z26)&lt;=MAX('Per Line'!$AN$2:$AN$1001),MATCH(ROWS($Z$2:$Z26),'Per Line'!$AN$2:$AN$1001,0),"")</f>
        <v/>
      </c>
    </row>
    <row r="27">
      <c r="A27" s="12" t="n"/>
      <c r="B27">
        <f>IF($Z27="","",INDEX('Per Line'!$D$2:$D$1001,$Z27)&amp;"")</f>
        <v/>
      </c>
      <c r="C27">
        <f>IF($Z27="","",INDEX('Per Line'!$B$2:$B$1001,$Z27)&amp;"")</f>
        <v/>
      </c>
      <c r="D27">
        <f>IF($Z27="","",INDEX('Per Line'!$A$2:$A$1001,$Z27))</f>
        <v/>
      </c>
      <c r="E27">
        <f>IF($Z27="","",INDEX('Per Line'!$E$2:$E$1001,$Z27)&amp;"")</f>
        <v/>
      </c>
      <c r="F27">
        <f>IF($Z27="","",INDEX('Per Line'!$F$2:$F$1001,$Z27)&amp;"")</f>
        <v/>
      </c>
      <c r="G27" s="11">
        <f>IF($Z27="","",INDEX('Per Line'!$G$2:$G$1001,$Z27))</f>
        <v/>
      </c>
      <c r="H27">
        <f>IF($Z27="","",INDEX('Per Line'!$I$2:$I$1001,$Z27)&amp;"")</f>
        <v/>
      </c>
      <c r="I27">
        <f>IF($Z27="","",INDEX('Per Line'!$J$2:$J$1001,$Z27)&amp;"")</f>
        <v/>
      </c>
      <c r="J27">
        <f>IF($Z27="","",INDEX('Per Line'!$K$2:$K$1001,$Z27)&amp;"")</f>
        <v/>
      </c>
      <c r="K27">
        <f>IF($Z27="","",INDEX('Per Line'!$L$2:$L$1001,$Z27)&amp;"")</f>
        <v/>
      </c>
      <c r="L27">
        <f>IF($Z27="","",INDEX('Per Line'!$M$2:$M$1001,$Z27)&amp;"")</f>
        <v/>
      </c>
      <c r="M27">
        <f>IF($Z27="","",INDEX('Per Line'!$P$2:$P$1001,$Z27))</f>
        <v/>
      </c>
      <c r="N27" s="7">
        <f>IF($Z27="","",M27*X27/100)</f>
        <v/>
      </c>
      <c r="O27" s="7">
        <f>IF($Z27="","",SUMIFS('Per Line'!$Y$2:$Y$1001,'Per Line'!$D$2:$D$1001,$B27,'Per Line'!$AP$2:$AP$1001,1))</f>
        <v/>
      </c>
      <c r="P27">
        <f>IF($Z27="","",Settings!$C$7)</f>
        <v/>
      </c>
      <c r="Q27" s="7">
        <f>IF($Z27="","",SUMIFS('Per Line'!$Y$2:$Y$1001,'Per Line'!$D$2:$D$1001,$B27,'Per Line'!$AO$2:$AO$1001,0,'Per Line'!$AP$2:$AP$1001,0))</f>
        <v/>
      </c>
      <c r="R27" s="7">
        <f>IF($Z27="","",Q27*P27)</f>
        <v/>
      </c>
      <c r="S27">
        <f>IF($Z27="","",Settings!$C$6)</f>
        <v/>
      </c>
      <c r="T27" s="7">
        <f>IF($Z27="","",SUMIFS('Per Line'!$Y$2:$Y$1001,'Per Line'!$D$2:$D$1001,$B27,'Per Line'!$AO$2:$AO$1001,1,'Per Line'!$AP$2:$AP$1001,0))</f>
        <v/>
      </c>
      <c r="U27" s="7">
        <f>IF($Z27="","",T27*S27)</f>
        <v/>
      </c>
      <c r="V27" s="7">
        <f>IF($Z27="","",U27+R27)</f>
        <v/>
      </c>
      <c r="W27" s="7">
        <f>IF($Z27="","",X27-V27)</f>
        <v/>
      </c>
      <c r="X27" s="7">
        <f>IF($Z27="","",Q27+T27+O27)</f>
        <v/>
      </c>
      <c r="Y27" s="7">
        <f>IF($Z27="","",X27-V27-N27)</f>
        <v/>
      </c>
      <c r="Z27" s="13">
        <f>IF(ROWS($Z$2:$Z27)&lt;=MAX('Per Line'!$AN$2:$AN$1001),MATCH(ROWS($Z$2:$Z27),'Per Line'!$AN$2:$AN$1001,0),"")</f>
        <v/>
      </c>
    </row>
    <row r="28">
      <c r="A28" s="12" t="n"/>
      <c r="B28">
        <f>IF($Z28="","",INDEX('Per Line'!$D$2:$D$1001,$Z28)&amp;"")</f>
        <v/>
      </c>
      <c r="C28">
        <f>IF($Z28="","",INDEX('Per Line'!$B$2:$B$1001,$Z28)&amp;"")</f>
        <v/>
      </c>
      <c r="D28">
        <f>IF($Z28="","",INDEX('Per Line'!$A$2:$A$1001,$Z28))</f>
        <v/>
      </c>
      <c r="E28">
        <f>IF($Z28="","",INDEX('Per Line'!$E$2:$E$1001,$Z28)&amp;"")</f>
        <v/>
      </c>
      <c r="F28">
        <f>IF($Z28="","",INDEX('Per Line'!$F$2:$F$1001,$Z28)&amp;"")</f>
        <v/>
      </c>
      <c r="G28" s="11">
        <f>IF($Z28="","",INDEX('Per Line'!$G$2:$G$1001,$Z28))</f>
        <v/>
      </c>
      <c r="H28">
        <f>IF($Z28="","",INDEX('Per Line'!$I$2:$I$1001,$Z28)&amp;"")</f>
        <v/>
      </c>
      <c r="I28">
        <f>IF($Z28="","",INDEX('Per Line'!$J$2:$J$1001,$Z28)&amp;"")</f>
        <v/>
      </c>
      <c r="J28">
        <f>IF($Z28="","",INDEX('Per Line'!$K$2:$K$1001,$Z28)&amp;"")</f>
        <v/>
      </c>
      <c r="K28">
        <f>IF($Z28="","",INDEX('Per Line'!$L$2:$L$1001,$Z28)&amp;"")</f>
        <v/>
      </c>
      <c r="L28">
        <f>IF($Z28="","",INDEX('Per Line'!$M$2:$M$1001,$Z28)&amp;"")</f>
        <v/>
      </c>
      <c r="M28">
        <f>IF($Z28="","",INDEX('Per Line'!$P$2:$P$1001,$Z28))</f>
        <v/>
      </c>
      <c r="N28" s="7">
        <f>IF($Z28="","",M28*X28/100)</f>
        <v/>
      </c>
      <c r="O28" s="7">
        <f>IF($Z28="","",SUMIFS('Per Line'!$Y$2:$Y$1001,'Per Line'!$D$2:$D$1001,$B28,'Per Line'!$AP$2:$AP$1001,1))</f>
        <v/>
      </c>
      <c r="P28">
        <f>IF($Z28="","",Settings!$C$7)</f>
        <v/>
      </c>
      <c r="Q28" s="7">
        <f>IF($Z28="","",SUMIFS('Per Line'!$Y$2:$Y$1001,'Per Line'!$D$2:$D$1001,$B28,'Per Line'!$AO$2:$AO$1001,0,'Per Line'!$AP$2:$AP$1001,0))</f>
        <v/>
      </c>
      <c r="R28" s="7">
        <f>IF($Z28="","",Q28*P28)</f>
        <v/>
      </c>
      <c r="S28">
        <f>IF($Z28="","",Settings!$C$6)</f>
        <v/>
      </c>
      <c r="T28" s="7">
        <f>IF($Z28="","",SUMIFS('Per Line'!$Y$2:$Y$1001,'Per Line'!$D$2:$D$1001,$B28,'Per Line'!$AO$2:$AO$1001,1,'Per Line'!$AP$2:$AP$1001,0))</f>
        <v/>
      </c>
      <c r="U28" s="7">
        <f>IF($Z28="","",T28*S28)</f>
        <v/>
      </c>
      <c r="V28" s="7">
        <f>IF($Z28="","",U28+R28)</f>
        <v/>
      </c>
      <c r="W28" s="7">
        <f>IF($Z28="","",X28-V28)</f>
        <v/>
      </c>
      <c r="X28" s="7">
        <f>IF($Z28="","",Q28+T28+O28)</f>
        <v/>
      </c>
      <c r="Y28" s="7">
        <f>IF($Z28="","",X28-V28-N28)</f>
        <v/>
      </c>
      <c r="Z28" s="13">
        <f>IF(ROWS($Z$2:$Z28)&lt;=MAX('Per Line'!$AN$2:$AN$1001),MATCH(ROWS($Z$2:$Z28),'Per Line'!$AN$2:$AN$1001,0),"")</f>
        <v/>
      </c>
    </row>
    <row r="29">
      <c r="A29" s="12" t="n"/>
      <c r="B29">
        <f>IF($Z29="","",INDEX('Per Line'!$D$2:$D$1001,$Z29)&amp;"")</f>
        <v/>
      </c>
      <c r="C29">
        <f>IF($Z29="","",INDEX('Per Line'!$B$2:$B$1001,$Z29)&amp;"")</f>
        <v/>
      </c>
      <c r="D29">
        <f>IF($Z29="","",INDEX('Per Line'!$A$2:$A$1001,$Z29))</f>
        <v/>
      </c>
      <c r="E29">
        <f>IF($Z29="","",INDEX('Per Line'!$E$2:$E$1001,$Z29)&amp;"")</f>
        <v/>
      </c>
      <c r="F29">
        <f>IF($Z29="","",INDEX('Per Line'!$F$2:$F$1001,$Z29)&amp;"")</f>
        <v/>
      </c>
      <c r="G29" s="11">
        <f>IF($Z29="","",INDEX('Per Line'!$G$2:$G$1001,$Z29))</f>
        <v/>
      </c>
      <c r="H29">
        <f>IF($Z29="","",INDEX('Per Line'!$I$2:$I$1001,$Z29)&amp;"")</f>
        <v/>
      </c>
      <c r="I29">
        <f>IF($Z29="","",INDEX('Per Line'!$J$2:$J$1001,$Z29)&amp;"")</f>
        <v/>
      </c>
      <c r="J29">
        <f>IF($Z29="","",INDEX('Per Line'!$K$2:$K$1001,$Z29)&amp;"")</f>
        <v/>
      </c>
      <c r="K29">
        <f>IF($Z29="","",INDEX('Per Line'!$L$2:$L$1001,$Z29)&amp;"")</f>
        <v/>
      </c>
      <c r="L29">
        <f>IF($Z29="","",INDEX('Per Line'!$M$2:$M$1001,$Z29)&amp;"")</f>
        <v/>
      </c>
      <c r="M29">
        <f>IF($Z29="","",INDEX('Per Line'!$P$2:$P$1001,$Z29))</f>
        <v/>
      </c>
      <c r="N29" s="7">
        <f>IF($Z29="","",M29*X29/100)</f>
        <v/>
      </c>
      <c r="O29" s="7">
        <f>IF($Z29="","",SUMIFS('Per Line'!$Y$2:$Y$1001,'Per Line'!$D$2:$D$1001,$B29,'Per Line'!$AP$2:$AP$1001,1))</f>
        <v/>
      </c>
      <c r="P29">
        <f>IF($Z29="","",Settings!$C$7)</f>
        <v/>
      </c>
      <c r="Q29" s="7">
        <f>IF($Z29="","",SUMIFS('Per Line'!$Y$2:$Y$1001,'Per Line'!$D$2:$D$1001,$B29,'Per Line'!$AO$2:$AO$1001,0,'Per Line'!$AP$2:$AP$1001,0))</f>
        <v/>
      </c>
      <c r="R29" s="7">
        <f>IF($Z29="","",Q29*P29)</f>
        <v/>
      </c>
      <c r="S29">
        <f>IF($Z29="","",Settings!$C$6)</f>
        <v/>
      </c>
      <c r="T29" s="7">
        <f>IF($Z29="","",SUMIFS('Per Line'!$Y$2:$Y$1001,'Per Line'!$D$2:$D$1001,$B29,'Per Line'!$AO$2:$AO$1001,1,'Per Line'!$AP$2:$AP$1001,0))</f>
        <v/>
      </c>
      <c r="U29" s="7">
        <f>IF($Z29="","",T29*S29)</f>
        <v/>
      </c>
      <c r="V29" s="7">
        <f>IF($Z29="","",U29+R29)</f>
        <v/>
      </c>
      <c r="W29" s="7">
        <f>IF($Z29="","",X29-V29)</f>
        <v/>
      </c>
      <c r="X29" s="7">
        <f>IF($Z29="","",Q29+T29+O29)</f>
        <v/>
      </c>
      <c r="Y29" s="7">
        <f>IF($Z29="","",X29-V29-N29)</f>
        <v/>
      </c>
      <c r="Z29" s="13">
        <f>IF(ROWS($Z$2:$Z29)&lt;=MAX('Per Line'!$AN$2:$AN$1001),MATCH(ROWS($Z$2:$Z29),'Per Line'!$AN$2:$AN$1001,0),"")</f>
        <v/>
      </c>
    </row>
    <row r="30">
      <c r="A30" s="12" t="n"/>
      <c r="B30">
        <f>IF($Z30="","",INDEX('Per Line'!$D$2:$D$1001,$Z30)&amp;"")</f>
        <v/>
      </c>
      <c r="C30">
        <f>IF($Z30="","",INDEX('Per Line'!$B$2:$B$1001,$Z30)&amp;"")</f>
        <v/>
      </c>
      <c r="D30">
        <f>IF($Z30="","",INDEX('Per Line'!$A$2:$A$1001,$Z30))</f>
        <v/>
      </c>
      <c r="E30">
        <f>IF($Z30="","",INDEX('Per Line'!$E$2:$E$1001,$Z30)&amp;"")</f>
        <v/>
      </c>
      <c r="F30">
        <f>IF($Z30="","",INDEX('Per Line'!$F$2:$F$1001,$Z30)&amp;"")</f>
        <v/>
      </c>
      <c r="G30" s="11">
        <f>IF($Z30="","",INDEX('Per Line'!$G$2:$G$1001,$Z30))</f>
        <v/>
      </c>
      <c r="H30">
        <f>IF($Z30="","",INDEX('Per Line'!$I$2:$I$1001,$Z30)&amp;"")</f>
        <v/>
      </c>
      <c r="I30">
        <f>IF($Z30="","",INDEX('Per Line'!$J$2:$J$1001,$Z30)&amp;"")</f>
        <v/>
      </c>
      <c r="J30">
        <f>IF($Z30="","",INDEX('Per Line'!$K$2:$K$1001,$Z30)&amp;"")</f>
        <v/>
      </c>
      <c r="K30">
        <f>IF($Z30="","",INDEX('Per Line'!$L$2:$L$1001,$Z30)&amp;"")</f>
        <v/>
      </c>
      <c r="L30">
        <f>IF($Z30="","",INDEX('Per Line'!$M$2:$M$1001,$Z30)&amp;"")</f>
        <v/>
      </c>
      <c r="M30">
        <f>IF($Z30="","",INDEX('Per Line'!$P$2:$P$1001,$Z30))</f>
        <v/>
      </c>
      <c r="N30" s="7">
        <f>IF($Z30="","",M30*X30/100)</f>
        <v/>
      </c>
      <c r="O30" s="7">
        <f>IF($Z30="","",SUMIFS('Per Line'!$Y$2:$Y$1001,'Per Line'!$D$2:$D$1001,$B30,'Per Line'!$AP$2:$AP$1001,1))</f>
        <v/>
      </c>
      <c r="P30">
        <f>IF($Z30="","",Settings!$C$7)</f>
        <v/>
      </c>
      <c r="Q30" s="7">
        <f>IF($Z30="","",SUMIFS('Per Line'!$Y$2:$Y$1001,'Per Line'!$D$2:$D$1001,$B30,'Per Line'!$AO$2:$AO$1001,0,'Per Line'!$AP$2:$AP$1001,0))</f>
        <v/>
      </c>
      <c r="R30" s="7">
        <f>IF($Z30="","",Q30*P30)</f>
        <v/>
      </c>
      <c r="S30">
        <f>IF($Z30="","",Settings!$C$6)</f>
        <v/>
      </c>
      <c r="T30" s="7">
        <f>IF($Z30="","",SUMIFS('Per Line'!$Y$2:$Y$1001,'Per Line'!$D$2:$D$1001,$B30,'Per Line'!$AO$2:$AO$1001,1,'Per Line'!$AP$2:$AP$1001,0))</f>
        <v/>
      </c>
      <c r="U30" s="7">
        <f>IF($Z30="","",T30*S30)</f>
        <v/>
      </c>
      <c r="V30" s="7">
        <f>IF($Z30="","",U30+R30)</f>
        <v/>
      </c>
      <c r="W30" s="7">
        <f>IF($Z30="","",X30-V30)</f>
        <v/>
      </c>
      <c r="X30" s="7">
        <f>IF($Z30="","",Q30+T30+O30)</f>
        <v/>
      </c>
      <c r="Y30" s="7">
        <f>IF($Z30="","",X30-V30-N30)</f>
        <v/>
      </c>
      <c r="Z30" s="13">
        <f>IF(ROWS($Z$2:$Z30)&lt;=MAX('Per Line'!$AN$2:$AN$1001),MATCH(ROWS($Z$2:$Z30),'Per Line'!$AN$2:$AN$1001,0),"")</f>
        <v/>
      </c>
    </row>
    <row r="31">
      <c r="A31" s="12" t="n"/>
      <c r="B31">
        <f>IF($Z31="","",INDEX('Per Line'!$D$2:$D$1001,$Z31)&amp;"")</f>
        <v/>
      </c>
      <c r="C31">
        <f>IF($Z31="","",INDEX('Per Line'!$B$2:$B$1001,$Z31)&amp;"")</f>
        <v/>
      </c>
      <c r="D31">
        <f>IF($Z31="","",INDEX('Per Line'!$A$2:$A$1001,$Z31))</f>
        <v/>
      </c>
      <c r="E31">
        <f>IF($Z31="","",INDEX('Per Line'!$E$2:$E$1001,$Z31)&amp;"")</f>
        <v/>
      </c>
      <c r="F31">
        <f>IF($Z31="","",INDEX('Per Line'!$F$2:$F$1001,$Z31)&amp;"")</f>
        <v/>
      </c>
      <c r="G31" s="11">
        <f>IF($Z31="","",INDEX('Per Line'!$G$2:$G$1001,$Z31))</f>
        <v/>
      </c>
      <c r="H31">
        <f>IF($Z31="","",INDEX('Per Line'!$I$2:$I$1001,$Z31)&amp;"")</f>
        <v/>
      </c>
      <c r="I31">
        <f>IF($Z31="","",INDEX('Per Line'!$J$2:$J$1001,$Z31)&amp;"")</f>
        <v/>
      </c>
      <c r="J31">
        <f>IF($Z31="","",INDEX('Per Line'!$K$2:$K$1001,$Z31)&amp;"")</f>
        <v/>
      </c>
      <c r="K31">
        <f>IF($Z31="","",INDEX('Per Line'!$L$2:$L$1001,$Z31)&amp;"")</f>
        <v/>
      </c>
      <c r="L31">
        <f>IF($Z31="","",INDEX('Per Line'!$M$2:$M$1001,$Z31)&amp;"")</f>
        <v/>
      </c>
      <c r="M31">
        <f>IF($Z31="","",INDEX('Per Line'!$P$2:$P$1001,$Z31))</f>
        <v/>
      </c>
      <c r="N31" s="7">
        <f>IF($Z31="","",M31*X31/100)</f>
        <v/>
      </c>
      <c r="O31" s="7">
        <f>IF($Z31="","",SUMIFS('Per Line'!$Y$2:$Y$1001,'Per Line'!$D$2:$D$1001,$B31,'Per Line'!$AP$2:$AP$1001,1))</f>
        <v/>
      </c>
      <c r="P31">
        <f>IF($Z31="","",Settings!$C$7)</f>
        <v/>
      </c>
      <c r="Q31" s="7">
        <f>IF($Z31="","",SUMIFS('Per Line'!$Y$2:$Y$1001,'Per Line'!$D$2:$D$1001,$B31,'Per Line'!$AO$2:$AO$1001,0,'Per Line'!$AP$2:$AP$1001,0))</f>
        <v/>
      </c>
      <c r="R31" s="7">
        <f>IF($Z31="","",Q31*P31)</f>
        <v/>
      </c>
      <c r="S31">
        <f>IF($Z31="","",Settings!$C$6)</f>
        <v/>
      </c>
      <c r="T31" s="7">
        <f>IF($Z31="","",SUMIFS('Per Line'!$Y$2:$Y$1001,'Per Line'!$D$2:$D$1001,$B31,'Per Line'!$AO$2:$AO$1001,1,'Per Line'!$AP$2:$AP$1001,0))</f>
        <v/>
      </c>
      <c r="U31" s="7">
        <f>IF($Z31="","",T31*S31)</f>
        <v/>
      </c>
      <c r="V31" s="7">
        <f>IF($Z31="","",U31+R31)</f>
        <v/>
      </c>
      <c r="W31" s="7">
        <f>IF($Z31="","",X31-V31)</f>
        <v/>
      </c>
      <c r="X31" s="7">
        <f>IF($Z31="","",Q31+T31+O31)</f>
        <v/>
      </c>
      <c r="Y31" s="7">
        <f>IF($Z31="","",X31-V31-N31)</f>
        <v/>
      </c>
      <c r="Z31" s="13">
        <f>IF(ROWS($Z$2:$Z31)&lt;=MAX('Per Line'!$AN$2:$AN$1001),MATCH(ROWS($Z$2:$Z31),'Per Line'!$AN$2:$AN$1001,0),"")</f>
        <v/>
      </c>
    </row>
    <row r="32">
      <c r="A32" s="12" t="n"/>
      <c r="B32">
        <f>IF($Z32="","",INDEX('Per Line'!$D$2:$D$1001,$Z32)&amp;"")</f>
        <v/>
      </c>
      <c r="C32">
        <f>IF($Z32="","",INDEX('Per Line'!$B$2:$B$1001,$Z32)&amp;"")</f>
        <v/>
      </c>
      <c r="D32">
        <f>IF($Z32="","",INDEX('Per Line'!$A$2:$A$1001,$Z32))</f>
        <v/>
      </c>
      <c r="E32">
        <f>IF($Z32="","",INDEX('Per Line'!$E$2:$E$1001,$Z32)&amp;"")</f>
        <v/>
      </c>
      <c r="F32">
        <f>IF($Z32="","",INDEX('Per Line'!$F$2:$F$1001,$Z32)&amp;"")</f>
        <v/>
      </c>
      <c r="G32" s="11">
        <f>IF($Z32="","",INDEX('Per Line'!$G$2:$G$1001,$Z32))</f>
        <v/>
      </c>
      <c r="H32">
        <f>IF($Z32="","",INDEX('Per Line'!$I$2:$I$1001,$Z32)&amp;"")</f>
        <v/>
      </c>
      <c r="I32">
        <f>IF($Z32="","",INDEX('Per Line'!$J$2:$J$1001,$Z32)&amp;"")</f>
        <v/>
      </c>
      <c r="J32">
        <f>IF($Z32="","",INDEX('Per Line'!$K$2:$K$1001,$Z32)&amp;"")</f>
        <v/>
      </c>
      <c r="K32">
        <f>IF($Z32="","",INDEX('Per Line'!$L$2:$L$1001,$Z32)&amp;"")</f>
        <v/>
      </c>
      <c r="L32">
        <f>IF($Z32="","",INDEX('Per Line'!$M$2:$M$1001,$Z32)&amp;"")</f>
        <v/>
      </c>
      <c r="M32">
        <f>IF($Z32="","",INDEX('Per Line'!$P$2:$P$1001,$Z32))</f>
        <v/>
      </c>
      <c r="N32" s="7">
        <f>IF($Z32="","",M32*X32/100)</f>
        <v/>
      </c>
      <c r="O32" s="7">
        <f>IF($Z32="","",SUMIFS('Per Line'!$Y$2:$Y$1001,'Per Line'!$D$2:$D$1001,$B32,'Per Line'!$AP$2:$AP$1001,1))</f>
        <v/>
      </c>
      <c r="P32">
        <f>IF($Z32="","",Settings!$C$7)</f>
        <v/>
      </c>
      <c r="Q32" s="7">
        <f>IF($Z32="","",SUMIFS('Per Line'!$Y$2:$Y$1001,'Per Line'!$D$2:$D$1001,$B32,'Per Line'!$AO$2:$AO$1001,0,'Per Line'!$AP$2:$AP$1001,0))</f>
        <v/>
      </c>
      <c r="R32" s="7">
        <f>IF($Z32="","",Q32*P32)</f>
        <v/>
      </c>
      <c r="S32">
        <f>IF($Z32="","",Settings!$C$6)</f>
        <v/>
      </c>
      <c r="T32" s="7">
        <f>IF($Z32="","",SUMIFS('Per Line'!$Y$2:$Y$1001,'Per Line'!$D$2:$D$1001,$B32,'Per Line'!$AO$2:$AO$1001,1,'Per Line'!$AP$2:$AP$1001,0))</f>
        <v/>
      </c>
      <c r="U32" s="7">
        <f>IF($Z32="","",T32*S32)</f>
        <v/>
      </c>
      <c r="V32" s="7">
        <f>IF($Z32="","",U32+R32)</f>
        <v/>
      </c>
      <c r="W32" s="7">
        <f>IF($Z32="","",X32-V32)</f>
        <v/>
      </c>
      <c r="X32" s="7">
        <f>IF($Z32="","",Q32+T32+O32)</f>
        <v/>
      </c>
      <c r="Y32" s="7">
        <f>IF($Z32="","",X32-V32-N32)</f>
        <v/>
      </c>
      <c r="Z32" s="13">
        <f>IF(ROWS($Z$2:$Z32)&lt;=MAX('Per Line'!$AN$2:$AN$1001),MATCH(ROWS($Z$2:$Z32),'Per Line'!$AN$2:$AN$1001,0),"")</f>
        <v/>
      </c>
    </row>
    <row r="33">
      <c r="A33" s="12" t="n"/>
      <c r="B33">
        <f>IF($Z33="","",INDEX('Per Line'!$D$2:$D$1001,$Z33)&amp;"")</f>
        <v/>
      </c>
      <c r="C33">
        <f>IF($Z33="","",INDEX('Per Line'!$B$2:$B$1001,$Z33)&amp;"")</f>
        <v/>
      </c>
      <c r="D33">
        <f>IF($Z33="","",INDEX('Per Line'!$A$2:$A$1001,$Z33))</f>
        <v/>
      </c>
      <c r="E33">
        <f>IF($Z33="","",INDEX('Per Line'!$E$2:$E$1001,$Z33)&amp;"")</f>
        <v/>
      </c>
      <c r="F33">
        <f>IF($Z33="","",INDEX('Per Line'!$F$2:$F$1001,$Z33)&amp;"")</f>
        <v/>
      </c>
      <c r="G33" s="11">
        <f>IF($Z33="","",INDEX('Per Line'!$G$2:$G$1001,$Z33))</f>
        <v/>
      </c>
      <c r="H33">
        <f>IF($Z33="","",INDEX('Per Line'!$I$2:$I$1001,$Z33)&amp;"")</f>
        <v/>
      </c>
      <c r="I33">
        <f>IF($Z33="","",INDEX('Per Line'!$J$2:$J$1001,$Z33)&amp;"")</f>
        <v/>
      </c>
      <c r="J33">
        <f>IF($Z33="","",INDEX('Per Line'!$K$2:$K$1001,$Z33)&amp;"")</f>
        <v/>
      </c>
      <c r="K33">
        <f>IF($Z33="","",INDEX('Per Line'!$L$2:$L$1001,$Z33)&amp;"")</f>
        <v/>
      </c>
      <c r="L33">
        <f>IF($Z33="","",INDEX('Per Line'!$M$2:$M$1001,$Z33)&amp;"")</f>
        <v/>
      </c>
      <c r="M33">
        <f>IF($Z33="","",INDEX('Per Line'!$P$2:$P$1001,$Z33))</f>
        <v/>
      </c>
      <c r="N33" s="7">
        <f>IF($Z33="","",M33*X33/100)</f>
        <v/>
      </c>
      <c r="O33" s="7">
        <f>IF($Z33="","",SUMIFS('Per Line'!$Y$2:$Y$1001,'Per Line'!$D$2:$D$1001,$B33,'Per Line'!$AP$2:$AP$1001,1))</f>
        <v/>
      </c>
      <c r="P33">
        <f>IF($Z33="","",Settings!$C$7)</f>
        <v/>
      </c>
      <c r="Q33" s="7">
        <f>IF($Z33="","",SUMIFS('Per Line'!$Y$2:$Y$1001,'Per Line'!$D$2:$D$1001,$B33,'Per Line'!$AO$2:$AO$1001,0,'Per Line'!$AP$2:$AP$1001,0))</f>
        <v/>
      </c>
      <c r="R33" s="7">
        <f>IF($Z33="","",Q33*P33)</f>
        <v/>
      </c>
      <c r="S33">
        <f>IF($Z33="","",Settings!$C$6)</f>
        <v/>
      </c>
      <c r="T33" s="7">
        <f>IF($Z33="","",SUMIFS('Per Line'!$Y$2:$Y$1001,'Per Line'!$D$2:$D$1001,$B33,'Per Line'!$AO$2:$AO$1001,1,'Per Line'!$AP$2:$AP$1001,0))</f>
        <v/>
      </c>
      <c r="U33" s="7">
        <f>IF($Z33="","",T33*S33)</f>
        <v/>
      </c>
      <c r="V33" s="7">
        <f>IF($Z33="","",U33+R33)</f>
        <v/>
      </c>
      <c r="W33" s="7">
        <f>IF($Z33="","",X33-V33)</f>
        <v/>
      </c>
      <c r="X33" s="7">
        <f>IF($Z33="","",Q33+T33+O33)</f>
        <v/>
      </c>
      <c r="Y33" s="7">
        <f>IF($Z33="","",X33-V33-N33)</f>
        <v/>
      </c>
      <c r="Z33" s="13">
        <f>IF(ROWS($Z$2:$Z33)&lt;=MAX('Per Line'!$AN$2:$AN$1001),MATCH(ROWS($Z$2:$Z33),'Per Line'!$AN$2:$AN$1001,0),"")</f>
        <v/>
      </c>
    </row>
    <row r="34">
      <c r="A34" s="12" t="n"/>
      <c r="B34">
        <f>IF($Z34="","",INDEX('Per Line'!$D$2:$D$1001,$Z34)&amp;"")</f>
        <v/>
      </c>
      <c r="C34">
        <f>IF($Z34="","",INDEX('Per Line'!$B$2:$B$1001,$Z34)&amp;"")</f>
        <v/>
      </c>
      <c r="D34">
        <f>IF($Z34="","",INDEX('Per Line'!$A$2:$A$1001,$Z34))</f>
        <v/>
      </c>
      <c r="E34">
        <f>IF($Z34="","",INDEX('Per Line'!$E$2:$E$1001,$Z34)&amp;"")</f>
        <v/>
      </c>
      <c r="F34">
        <f>IF($Z34="","",INDEX('Per Line'!$F$2:$F$1001,$Z34)&amp;"")</f>
        <v/>
      </c>
      <c r="G34" s="11">
        <f>IF($Z34="","",INDEX('Per Line'!$G$2:$G$1001,$Z34))</f>
        <v/>
      </c>
      <c r="H34">
        <f>IF($Z34="","",INDEX('Per Line'!$I$2:$I$1001,$Z34)&amp;"")</f>
        <v/>
      </c>
      <c r="I34">
        <f>IF($Z34="","",INDEX('Per Line'!$J$2:$J$1001,$Z34)&amp;"")</f>
        <v/>
      </c>
      <c r="J34">
        <f>IF($Z34="","",INDEX('Per Line'!$K$2:$K$1001,$Z34)&amp;"")</f>
        <v/>
      </c>
      <c r="K34">
        <f>IF($Z34="","",INDEX('Per Line'!$L$2:$L$1001,$Z34)&amp;"")</f>
        <v/>
      </c>
      <c r="L34">
        <f>IF($Z34="","",INDEX('Per Line'!$M$2:$M$1001,$Z34)&amp;"")</f>
        <v/>
      </c>
      <c r="M34">
        <f>IF($Z34="","",INDEX('Per Line'!$P$2:$P$1001,$Z34))</f>
        <v/>
      </c>
      <c r="N34" s="7">
        <f>IF($Z34="","",M34*X34/100)</f>
        <v/>
      </c>
      <c r="O34" s="7">
        <f>IF($Z34="","",SUMIFS('Per Line'!$Y$2:$Y$1001,'Per Line'!$D$2:$D$1001,$B34,'Per Line'!$AP$2:$AP$1001,1))</f>
        <v/>
      </c>
      <c r="P34">
        <f>IF($Z34="","",Settings!$C$7)</f>
        <v/>
      </c>
      <c r="Q34" s="7">
        <f>IF($Z34="","",SUMIFS('Per Line'!$Y$2:$Y$1001,'Per Line'!$D$2:$D$1001,$B34,'Per Line'!$AO$2:$AO$1001,0,'Per Line'!$AP$2:$AP$1001,0))</f>
        <v/>
      </c>
      <c r="R34" s="7">
        <f>IF($Z34="","",Q34*P34)</f>
        <v/>
      </c>
      <c r="S34">
        <f>IF($Z34="","",Settings!$C$6)</f>
        <v/>
      </c>
      <c r="T34" s="7">
        <f>IF($Z34="","",SUMIFS('Per Line'!$Y$2:$Y$1001,'Per Line'!$D$2:$D$1001,$B34,'Per Line'!$AO$2:$AO$1001,1,'Per Line'!$AP$2:$AP$1001,0))</f>
        <v/>
      </c>
      <c r="U34" s="7">
        <f>IF($Z34="","",T34*S34)</f>
        <v/>
      </c>
      <c r="V34" s="7">
        <f>IF($Z34="","",U34+R34)</f>
        <v/>
      </c>
      <c r="W34" s="7">
        <f>IF($Z34="","",X34-V34)</f>
        <v/>
      </c>
      <c r="X34" s="7">
        <f>IF($Z34="","",Q34+T34+O34)</f>
        <v/>
      </c>
      <c r="Y34" s="7">
        <f>IF($Z34="","",X34-V34-N34)</f>
        <v/>
      </c>
      <c r="Z34" s="13">
        <f>IF(ROWS($Z$2:$Z34)&lt;=MAX('Per Line'!$AN$2:$AN$1001),MATCH(ROWS($Z$2:$Z34),'Per Line'!$AN$2:$AN$1001,0),"")</f>
        <v/>
      </c>
    </row>
    <row r="35">
      <c r="A35" s="12" t="n"/>
      <c r="B35">
        <f>IF($Z35="","",INDEX('Per Line'!$D$2:$D$1001,$Z35)&amp;"")</f>
        <v/>
      </c>
      <c r="C35">
        <f>IF($Z35="","",INDEX('Per Line'!$B$2:$B$1001,$Z35)&amp;"")</f>
        <v/>
      </c>
      <c r="D35">
        <f>IF($Z35="","",INDEX('Per Line'!$A$2:$A$1001,$Z35))</f>
        <v/>
      </c>
      <c r="E35">
        <f>IF($Z35="","",INDEX('Per Line'!$E$2:$E$1001,$Z35)&amp;"")</f>
        <v/>
      </c>
      <c r="F35">
        <f>IF($Z35="","",INDEX('Per Line'!$F$2:$F$1001,$Z35)&amp;"")</f>
        <v/>
      </c>
      <c r="G35" s="11">
        <f>IF($Z35="","",INDEX('Per Line'!$G$2:$G$1001,$Z35))</f>
        <v/>
      </c>
      <c r="H35">
        <f>IF($Z35="","",INDEX('Per Line'!$I$2:$I$1001,$Z35)&amp;"")</f>
        <v/>
      </c>
      <c r="I35">
        <f>IF($Z35="","",INDEX('Per Line'!$J$2:$J$1001,$Z35)&amp;"")</f>
        <v/>
      </c>
      <c r="J35">
        <f>IF($Z35="","",INDEX('Per Line'!$K$2:$K$1001,$Z35)&amp;"")</f>
        <v/>
      </c>
      <c r="K35">
        <f>IF($Z35="","",INDEX('Per Line'!$L$2:$L$1001,$Z35)&amp;"")</f>
        <v/>
      </c>
      <c r="L35">
        <f>IF($Z35="","",INDEX('Per Line'!$M$2:$M$1001,$Z35)&amp;"")</f>
        <v/>
      </c>
      <c r="M35">
        <f>IF($Z35="","",INDEX('Per Line'!$P$2:$P$1001,$Z35))</f>
        <v/>
      </c>
      <c r="N35" s="7">
        <f>IF($Z35="","",M35*X35/100)</f>
        <v/>
      </c>
      <c r="O35" s="7">
        <f>IF($Z35="","",SUMIFS('Per Line'!$Y$2:$Y$1001,'Per Line'!$D$2:$D$1001,$B35,'Per Line'!$AP$2:$AP$1001,1))</f>
        <v/>
      </c>
      <c r="P35">
        <f>IF($Z35="","",Settings!$C$7)</f>
        <v/>
      </c>
      <c r="Q35" s="7">
        <f>IF($Z35="","",SUMIFS('Per Line'!$Y$2:$Y$1001,'Per Line'!$D$2:$D$1001,$B35,'Per Line'!$AO$2:$AO$1001,0,'Per Line'!$AP$2:$AP$1001,0))</f>
        <v/>
      </c>
      <c r="R35" s="7">
        <f>IF($Z35="","",Q35*P35)</f>
        <v/>
      </c>
      <c r="S35">
        <f>IF($Z35="","",Settings!$C$6)</f>
        <v/>
      </c>
      <c r="T35" s="7">
        <f>IF($Z35="","",SUMIFS('Per Line'!$Y$2:$Y$1001,'Per Line'!$D$2:$D$1001,$B35,'Per Line'!$AO$2:$AO$1001,1,'Per Line'!$AP$2:$AP$1001,0))</f>
        <v/>
      </c>
      <c r="U35" s="7">
        <f>IF($Z35="","",T35*S35)</f>
        <v/>
      </c>
      <c r="V35" s="7">
        <f>IF($Z35="","",U35+R35)</f>
        <v/>
      </c>
      <c r="W35" s="7">
        <f>IF($Z35="","",X35-V35)</f>
        <v/>
      </c>
      <c r="X35" s="7">
        <f>IF($Z35="","",Q35+T35+O35)</f>
        <v/>
      </c>
      <c r="Y35" s="7">
        <f>IF($Z35="","",X35-V35-N35)</f>
        <v/>
      </c>
      <c r="Z35" s="13">
        <f>IF(ROWS($Z$2:$Z35)&lt;=MAX('Per Line'!$AN$2:$AN$1001),MATCH(ROWS($Z$2:$Z35),'Per Line'!$AN$2:$AN$1001,0),"")</f>
        <v/>
      </c>
    </row>
    <row r="36">
      <c r="A36" s="12" t="n"/>
      <c r="B36">
        <f>IF($Z36="","",INDEX('Per Line'!$D$2:$D$1001,$Z36)&amp;"")</f>
        <v/>
      </c>
      <c r="C36">
        <f>IF($Z36="","",INDEX('Per Line'!$B$2:$B$1001,$Z36)&amp;"")</f>
        <v/>
      </c>
      <c r="D36">
        <f>IF($Z36="","",INDEX('Per Line'!$A$2:$A$1001,$Z36))</f>
        <v/>
      </c>
      <c r="E36">
        <f>IF($Z36="","",INDEX('Per Line'!$E$2:$E$1001,$Z36)&amp;"")</f>
        <v/>
      </c>
      <c r="F36">
        <f>IF($Z36="","",INDEX('Per Line'!$F$2:$F$1001,$Z36)&amp;"")</f>
        <v/>
      </c>
      <c r="G36" s="11">
        <f>IF($Z36="","",INDEX('Per Line'!$G$2:$G$1001,$Z36))</f>
        <v/>
      </c>
      <c r="H36">
        <f>IF($Z36="","",INDEX('Per Line'!$I$2:$I$1001,$Z36)&amp;"")</f>
        <v/>
      </c>
      <c r="I36">
        <f>IF($Z36="","",INDEX('Per Line'!$J$2:$J$1001,$Z36)&amp;"")</f>
        <v/>
      </c>
      <c r="J36">
        <f>IF($Z36="","",INDEX('Per Line'!$K$2:$K$1001,$Z36)&amp;"")</f>
        <v/>
      </c>
      <c r="K36">
        <f>IF($Z36="","",INDEX('Per Line'!$L$2:$L$1001,$Z36)&amp;"")</f>
        <v/>
      </c>
      <c r="L36">
        <f>IF($Z36="","",INDEX('Per Line'!$M$2:$M$1001,$Z36)&amp;"")</f>
        <v/>
      </c>
      <c r="M36">
        <f>IF($Z36="","",INDEX('Per Line'!$P$2:$P$1001,$Z36))</f>
        <v/>
      </c>
      <c r="N36" s="7">
        <f>IF($Z36="","",M36*X36/100)</f>
        <v/>
      </c>
      <c r="O36" s="7">
        <f>IF($Z36="","",SUMIFS('Per Line'!$Y$2:$Y$1001,'Per Line'!$D$2:$D$1001,$B36,'Per Line'!$AP$2:$AP$1001,1))</f>
        <v/>
      </c>
      <c r="P36">
        <f>IF($Z36="","",Settings!$C$7)</f>
        <v/>
      </c>
      <c r="Q36" s="7">
        <f>IF($Z36="","",SUMIFS('Per Line'!$Y$2:$Y$1001,'Per Line'!$D$2:$D$1001,$B36,'Per Line'!$AO$2:$AO$1001,0,'Per Line'!$AP$2:$AP$1001,0))</f>
        <v/>
      </c>
      <c r="R36" s="7">
        <f>IF($Z36="","",Q36*P36)</f>
        <v/>
      </c>
      <c r="S36">
        <f>IF($Z36="","",Settings!$C$6)</f>
        <v/>
      </c>
      <c r="T36" s="7">
        <f>IF($Z36="","",SUMIFS('Per Line'!$Y$2:$Y$1001,'Per Line'!$D$2:$D$1001,$B36,'Per Line'!$AO$2:$AO$1001,1,'Per Line'!$AP$2:$AP$1001,0))</f>
        <v/>
      </c>
      <c r="U36" s="7">
        <f>IF($Z36="","",T36*S36)</f>
        <v/>
      </c>
      <c r="V36" s="7">
        <f>IF($Z36="","",U36+R36)</f>
        <v/>
      </c>
      <c r="W36" s="7">
        <f>IF($Z36="","",X36-V36)</f>
        <v/>
      </c>
      <c r="X36" s="7">
        <f>IF($Z36="","",Q36+T36+O36)</f>
        <v/>
      </c>
      <c r="Y36" s="7">
        <f>IF($Z36="","",X36-V36-N36)</f>
        <v/>
      </c>
      <c r="Z36" s="13">
        <f>IF(ROWS($Z$2:$Z36)&lt;=MAX('Per Line'!$AN$2:$AN$1001),MATCH(ROWS($Z$2:$Z36),'Per Line'!$AN$2:$AN$1001,0),"")</f>
        <v/>
      </c>
    </row>
    <row r="37">
      <c r="A37" s="12" t="n"/>
      <c r="B37">
        <f>IF($Z37="","",INDEX('Per Line'!$D$2:$D$1001,$Z37)&amp;"")</f>
        <v/>
      </c>
      <c r="C37">
        <f>IF($Z37="","",INDEX('Per Line'!$B$2:$B$1001,$Z37)&amp;"")</f>
        <v/>
      </c>
      <c r="D37">
        <f>IF($Z37="","",INDEX('Per Line'!$A$2:$A$1001,$Z37))</f>
        <v/>
      </c>
      <c r="E37">
        <f>IF($Z37="","",INDEX('Per Line'!$E$2:$E$1001,$Z37)&amp;"")</f>
        <v/>
      </c>
      <c r="F37">
        <f>IF($Z37="","",INDEX('Per Line'!$F$2:$F$1001,$Z37)&amp;"")</f>
        <v/>
      </c>
      <c r="G37" s="11">
        <f>IF($Z37="","",INDEX('Per Line'!$G$2:$G$1001,$Z37))</f>
        <v/>
      </c>
      <c r="H37">
        <f>IF($Z37="","",INDEX('Per Line'!$I$2:$I$1001,$Z37)&amp;"")</f>
        <v/>
      </c>
      <c r="I37">
        <f>IF($Z37="","",INDEX('Per Line'!$J$2:$J$1001,$Z37)&amp;"")</f>
        <v/>
      </c>
      <c r="J37">
        <f>IF($Z37="","",INDEX('Per Line'!$K$2:$K$1001,$Z37)&amp;"")</f>
        <v/>
      </c>
      <c r="K37">
        <f>IF($Z37="","",INDEX('Per Line'!$L$2:$L$1001,$Z37)&amp;"")</f>
        <v/>
      </c>
      <c r="L37">
        <f>IF($Z37="","",INDEX('Per Line'!$M$2:$M$1001,$Z37)&amp;"")</f>
        <v/>
      </c>
      <c r="M37">
        <f>IF($Z37="","",INDEX('Per Line'!$P$2:$P$1001,$Z37))</f>
        <v/>
      </c>
      <c r="N37" s="7">
        <f>IF($Z37="","",M37*X37/100)</f>
        <v/>
      </c>
      <c r="O37" s="7">
        <f>IF($Z37="","",SUMIFS('Per Line'!$Y$2:$Y$1001,'Per Line'!$D$2:$D$1001,$B37,'Per Line'!$AP$2:$AP$1001,1))</f>
        <v/>
      </c>
      <c r="P37">
        <f>IF($Z37="","",Settings!$C$7)</f>
        <v/>
      </c>
      <c r="Q37" s="7">
        <f>IF($Z37="","",SUMIFS('Per Line'!$Y$2:$Y$1001,'Per Line'!$D$2:$D$1001,$B37,'Per Line'!$AO$2:$AO$1001,0,'Per Line'!$AP$2:$AP$1001,0))</f>
        <v/>
      </c>
      <c r="R37" s="7">
        <f>IF($Z37="","",Q37*P37)</f>
        <v/>
      </c>
      <c r="S37">
        <f>IF($Z37="","",Settings!$C$6)</f>
        <v/>
      </c>
      <c r="T37" s="7">
        <f>IF($Z37="","",SUMIFS('Per Line'!$Y$2:$Y$1001,'Per Line'!$D$2:$D$1001,$B37,'Per Line'!$AO$2:$AO$1001,1,'Per Line'!$AP$2:$AP$1001,0))</f>
        <v/>
      </c>
      <c r="U37" s="7">
        <f>IF($Z37="","",T37*S37)</f>
        <v/>
      </c>
      <c r="V37" s="7">
        <f>IF($Z37="","",U37+R37)</f>
        <v/>
      </c>
      <c r="W37" s="7">
        <f>IF($Z37="","",X37-V37)</f>
        <v/>
      </c>
      <c r="X37" s="7">
        <f>IF($Z37="","",Q37+T37+O37)</f>
        <v/>
      </c>
      <c r="Y37" s="7">
        <f>IF($Z37="","",X37-V37-N37)</f>
        <v/>
      </c>
      <c r="Z37" s="13">
        <f>IF(ROWS($Z$2:$Z37)&lt;=MAX('Per Line'!$AN$2:$AN$1001),MATCH(ROWS($Z$2:$Z37),'Per Line'!$AN$2:$AN$1001,0),"")</f>
        <v/>
      </c>
    </row>
    <row r="38">
      <c r="A38" s="12" t="n"/>
      <c r="B38">
        <f>IF($Z38="","",INDEX('Per Line'!$D$2:$D$1001,$Z38)&amp;"")</f>
        <v/>
      </c>
      <c r="C38">
        <f>IF($Z38="","",INDEX('Per Line'!$B$2:$B$1001,$Z38)&amp;"")</f>
        <v/>
      </c>
      <c r="D38">
        <f>IF($Z38="","",INDEX('Per Line'!$A$2:$A$1001,$Z38))</f>
        <v/>
      </c>
      <c r="E38">
        <f>IF($Z38="","",INDEX('Per Line'!$E$2:$E$1001,$Z38)&amp;"")</f>
        <v/>
      </c>
      <c r="F38">
        <f>IF($Z38="","",INDEX('Per Line'!$F$2:$F$1001,$Z38)&amp;"")</f>
        <v/>
      </c>
      <c r="G38" s="11">
        <f>IF($Z38="","",INDEX('Per Line'!$G$2:$G$1001,$Z38))</f>
        <v/>
      </c>
      <c r="H38">
        <f>IF($Z38="","",INDEX('Per Line'!$I$2:$I$1001,$Z38)&amp;"")</f>
        <v/>
      </c>
      <c r="I38">
        <f>IF($Z38="","",INDEX('Per Line'!$J$2:$J$1001,$Z38)&amp;"")</f>
        <v/>
      </c>
      <c r="J38">
        <f>IF($Z38="","",INDEX('Per Line'!$K$2:$K$1001,$Z38)&amp;"")</f>
        <v/>
      </c>
      <c r="K38">
        <f>IF($Z38="","",INDEX('Per Line'!$L$2:$L$1001,$Z38)&amp;"")</f>
        <v/>
      </c>
      <c r="L38">
        <f>IF($Z38="","",INDEX('Per Line'!$M$2:$M$1001,$Z38)&amp;"")</f>
        <v/>
      </c>
      <c r="M38">
        <f>IF($Z38="","",INDEX('Per Line'!$P$2:$P$1001,$Z38))</f>
        <v/>
      </c>
      <c r="N38" s="7">
        <f>IF($Z38="","",M38*X38/100)</f>
        <v/>
      </c>
      <c r="O38" s="7">
        <f>IF($Z38="","",SUMIFS('Per Line'!$Y$2:$Y$1001,'Per Line'!$D$2:$D$1001,$B38,'Per Line'!$AP$2:$AP$1001,1))</f>
        <v/>
      </c>
      <c r="P38">
        <f>IF($Z38="","",Settings!$C$7)</f>
        <v/>
      </c>
      <c r="Q38" s="7">
        <f>IF($Z38="","",SUMIFS('Per Line'!$Y$2:$Y$1001,'Per Line'!$D$2:$D$1001,$B38,'Per Line'!$AO$2:$AO$1001,0,'Per Line'!$AP$2:$AP$1001,0))</f>
        <v/>
      </c>
      <c r="R38" s="7">
        <f>IF($Z38="","",Q38*P38)</f>
        <v/>
      </c>
      <c r="S38">
        <f>IF($Z38="","",Settings!$C$6)</f>
        <v/>
      </c>
      <c r="T38" s="7">
        <f>IF($Z38="","",SUMIFS('Per Line'!$Y$2:$Y$1001,'Per Line'!$D$2:$D$1001,$B38,'Per Line'!$AO$2:$AO$1001,1,'Per Line'!$AP$2:$AP$1001,0))</f>
        <v/>
      </c>
      <c r="U38" s="7">
        <f>IF($Z38="","",T38*S38)</f>
        <v/>
      </c>
      <c r="V38" s="7">
        <f>IF($Z38="","",U38+R38)</f>
        <v/>
      </c>
      <c r="W38" s="7">
        <f>IF($Z38="","",X38-V38)</f>
        <v/>
      </c>
      <c r="X38" s="7">
        <f>IF($Z38="","",Q38+T38+O38)</f>
        <v/>
      </c>
      <c r="Y38" s="7">
        <f>IF($Z38="","",X38-V38-N38)</f>
        <v/>
      </c>
      <c r="Z38" s="13">
        <f>IF(ROWS($Z$2:$Z38)&lt;=MAX('Per Line'!$AN$2:$AN$1001),MATCH(ROWS($Z$2:$Z38),'Per Line'!$AN$2:$AN$1001,0),"")</f>
        <v/>
      </c>
    </row>
    <row r="39">
      <c r="A39" s="12" t="n"/>
      <c r="B39">
        <f>IF($Z39="","",INDEX('Per Line'!$D$2:$D$1001,$Z39)&amp;"")</f>
        <v/>
      </c>
      <c r="C39">
        <f>IF($Z39="","",INDEX('Per Line'!$B$2:$B$1001,$Z39)&amp;"")</f>
        <v/>
      </c>
      <c r="D39">
        <f>IF($Z39="","",INDEX('Per Line'!$A$2:$A$1001,$Z39))</f>
        <v/>
      </c>
      <c r="E39">
        <f>IF($Z39="","",INDEX('Per Line'!$E$2:$E$1001,$Z39)&amp;"")</f>
        <v/>
      </c>
      <c r="F39">
        <f>IF($Z39="","",INDEX('Per Line'!$F$2:$F$1001,$Z39)&amp;"")</f>
        <v/>
      </c>
      <c r="G39" s="11">
        <f>IF($Z39="","",INDEX('Per Line'!$G$2:$G$1001,$Z39))</f>
        <v/>
      </c>
      <c r="H39">
        <f>IF($Z39="","",INDEX('Per Line'!$I$2:$I$1001,$Z39)&amp;"")</f>
        <v/>
      </c>
      <c r="I39">
        <f>IF($Z39="","",INDEX('Per Line'!$J$2:$J$1001,$Z39)&amp;"")</f>
        <v/>
      </c>
      <c r="J39">
        <f>IF($Z39="","",INDEX('Per Line'!$K$2:$K$1001,$Z39)&amp;"")</f>
        <v/>
      </c>
      <c r="K39">
        <f>IF($Z39="","",INDEX('Per Line'!$L$2:$L$1001,$Z39)&amp;"")</f>
        <v/>
      </c>
      <c r="L39">
        <f>IF($Z39="","",INDEX('Per Line'!$M$2:$M$1001,$Z39)&amp;"")</f>
        <v/>
      </c>
      <c r="M39">
        <f>IF($Z39="","",INDEX('Per Line'!$P$2:$P$1001,$Z39))</f>
        <v/>
      </c>
      <c r="N39" s="7">
        <f>IF($Z39="","",M39*X39/100)</f>
        <v/>
      </c>
      <c r="O39" s="7">
        <f>IF($Z39="","",SUMIFS('Per Line'!$Y$2:$Y$1001,'Per Line'!$D$2:$D$1001,$B39,'Per Line'!$AP$2:$AP$1001,1))</f>
        <v/>
      </c>
      <c r="P39">
        <f>IF($Z39="","",Settings!$C$7)</f>
        <v/>
      </c>
      <c r="Q39" s="7">
        <f>IF($Z39="","",SUMIFS('Per Line'!$Y$2:$Y$1001,'Per Line'!$D$2:$D$1001,$B39,'Per Line'!$AO$2:$AO$1001,0,'Per Line'!$AP$2:$AP$1001,0))</f>
        <v/>
      </c>
      <c r="R39" s="7">
        <f>IF($Z39="","",Q39*P39)</f>
        <v/>
      </c>
      <c r="S39">
        <f>IF($Z39="","",Settings!$C$6)</f>
        <v/>
      </c>
      <c r="T39" s="7">
        <f>IF($Z39="","",SUMIFS('Per Line'!$Y$2:$Y$1001,'Per Line'!$D$2:$D$1001,$B39,'Per Line'!$AO$2:$AO$1001,1,'Per Line'!$AP$2:$AP$1001,0))</f>
        <v/>
      </c>
      <c r="U39" s="7">
        <f>IF($Z39="","",T39*S39)</f>
        <v/>
      </c>
      <c r="V39" s="7">
        <f>IF($Z39="","",U39+R39)</f>
        <v/>
      </c>
      <c r="W39" s="7">
        <f>IF($Z39="","",X39-V39)</f>
        <v/>
      </c>
      <c r="X39" s="7">
        <f>IF($Z39="","",Q39+T39+O39)</f>
        <v/>
      </c>
      <c r="Y39" s="7">
        <f>IF($Z39="","",X39-V39-N39)</f>
        <v/>
      </c>
      <c r="Z39" s="13">
        <f>IF(ROWS($Z$2:$Z39)&lt;=MAX('Per Line'!$AN$2:$AN$1001),MATCH(ROWS($Z$2:$Z39),'Per Line'!$AN$2:$AN$1001,0),"")</f>
        <v/>
      </c>
    </row>
    <row r="40">
      <c r="A40" s="12" t="n"/>
      <c r="B40">
        <f>IF($Z40="","",INDEX('Per Line'!$D$2:$D$1001,$Z40)&amp;"")</f>
        <v/>
      </c>
      <c r="C40">
        <f>IF($Z40="","",INDEX('Per Line'!$B$2:$B$1001,$Z40)&amp;"")</f>
        <v/>
      </c>
      <c r="D40">
        <f>IF($Z40="","",INDEX('Per Line'!$A$2:$A$1001,$Z40))</f>
        <v/>
      </c>
      <c r="E40">
        <f>IF($Z40="","",INDEX('Per Line'!$E$2:$E$1001,$Z40)&amp;"")</f>
        <v/>
      </c>
      <c r="F40">
        <f>IF($Z40="","",INDEX('Per Line'!$F$2:$F$1001,$Z40)&amp;"")</f>
        <v/>
      </c>
      <c r="G40" s="11">
        <f>IF($Z40="","",INDEX('Per Line'!$G$2:$G$1001,$Z40))</f>
        <v/>
      </c>
      <c r="H40">
        <f>IF($Z40="","",INDEX('Per Line'!$I$2:$I$1001,$Z40)&amp;"")</f>
        <v/>
      </c>
      <c r="I40">
        <f>IF($Z40="","",INDEX('Per Line'!$J$2:$J$1001,$Z40)&amp;"")</f>
        <v/>
      </c>
      <c r="J40">
        <f>IF($Z40="","",INDEX('Per Line'!$K$2:$K$1001,$Z40)&amp;"")</f>
        <v/>
      </c>
      <c r="K40">
        <f>IF($Z40="","",INDEX('Per Line'!$L$2:$L$1001,$Z40)&amp;"")</f>
        <v/>
      </c>
      <c r="L40">
        <f>IF($Z40="","",INDEX('Per Line'!$M$2:$M$1001,$Z40)&amp;"")</f>
        <v/>
      </c>
      <c r="M40">
        <f>IF($Z40="","",INDEX('Per Line'!$P$2:$P$1001,$Z40))</f>
        <v/>
      </c>
      <c r="N40" s="7">
        <f>IF($Z40="","",M40*X40/100)</f>
        <v/>
      </c>
      <c r="O40" s="7">
        <f>IF($Z40="","",SUMIFS('Per Line'!$Y$2:$Y$1001,'Per Line'!$D$2:$D$1001,$B40,'Per Line'!$AP$2:$AP$1001,1))</f>
        <v/>
      </c>
      <c r="P40">
        <f>IF($Z40="","",Settings!$C$7)</f>
        <v/>
      </c>
      <c r="Q40" s="7">
        <f>IF($Z40="","",SUMIFS('Per Line'!$Y$2:$Y$1001,'Per Line'!$D$2:$D$1001,$B40,'Per Line'!$AO$2:$AO$1001,0,'Per Line'!$AP$2:$AP$1001,0))</f>
        <v/>
      </c>
      <c r="R40" s="7">
        <f>IF($Z40="","",Q40*P40)</f>
        <v/>
      </c>
      <c r="S40">
        <f>IF($Z40="","",Settings!$C$6)</f>
        <v/>
      </c>
      <c r="T40" s="7">
        <f>IF($Z40="","",SUMIFS('Per Line'!$Y$2:$Y$1001,'Per Line'!$D$2:$D$1001,$B40,'Per Line'!$AO$2:$AO$1001,1,'Per Line'!$AP$2:$AP$1001,0))</f>
        <v/>
      </c>
      <c r="U40" s="7">
        <f>IF($Z40="","",T40*S40)</f>
        <v/>
      </c>
      <c r="V40" s="7">
        <f>IF($Z40="","",U40+R40)</f>
        <v/>
      </c>
      <c r="W40" s="7">
        <f>IF($Z40="","",X40-V40)</f>
        <v/>
      </c>
      <c r="X40" s="7">
        <f>IF($Z40="","",Q40+T40+O40)</f>
        <v/>
      </c>
      <c r="Y40" s="7">
        <f>IF($Z40="","",X40-V40-N40)</f>
        <v/>
      </c>
      <c r="Z40" s="13">
        <f>IF(ROWS($Z$2:$Z40)&lt;=MAX('Per Line'!$AN$2:$AN$1001),MATCH(ROWS($Z$2:$Z40),'Per Line'!$AN$2:$AN$1001,0),"")</f>
        <v/>
      </c>
    </row>
    <row r="41">
      <c r="A41" s="12" t="n"/>
      <c r="B41">
        <f>IF($Z41="","",INDEX('Per Line'!$D$2:$D$1001,$Z41)&amp;"")</f>
        <v/>
      </c>
      <c r="C41">
        <f>IF($Z41="","",INDEX('Per Line'!$B$2:$B$1001,$Z41)&amp;"")</f>
        <v/>
      </c>
      <c r="D41">
        <f>IF($Z41="","",INDEX('Per Line'!$A$2:$A$1001,$Z41))</f>
        <v/>
      </c>
      <c r="E41">
        <f>IF($Z41="","",INDEX('Per Line'!$E$2:$E$1001,$Z41)&amp;"")</f>
        <v/>
      </c>
      <c r="F41">
        <f>IF($Z41="","",INDEX('Per Line'!$F$2:$F$1001,$Z41)&amp;"")</f>
        <v/>
      </c>
      <c r="G41" s="11">
        <f>IF($Z41="","",INDEX('Per Line'!$G$2:$G$1001,$Z41))</f>
        <v/>
      </c>
      <c r="H41">
        <f>IF($Z41="","",INDEX('Per Line'!$I$2:$I$1001,$Z41)&amp;"")</f>
        <v/>
      </c>
      <c r="I41">
        <f>IF($Z41="","",INDEX('Per Line'!$J$2:$J$1001,$Z41)&amp;"")</f>
        <v/>
      </c>
      <c r="J41">
        <f>IF($Z41="","",INDEX('Per Line'!$K$2:$K$1001,$Z41)&amp;"")</f>
        <v/>
      </c>
      <c r="K41">
        <f>IF($Z41="","",INDEX('Per Line'!$L$2:$L$1001,$Z41)&amp;"")</f>
        <v/>
      </c>
      <c r="L41">
        <f>IF($Z41="","",INDEX('Per Line'!$M$2:$M$1001,$Z41)&amp;"")</f>
        <v/>
      </c>
      <c r="M41">
        <f>IF($Z41="","",INDEX('Per Line'!$P$2:$P$1001,$Z41))</f>
        <v/>
      </c>
      <c r="N41" s="7">
        <f>IF($Z41="","",M41*X41/100)</f>
        <v/>
      </c>
      <c r="O41" s="7">
        <f>IF($Z41="","",SUMIFS('Per Line'!$Y$2:$Y$1001,'Per Line'!$D$2:$D$1001,$B41,'Per Line'!$AP$2:$AP$1001,1))</f>
        <v/>
      </c>
      <c r="P41">
        <f>IF($Z41="","",Settings!$C$7)</f>
        <v/>
      </c>
      <c r="Q41" s="7">
        <f>IF($Z41="","",SUMIFS('Per Line'!$Y$2:$Y$1001,'Per Line'!$D$2:$D$1001,$B41,'Per Line'!$AO$2:$AO$1001,0,'Per Line'!$AP$2:$AP$1001,0))</f>
        <v/>
      </c>
      <c r="R41" s="7">
        <f>IF($Z41="","",Q41*P41)</f>
        <v/>
      </c>
      <c r="S41">
        <f>IF($Z41="","",Settings!$C$6)</f>
        <v/>
      </c>
      <c r="T41" s="7">
        <f>IF($Z41="","",SUMIFS('Per Line'!$Y$2:$Y$1001,'Per Line'!$D$2:$D$1001,$B41,'Per Line'!$AO$2:$AO$1001,1,'Per Line'!$AP$2:$AP$1001,0))</f>
        <v/>
      </c>
      <c r="U41" s="7">
        <f>IF($Z41="","",T41*S41)</f>
        <v/>
      </c>
      <c r="V41" s="7">
        <f>IF($Z41="","",U41+R41)</f>
        <v/>
      </c>
      <c r="W41" s="7">
        <f>IF($Z41="","",X41-V41)</f>
        <v/>
      </c>
      <c r="X41" s="7">
        <f>IF($Z41="","",Q41+T41+O41)</f>
        <v/>
      </c>
      <c r="Y41" s="7">
        <f>IF($Z41="","",X41-V41-N41)</f>
        <v/>
      </c>
      <c r="Z41" s="13">
        <f>IF(ROWS($Z$2:$Z41)&lt;=MAX('Per Line'!$AN$2:$AN$1001),MATCH(ROWS($Z$2:$Z41),'Per Line'!$AN$2:$AN$1001,0),"")</f>
        <v/>
      </c>
    </row>
    <row r="42">
      <c r="A42" s="12" t="n"/>
      <c r="B42">
        <f>IF($Z42="","",INDEX('Per Line'!$D$2:$D$1001,$Z42)&amp;"")</f>
        <v/>
      </c>
      <c r="C42">
        <f>IF($Z42="","",INDEX('Per Line'!$B$2:$B$1001,$Z42)&amp;"")</f>
        <v/>
      </c>
      <c r="D42">
        <f>IF($Z42="","",INDEX('Per Line'!$A$2:$A$1001,$Z42))</f>
        <v/>
      </c>
      <c r="E42">
        <f>IF($Z42="","",INDEX('Per Line'!$E$2:$E$1001,$Z42)&amp;"")</f>
        <v/>
      </c>
      <c r="F42">
        <f>IF($Z42="","",INDEX('Per Line'!$F$2:$F$1001,$Z42)&amp;"")</f>
        <v/>
      </c>
      <c r="G42" s="11">
        <f>IF($Z42="","",INDEX('Per Line'!$G$2:$G$1001,$Z42))</f>
        <v/>
      </c>
      <c r="H42">
        <f>IF($Z42="","",INDEX('Per Line'!$I$2:$I$1001,$Z42)&amp;"")</f>
        <v/>
      </c>
      <c r="I42">
        <f>IF($Z42="","",INDEX('Per Line'!$J$2:$J$1001,$Z42)&amp;"")</f>
        <v/>
      </c>
      <c r="J42">
        <f>IF($Z42="","",INDEX('Per Line'!$K$2:$K$1001,$Z42)&amp;"")</f>
        <v/>
      </c>
      <c r="K42">
        <f>IF($Z42="","",INDEX('Per Line'!$L$2:$L$1001,$Z42)&amp;"")</f>
        <v/>
      </c>
      <c r="L42">
        <f>IF($Z42="","",INDEX('Per Line'!$M$2:$M$1001,$Z42)&amp;"")</f>
        <v/>
      </c>
      <c r="M42">
        <f>IF($Z42="","",INDEX('Per Line'!$P$2:$P$1001,$Z42))</f>
        <v/>
      </c>
      <c r="N42" s="7">
        <f>IF($Z42="","",M42*X42/100)</f>
        <v/>
      </c>
      <c r="O42" s="7">
        <f>IF($Z42="","",SUMIFS('Per Line'!$Y$2:$Y$1001,'Per Line'!$D$2:$D$1001,$B42,'Per Line'!$AP$2:$AP$1001,1))</f>
        <v/>
      </c>
      <c r="P42">
        <f>IF($Z42="","",Settings!$C$7)</f>
        <v/>
      </c>
      <c r="Q42" s="7">
        <f>IF($Z42="","",SUMIFS('Per Line'!$Y$2:$Y$1001,'Per Line'!$D$2:$D$1001,$B42,'Per Line'!$AO$2:$AO$1001,0,'Per Line'!$AP$2:$AP$1001,0))</f>
        <v/>
      </c>
      <c r="R42" s="7">
        <f>IF($Z42="","",Q42*P42)</f>
        <v/>
      </c>
      <c r="S42">
        <f>IF($Z42="","",Settings!$C$6)</f>
        <v/>
      </c>
      <c r="T42" s="7">
        <f>IF($Z42="","",SUMIFS('Per Line'!$Y$2:$Y$1001,'Per Line'!$D$2:$D$1001,$B42,'Per Line'!$AO$2:$AO$1001,1,'Per Line'!$AP$2:$AP$1001,0))</f>
        <v/>
      </c>
      <c r="U42" s="7">
        <f>IF($Z42="","",T42*S42)</f>
        <v/>
      </c>
      <c r="V42" s="7">
        <f>IF($Z42="","",U42+R42)</f>
        <v/>
      </c>
      <c r="W42" s="7">
        <f>IF($Z42="","",X42-V42)</f>
        <v/>
      </c>
      <c r="X42" s="7">
        <f>IF($Z42="","",Q42+T42+O42)</f>
        <v/>
      </c>
      <c r="Y42" s="7">
        <f>IF($Z42="","",X42-V42-N42)</f>
        <v/>
      </c>
      <c r="Z42" s="13">
        <f>IF(ROWS($Z$2:$Z42)&lt;=MAX('Per Line'!$AN$2:$AN$1001),MATCH(ROWS($Z$2:$Z42),'Per Line'!$AN$2:$AN$1001,0),"")</f>
        <v/>
      </c>
    </row>
    <row r="43">
      <c r="A43" s="12" t="n"/>
      <c r="B43">
        <f>IF($Z43="","",INDEX('Per Line'!$D$2:$D$1001,$Z43)&amp;"")</f>
        <v/>
      </c>
      <c r="C43">
        <f>IF($Z43="","",INDEX('Per Line'!$B$2:$B$1001,$Z43)&amp;"")</f>
        <v/>
      </c>
      <c r="D43">
        <f>IF($Z43="","",INDEX('Per Line'!$A$2:$A$1001,$Z43))</f>
        <v/>
      </c>
      <c r="E43">
        <f>IF($Z43="","",INDEX('Per Line'!$E$2:$E$1001,$Z43)&amp;"")</f>
        <v/>
      </c>
      <c r="F43">
        <f>IF($Z43="","",INDEX('Per Line'!$F$2:$F$1001,$Z43)&amp;"")</f>
        <v/>
      </c>
      <c r="G43" s="11">
        <f>IF($Z43="","",INDEX('Per Line'!$G$2:$G$1001,$Z43))</f>
        <v/>
      </c>
      <c r="H43">
        <f>IF($Z43="","",INDEX('Per Line'!$I$2:$I$1001,$Z43)&amp;"")</f>
        <v/>
      </c>
      <c r="I43">
        <f>IF($Z43="","",INDEX('Per Line'!$J$2:$J$1001,$Z43)&amp;"")</f>
        <v/>
      </c>
      <c r="J43">
        <f>IF($Z43="","",INDEX('Per Line'!$K$2:$K$1001,$Z43)&amp;"")</f>
        <v/>
      </c>
      <c r="K43">
        <f>IF($Z43="","",INDEX('Per Line'!$L$2:$L$1001,$Z43)&amp;"")</f>
        <v/>
      </c>
      <c r="L43">
        <f>IF($Z43="","",INDEX('Per Line'!$M$2:$M$1001,$Z43)&amp;"")</f>
        <v/>
      </c>
      <c r="M43">
        <f>IF($Z43="","",INDEX('Per Line'!$P$2:$P$1001,$Z43))</f>
        <v/>
      </c>
      <c r="N43" s="7">
        <f>IF($Z43="","",M43*X43/100)</f>
        <v/>
      </c>
      <c r="O43" s="7">
        <f>IF($Z43="","",SUMIFS('Per Line'!$Y$2:$Y$1001,'Per Line'!$D$2:$D$1001,$B43,'Per Line'!$AP$2:$AP$1001,1))</f>
        <v/>
      </c>
      <c r="P43">
        <f>IF($Z43="","",Settings!$C$7)</f>
        <v/>
      </c>
      <c r="Q43" s="7">
        <f>IF($Z43="","",SUMIFS('Per Line'!$Y$2:$Y$1001,'Per Line'!$D$2:$D$1001,$B43,'Per Line'!$AO$2:$AO$1001,0,'Per Line'!$AP$2:$AP$1001,0))</f>
        <v/>
      </c>
      <c r="R43" s="7">
        <f>IF($Z43="","",Q43*P43)</f>
        <v/>
      </c>
      <c r="S43">
        <f>IF($Z43="","",Settings!$C$6)</f>
        <v/>
      </c>
      <c r="T43" s="7">
        <f>IF($Z43="","",SUMIFS('Per Line'!$Y$2:$Y$1001,'Per Line'!$D$2:$D$1001,$B43,'Per Line'!$AO$2:$AO$1001,1,'Per Line'!$AP$2:$AP$1001,0))</f>
        <v/>
      </c>
      <c r="U43" s="7">
        <f>IF($Z43="","",T43*S43)</f>
        <v/>
      </c>
      <c r="V43" s="7">
        <f>IF($Z43="","",U43+R43)</f>
        <v/>
      </c>
      <c r="W43" s="7">
        <f>IF($Z43="","",X43-V43)</f>
        <v/>
      </c>
      <c r="X43" s="7">
        <f>IF($Z43="","",Q43+T43+O43)</f>
        <v/>
      </c>
      <c r="Y43" s="7">
        <f>IF($Z43="","",X43-V43-N43)</f>
        <v/>
      </c>
      <c r="Z43" s="13">
        <f>IF(ROWS($Z$2:$Z43)&lt;=MAX('Per Line'!$AN$2:$AN$1001),MATCH(ROWS($Z$2:$Z43),'Per Line'!$AN$2:$AN$1001,0),"")</f>
        <v/>
      </c>
    </row>
    <row r="44">
      <c r="A44" s="12" t="n"/>
      <c r="B44">
        <f>IF($Z44="","",INDEX('Per Line'!$D$2:$D$1001,$Z44)&amp;"")</f>
        <v/>
      </c>
      <c r="C44">
        <f>IF($Z44="","",INDEX('Per Line'!$B$2:$B$1001,$Z44)&amp;"")</f>
        <v/>
      </c>
      <c r="D44">
        <f>IF($Z44="","",INDEX('Per Line'!$A$2:$A$1001,$Z44))</f>
        <v/>
      </c>
      <c r="E44">
        <f>IF($Z44="","",INDEX('Per Line'!$E$2:$E$1001,$Z44)&amp;"")</f>
        <v/>
      </c>
      <c r="F44">
        <f>IF($Z44="","",INDEX('Per Line'!$F$2:$F$1001,$Z44)&amp;"")</f>
        <v/>
      </c>
      <c r="G44" s="11">
        <f>IF($Z44="","",INDEX('Per Line'!$G$2:$G$1001,$Z44))</f>
        <v/>
      </c>
      <c r="H44">
        <f>IF($Z44="","",INDEX('Per Line'!$I$2:$I$1001,$Z44)&amp;"")</f>
        <v/>
      </c>
      <c r="I44">
        <f>IF($Z44="","",INDEX('Per Line'!$J$2:$J$1001,$Z44)&amp;"")</f>
        <v/>
      </c>
      <c r="J44">
        <f>IF($Z44="","",INDEX('Per Line'!$K$2:$K$1001,$Z44)&amp;"")</f>
        <v/>
      </c>
      <c r="K44">
        <f>IF($Z44="","",INDEX('Per Line'!$L$2:$L$1001,$Z44)&amp;"")</f>
        <v/>
      </c>
      <c r="L44">
        <f>IF($Z44="","",INDEX('Per Line'!$M$2:$M$1001,$Z44)&amp;"")</f>
        <v/>
      </c>
      <c r="M44">
        <f>IF($Z44="","",INDEX('Per Line'!$P$2:$P$1001,$Z44))</f>
        <v/>
      </c>
      <c r="N44" s="7">
        <f>IF($Z44="","",M44*X44/100)</f>
        <v/>
      </c>
      <c r="O44" s="7">
        <f>IF($Z44="","",SUMIFS('Per Line'!$Y$2:$Y$1001,'Per Line'!$D$2:$D$1001,$B44,'Per Line'!$AP$2:$AP$1001,1))</f>
        <v/>
      </c>
      <c r="P44">
        <f>IF($Z44="","",Settings!$C$7)</f>
        <v/>
      </c>
      <c r="Q44" s="7">
        <f>IF($Z44="","",SUMIFS('Per Line'!$Y$2:$Y$1001,'Per Line'!$D$2:$D$1001,$B44,'Per Line'!$AO$2:$AO$1001,0,'Per Line'!$AP$2:$AP$1001,0))</f>
        <v/>
      </c>
      <c r="R44" s="7">
        <f>IF($Z44="","",Q44*P44)</f>
        <v/>
      </c>
      <c r="S44">
        <f>IF($Z44="","",Settings!$C$6)</f>
        <v/>
      </c>
      <c r="T44" s="7">
        <f>IF($Z44="","",SUMIFS('Per Line'!$Y$2:$Y$1001,'Per Line'!$D$2:$D$1001,$B44,'Per Line'!$AO$2:$AO$1001,1,'Per Line'!$AP$2:$AP$1001,0))</f>
        <v/>
      </c>
      <c r="U44" s="7">
        <f>IF($Z44="","",T44*S44)</f>
        <v/>
      </c>
      <c r="V44" s="7">
        <f>IF($Z44="","",U44+R44)</f>
        <v/>
      </c>
      <c r="W44" s="7">
        <f>IF($Z44="","",X44-V44)</f>
        <v/>
      </c>
      <c r="X44" s="7">
        <f>IF($Z44="","",Q44+T44+O44)</f>
        <v/>
      </c>
      <c r="Y44" s="7">
        <f>IF($Z44="","",X44-V44-N44)</f>
        <v/>
      </c>
      <c r="Z44" s="13">
        <f>IF(ROWS($Z$2:$Z44)&lt;=MAX('Per Line'!$AN$2:$AN$1001),MATCH(ROWS($Z$2:$Z44),'Per Line'!$AN$2:$AN$1001,0),"")</f>
        <v/>
      </c>
    </row>
    <row r="45">
      <c r="A45" s="12" t="n"/>
      <c r="B45">
        <f>IF($Z45="","",INDEX('Per Line'!$D$2:$D$1001,$Z45)&amp;"")</f>
        <v/>
      </c>
      <c r="C45">
        <f>IF($Z45="","",INDEX('Per Line'!$B$2:$B$1001,$Z45)&amp;"")</f>
        <v/>
      </c>
      <c r="D45">
        <f>IF($Z45="","",INDEX('Per Line'!$A$2:$A$1001,$Z45))</f>
        <v/>
      </c>
      <c r="E45">
        <f>IF($Z45="","",INDEX('Per Line'!$E$2:$E$1001,$Z45)&amp;"")</f>
        <v/>
      </c>
      <c r="F45">
        <f>IF($Z45="","",INDEX('Per Line'!$F$2:$F$1001,$Z45)&amp;"")</f>
        <v/>
      </c>
      <c r="G45" s="11">
        <f>IF($Z45="","",INDEX('Per Line'!$G$2:$G$1001,$Z45))</f>
        <v/>
      </c>
      <c r="H45">
        <f>IF($Z45="","",INDEX('Per Line'!$I$2:$I$1001,$Z45)&amp;"")</f>
        <v/>
      </c>
      <c r="I45">
        <f>IF($Z45="","",INDEX('Per Line'!$J$2:$J$1001,$Z45)&amp;"")</f>
        <v/>
      </c>
      <c r="J45">
        <f>IF($Z45="","",INDEX('Per Line'!$K$2:$K$1001,$Z45)&amp;"")</f>
        <v/>
      </c>
      <c r="K45">
        <f>IF($Z45="","",INDEX('Per Line'!$L$2:$L$1001,$Z45)&amp;"")</f>
        <v/>
      </c>
      <c r="L45">
        <f>IF($Z45="","",INDEX('Per Line'!$M$2:$M$1001,$Z45)&amp;"")</f>
        <v/>
      </c>
      <c r="M45">
        <f>IF($Z45="","",INDEX('Per Line'!$P$2:$P$1001,$Z45))</f>
        <v/>
      </c>
      <c r="N45" s="7">
        <f>IF($Z45="","",M45*X45/100)</f>
        <v/>
      </c>
      <c r="O45" s="7">
        <f>IF($Z45="","",SUMIFS('Per Line'!$Y$2:$Y$1001,'Per Line'!$D$2:$D$1001,$B45,'Per Line'!$AP$2:$AP$1001,1))</f>
        <v/>
      </c>
      <c r="P45">
        <f>IF($Z45="","",Settings!$C$7)</f>
        <v/>
      </c>
      <c r="Q45" s="7">
        <f>IF($Z45="","",SUMIFS('Per Line'!$Y$2:$Y$1001,'Per Line'!$D$2:$D$1001,$B45,'Per Line'!$AO$2:$AO$1001,0,'Per Line'!$AP$2:$AP$1001,0))</f>
        <v/>
      </c>
      <c r="R45" s="7">
        <f>IF($Z45="","",Q45*P45)</f>
        <v/>
      </c>
      <c r="S45">
        <f>IF($Z45="","",Settings!$C$6)</f>
        <v/>
      </c>
      <c r="T45" s="7">
        <f>IF($Z45="","",SUMIFS('Per Line'!$Y$2:$Y$1001,'Per Line'!$D$2:$D$1001,$B45,'Per Line'!$AO$2:$AO$1001,1,'Per Line'!$AP$2:$AP$1001,0))</f>
        <v/>
      </c>
      <c r="U45" s="7">
        <f>IF($Z45="","",T45*S45)</f>
        <v/>
      </c>
      <c r="V45" s="7">
        <f>IF($Z45="","",U45+R45)</f>
        <v/>
      </c>
      <c r="W45" s="7">
        <f>IF($Z45="","",X45-V45)</f>
        <v/>
      </c>
      <c r="X45" s="7">
        <f>IF($Z45="","",Q45+T45+O45)</f>
        <v/>
      </c>
      <c r="Y45" s="7">
        <f>IF($Z45="","",X45-V45-N45)</f>
        <v/>
      </c>
      <c r="Z45" s="13">
        <f>IF(ROWS($Z$2:$Z45)&lt;=MAX('Per Line'!$AN$2:$AN$1001),MATCH(ROWS($Z$2:$Z45),'Per Line'!$AN$2:$AN$1001,0),"")</f>
        <v/>
      </c>
    </row>
    <row r="46">
      <c r="A46" s="12" t="n"/>
      <c r="B46">
        <f>IF($Z46="","",INDEX('Per Line'!$D$2:$D$1001,$Z46)&amp;"")</f>
        <v/>
      </c>
      <c r="C46">
        <f>IF($Z46="","",INDEX('Per Line'!$B$2:$B$1001,$Z46)&amp;"")</f>
        <v/>
      </c>
      <c r="D46">
        <f>IF($Z46="","",INDEX('Per Line'!$A$2:$A$1001,$Z46))</f>
        <v/>
      </c>
      <c r="E46">
        <f>IF($Z46="","",INDEX('Per Line'!$E$2:$E$1001,$Z46)&amp;"")</f>
        <v/>
      </c>
      <c r="F46">
        <f>IF($Z46="","",INDEX('Per Line'!$F$2:$F$1001,$Z46)&amp;"")</f>
        <v/>
      </c>
      <c r="G46" s="11">
        <f>IF($Z46="","",INDEX('Per Line'!$G$2:$G$1001,$Z46))</f>
        <v/>
      </c>
      <c r="H46">
        <f>IF($Z46="","",INDEX('Per Line'!$I$2:$I$1001,$Z46)&amp;"")</f>
        <v/>
      </c>
      <c r="I46">
        <f>IF($Z46="","",INDEX('Per Line'!$J$2:$J$1001,$Z46)&amp;"")</f>
        <v/>
      </c>
      <c r="J46">
        <f>IF($Z46="","",INDEX('Per Line'!$K$2:$K$1001,$Z46)&amp;"")</f>
        <v/>
      </c>
      <c r="K46">
        <f>IF($Z46="","",INDEX('Per Line'!$L$2:$L$1001,$Z46)&amp;"")</f>
        <v/>
      </c>
      <c r="L46">
        <f>IF($Z46="","",INDEX('Per Line'!$M$2:$M$1001,$Z46)&amp;"")</f>
        <v/>
      </c>
      <c r="M46">
        <f>IF($Z46="","",INDEX('Per Line'!$P$2:$P$1001,$Z46))</f>
        <v/>
      </c>
      <c r="N46" s="7">
        <f>IF($Z46="","",M46*X46/100)</f>
        <v/>
      </c>
      <c r="O46" s="7">
        <f>IF($Z46="","",SUMIFS('Per Line'!$Y$2:$Y$1001,'Per Line'!$D$2:$D$1001,$B46,'Per Line'!$AP$2:$AP$1001,1))</f>
        <v/>
      </c>
      <c r="P46">
        <f>IF($Z46="","",Settings!$C$7)</f>
        <v/>
      </c>
      <c r="Q46" s="7">
        <f>IF($Z46="","",SUMIFS('Per Line'!$Y$2:$Y$1001,'Per Line'!$D$2:$D$1001,$B46,'Per Line'!$AO$2:$AO$1001,0,'Per Line'!$AP$2:$AP$1001,0))</f>
        <v/>
      </c>
      <c r="R46" s="7">
        <f>IF($Z46="","",Q46*P46)</f>
        <v/>
      </c>
      <c r="S46">
        <f>IF($Z46="","",Settings!$C$6)</f>
        <v/>
      </c>
      <c r="T46" s="7">
        <f>IF($Z46="","",SUMIFS('Per Line'!$Y$2:$Y$1001,'Per Line'!$D$2:$D$1001,$B46,'Per Line'!$AO$2:$AO$1001,1,'Per Line'!$AP$2:$AP$1001,0))</f>
        <v/>
      </c>
      <c r="U46" s="7">
        <f>IF($Z46="","",T46*S46)</f>
        <v/>
      </c>
      <c r="V46" s="7">
        <f>IF($Z46="","",U46+R46)</f>
        <v/>
      </c>
      <c r="W46" s="7">
        <f>IF($Z46="","",X46-V46)</f>
        <v/>
      </c>
      <c r="X46" s="7">
        <f>IF($Z46="","",Q46+T46+O46)</f>
        <v/>
      </c>
      <c r="Y46" s="7">
        <f>IF($Z46="","",X46-V46-N46)</f>
        <v/>
      </c>
      <c r="Z46" s="13">
        <f>IF(ROWS($Z$2:$Z46)&lt;=MAX('Per Line'!$AN$2:$AN$1001),MATCH(ROWS($Z$2:$Z46),'Per Line'!$AN$2:$AN$1001,0),"")</f>
        <v/>
      </c>
    </row>
    <row r="47">
      <c r="A47" s="12" t="n"/>
      <c r="B47">
        <f>IF($Z47="","",INDEX('Per Line'!$D$2:$D$1001,$Z47)&amp;"")</f>
        <v/>
      </c>
      <c r="C47">
        <f>IF($Z47="","",INDEX('Per Line'!$B$2:$B$1001,$Z47)&amp;"")</f>
        <v/>
      </c>
      <c r="D47">
        <f>IF($Z47="","",INDEX('Per Line'!$A$2:$A$1001,$Z47))</f>
        <v/>
      </c>
      <c r="E47">
        <f>IF($Z47="","",INDEX('Per Line'!$E$2:$E$1001,$Z47)&amp;"")</f>
        <v/>
      </c>
      <c r="F47">
        <f>IF($Z47="","",INDEX('Per Line'!$F$2:$F$1001,$Z47)&amp;"")</f>
        <v/>
      </c>
      <c r="G47" s="11">
        <f>IF($Z47="","",INDEX('Per Line'!$G$2:$G$1001,$Z47))</f>
        <v/>
      </c>
      <c r="H47">
        <f>IF($Z47="","",INDEX('Per Line'!$I$2:$I$1001,$Z47)&amp;"")</f>
        <v/>
      </c>
      <c r="I47">
        <f>IF($Z47="","",INDEX('Per Line'!$J$2:$J$1001,$Z47)&amp;"")</f>
        <v/>
      </c>
      <c r="J47">
        <f>IF($Z47="","",INDEX('Per Line'!$K$2:$K$1001,$Z47)&amp;"")</f>
        <v/>
      </c>
      <c r="K47">
        <f>IF($Z47="","",INDEX('Per Line'!$L$2:$L$1001,$Z47)&amp;"")</f>
        <v/>
      </c>
      <c r="L47">
        <f>IF($Z47="","",INDEX('Per Line'!$M$2:$M$1001,$Z47)&amp;"")</f>
        <v/>
      </c>
      <c r="M47">
        <f>IF($Z47="","",INDEX('Per Line'!$P$2:$P$1001,$Z47))</f>
        <v/>
      </c>
      <c r="N47" s="7">
        <f>IF($Z47="","",M47*X47/100)</f>
        <v/>
      </c>
      <c r="O47" s="7">
        <f>IF($Z47="","",SUMIFS('Per Line'!$Y$2:$Y$1001,'Per Line'!$D$2:$D$1001,$B47,'Per Line'!$AP$2:$AP$1001,1))</f>
        <v/>
      </c>
      <c r="P47">
        <f>IF($Z47="","",Settings!$C$7)</f>
        <v/>
      </c>
      <c r="Q47" s="7">
        <f>IF($Z47="","",SUMIFS('Per Line'!$Y$2:$Y$1001,'Per Line'!$D$2:$D$1001,$B47,'Per Line'!$AO$2:$AO$1001,0,'Per Line'!$AP$2:$AP$1001,0))</f>
        <v/>
      </c>
      <c r="R47" s="7">
        <f>IF($Z47="","",Q47*P47)</f>
        <v/>
      </c>
      <c r="S47">
        <f>IF($Z47="","",Settings!$C$6)</f>
        <v/>
      </c>
      <c r="T47" s="7">
        <f>IF($Z47="","",SUMIFS('Per Line'!$Y$2:$Y$1001,'Per Line'!$D$2:$D$1001,$B47,'Per Line'!$AO$2:$AO$1001,1,'Per Line'!$AP$2:$AP$1001,0))</f>
        <v/>
      </c>
      <c r="U47" s="7">
        <f>IF($Z47="","",T47*S47)</f>
        <v/>
      </c>
      <c r="V47" s="7">
        <f>IF($Z47="","",U47+R47)</f>
        <v/>
      </c>
      <c r="W47" s="7">
        <f>IF($Z47="","",X47-V47)</f>
        <v/>
      </c>
      <c r="X47" s="7">
        <f>IF($Z47="","",Q47+T47+O47)</f>
        <v/>
      </c>
      <c r="Y47" s="7">
        <f>IF($Z47="","",X47-V47-N47)</f>
        <v/>
      </c>
      <c r="Z47" s="13">
        <f>IF(ROWS($Z$2:$Z47)&lt;=MAX('Per Line'!$AN$2:$AN$1001),MATCH(ROWS($Z$2:$Z47),'Per Line'!$AN$2:$AN$1001,0),"")</f>
        <v/>
      </c>
    </row>
    <row r="48">
      <c r="A48" s="12" t="n"/>
      <c r="B48">
        <f>IF($Z48="","",INDEX('Per Line'!$D$2:$D$1001,$Z48)&amp;"")</f>
        <v/>
      </c>
      <c r="C48">
        <f>IF($Z48="","",INDEX('Per Line'!$B$2:$B$1001,$Z48)&amp;"")</f>
        <v/>
      </c>
      <c r="D48">
        <f>IF($Z48="","",INDEX('Per Line'!$A$2:$A$1001,$Z48))</f>
        <v/>
      </c>
      <c r="E48">
        <f>IF($Z48="","",INDEX('Per Line'!$E$2:$E$1001,$Z48)&amp;"")</f>
        <v/>
      </c>
      <c r="F48">
        <f>IF($Z48="","",INDEX('Per Line'!$F$2:$F$1001,$Z48)&amp;"")</f>
        <v/>
      </c>
      <c r="G48" s="11">
        <f>IF($Z48="","",INDEX('Per Line'!$G$2:$G$1001,$Z48))</f>
        <v/>
      </c>
      <c r="H48">
        <f>IF($Z48="","",INDEX('Per Line'!$I$2:$I$1001,$Z48)&amp;"")</f>
        <v/>
      </c>
      <c r="I48">
        <f>IF($Z48="","",INDEX('Per Line'!$J$2:$J$1001,$Z48)&amp;"")</f>
        <v/>
      </c>
      <c r="J48">
        <f>IF($Z48="","",INDEX('Per Line'!$K$2:$K$1001,$Z48)&amp;"")</f>
        <v/>
      </c>
      <c r="K48">
        <f>IF($Z48="","",INDEX('Per Line'!$L$2:$L$1001,$Z48)&amp;"")</f>
        <v/>
      </c>
      <c r="L48">
        <f>IF($Z48="","",INDEX('Per Line'!$M$2:$M$1001,$Z48)&amp;"")</f>
        <v/>
      </c>
      <c r="M48">
        <f>IF($Z48="","",INDEX('Per Line'!$P$2:$P$1001,$Z48))</f>
        <v/>
      </c>
      <c r="N48" s="7">
        <f>IF($Z48="","",M48*X48/100)</f>
        <v/>
      </c>
      <c r="O48" s="7">
        <f>IF($Z48="","",SUMIFS('Per Line'!$Y$2:$Y$1001,'Per Line'!$D$2:$D$1001,$B48,'Per Line'!$AP$2:$AP$1001,1))</f>
        <v/>
      </c>
      <c r="P48">
        <f>IF($Z48="","",Settings!$C$7)</f>
        <v/>
      </c>
      <c r="Q48" s="7">
        <f>IF($Z48="","",SUMIFS('Per Line'!$Y$2:$Y$1001,'Per Line'!$D$2:$D$1001,$B48,'Per Line'!$AO$2:$AO$1001,0,'Per Line'!$AP$2:$AP$1001,0))</f>
        <v/>
      </c>
      <c r="R48" s="7">
        <f>IF($Z48="","",Q48*P48)</f>
        <v/>
      </c>
      <c r="S48">
        <f>IF($Z48="","",Settings!$C$6)</f>
        <v/>
      </c>
      <c r="T48" s="7">
        <f>IF($Z48="","",SUMIFS('Per Line'!$Y$2:$Y$1001,'Per Line'!$D$2:$D$1001,$B48,'Per Line'!$AO$2:$AO$1001,1,'Per Line'!$AP$2:$AP$1001,0))</f>
        <v/>
      </c>
      <c r="U48" s="7">
        <f>IF($Z48="","",T48*S48)</f>
        <v/>
      </c>
      <c r="V48" s="7">
        <f>IF($Z48="","",U48+R48)</f>
        <v/>
      </c>
      <c r="W48" s="7">
        <f>IF($Z48="","",X48-V48)</f>
        <v/>
      </c>
      <c r="X48" s="7">
        <f>IF($Z48="","",Q48+T48+O48)</f>
        <v/>
      </c>
      <c r="Y48" s="7">
        <f>IF($Z48="","",X48-V48-N48)</f>
        <v/>
      </c>
      <c r="Z48" s="13">
        <f>IF(ROWS($Z$2:$Z48)&lt;=MAX('Per Line'!$AN$2:$AN$1001),MATCH(ROWS($Z$2:$Z48),'Per Line'!$AN$2:$AN$1001,0),"")</f>
        <v/>
      </c>
    </row>
    <row r="49">
      <c r="A49" s="12" t="n"/>
      <c r="B49">
        <f>IF($Z49="","",INDEX('Per Line'!$D$2:$D$1001,$Z49)&amp;"")</f>
        <v/>
      </c>
      <c r="C49">
        <f>IF($Z49="","",INDEX('Per Line'!$B$2:$B$1001,$Z49)&amp;"")</f>
        <v/>
      </c>
      <c r="D49">
        <f>IF($Z49="","",INDEX('Per Line'!$A$2:$A$1001,$Z49))</f>
        <v/>
      </c>
      <c r="E49">
        <f>IF($Z49="","",INDEX('Per Line'!$E$2:$E$1001,$Z49)&amp;"")</f>
        <v/>
      </c>
      <c r="F49">
        <f>IF($Z49="","",INDEX('Per Line'!$F$2:$F$1001,$Z49)&amp;"")</f>
        <v/>
      </c>
      <c r="G49" s="11">
        <f>IF($Z49="","",INDEX('Per Line'!$G$2:$G$1001,$Z49))</f>
        <v/>
      </c>
      <c r="H49">
        <f>IF($Z49="","",INDEX('Per Line'!$I$2:$I$1001,$Z49)&amp;"")</f>
        <v/>
      </c>
      <c r="I49">
        <f>IF($Z49="","",INDEX('Per Line'!$J$2:$J$1001,$Z49)&amp;"")</f>
        <v/>
      </c>
      <c r="J49">
        <f>IF($Z49="","",INDEX('Per Line'!$K$2:$K$1001,$Z49)&amp;"")</f>
        <v/>
      </c>
      <c r="K49">
        <f>IF($Z49="","",INDEX('Per Line'!$L$2:$L$1001,$Z49)&amp;"")</f>
        <v/>
      </c>
      <c r="L49">
        <f>IF($Z49="","",INDEX('Per Line'!$M$2:$M$1001,$Z49)&amp;"")</f>
        <v/>
      </c>
      <c r="M49">
        <f>IF($Z49="","",INDEX('Per Line'!$P$2:$P$1001,$Z49))</f>
        <v/>
      </c>
      <c r="N49" s="7">
        <f>IF($Z49="","",M49*X49/100)</f>
        <v/>
      </c>
      <c r="O49" s="7">
        <f>IF($Z49="","",SUMIFS('Per Line'!$Y$2:$Y$1001,'Per Line'!$D$2:$D$1001,$B49,'Per Line'!$AP$2:$AP$1001,1))</f>
        <v/>
      </c>
      <c r="P49">
        <f>IF($Z49="","",Settings!$C$7)</f>
        <v/>
      </c>
      <c r="Q49" s="7">
        <f>IF($Z49="","",SUMIFS('Per Line'!$Y$2:$Y$1001,'Per Line'!$D$2:$D$1001,$B49,'Per Line'!$AO$2:$AO$1001,0,'Per Line'!$AP$2:$AP$1001,0))</f>
        <v/>
      </c>
      <c r="R49" s="7">
        <f>IF($Z49="","",Q49*P49)</f>
        <v/>
      </c>
      <c r="S49">
        <f>IF($Z49="","",Settings!$C$6)</f>
        <v/>
      </c>
      <c r="T49" s="7">
        <f>IF($Z49="","",SUMIFS('Per Line'!$Y$2:$Y$1001,'Per Line'!$D$2:$D$1001,$B49,'Per Line'!$AO$2:$AO$1001,1,'Per Line'!$AP$2:$AP$1001,0))</f>
        <v/>
      </c>
      <c r="U49" s="7">
        <f>IF($Z49="","",T49*S49)</f>
        <v/>
      </c>
      <c r="V49" s="7">
        <f>IF($Z49="","",U49+R49)</f>
        <v/>
      </c>
      <c r="W49" s="7">
        <f>IF($Z49="","",X49-V49)</f>
        <v/>
      </c>
      <c r="X49" s="7">
        <f>IF($Z49="","",Q49+T49+O49)</f>
        <v/>
      </c>
      <c r="Y49" s="7">
        <f>IF($Z49="","",X49-V49-N49)</f>
        <v/>
      </c>
      <c r="Z49" s="13">
        <f>IF(ROWS($Z$2:$Z49)&lt;=MAX('Per Line'!$AN$2:$AN$1001),MATCH(ROWS($Z$2:$Z49),'Per Line'!$AN$2:$AN$1001,0),"")</f>
        <v/>
      </c>
    </row>
    <row r="50">
      <c r="A50" s="12" t="n"/>
      <c r="B50">
        <f>IF($Z50="","",INDEX('Per Line'!$D$2:$D$1001,$Z50)&amp;"")</f>
        <v/>
      </c>
      <c r="C50">
        <f>IF($Z50="","",INDEX('Per Line'!$B$2:$B$1001,$Z50)&amp;"")</f>
        <v/>
      </c>
      <c r="D50">
        <f>IF($Z50="","",INDEX('Per Line'!$A$2:$A$1001,$Z50))</f>
        <v/>
      </c>
      <c r="E50">
        <f>IF($Z50="","",INDEX('Per Line'!$E$2:$E$1001,$Z50)&amp;"")</f>
        <v/>
      </c>
      <c r="F50">
        <f>IF($Z50="","",INDEX('Per Line'!$F$2:$F$1001,$Z50)&amp;"")</f>
        <v/>
      </c>
      <c r="G50" s="11">
        <f>IF($Z50="","",INDEX('Per Line'!$G$2:$G$1001,$Z50))</f>
        <v/>
      </c>
      <c r="H50">
        <f>IF($Z50="","",INDEX('Per Line'!$I$2:$I$1001,$Z50)&amp;"")</f>
        <v/>
      </c>
      <c r="I50">
        <f>IF($Z50="","",INDEX('Per Line'!$J$2:$J$1001,$Z50)&amp;"")</f>
        <v/>
      </c>
      <c r="J50">
        <f>IF($Z50="","",INDEX('Per Line'!$K$2:$K$1001,$Z50)&amp;"")</f>
        <v/>
      </c>
      <c r="K50">
        <f>IF($Z50="","",INDEX('Per Line'!$L$2:$L$1001,$Z50)&amp;"")</f>
        <v/>
      </c>
      <c r="L50">
        <f>IF($Z50="","",INDEX('Per Line'!$M$2:$M$1001,$Z50)&amp;"")</f>
        <v/>
      </c>
      <c r="M50">
        <f>IF($Z50="","",INDEX('Per Line'!$P$2:$P$1001,$Z50))</f>
        <v/>
      </c>
      <c r="N50" s="7">
        <f>IF($Z50="","",M50*X50/100)</f>
        <v/>
      </c>
      <c r="O50" s="7">
        <f>IF($Z50="","",SUMIFS('Per Line'!$Y$2:$Y$1001,'Per Line'!$D$2:$D$1001,$B50,'Per Line'!$AP$2:$AP$1001,1))</f>
        <v/>
      </c>
      <c r="P50">
        <f>IF($Z50="","",Settings!$C$7)</f>
        <v/>
      </c>
      <c r="Q50" s="7">
        <f>IF($Z50="","",SUMIFS('Per Line'!$Y$2:$Y$1001,'Per Line'!$D$2:$D$1001,$B50,'Per Line'!$AO$2:$AO$1001,0,'Per Line'!$AP$2:$AP$1001,0))</f>
        <v/>
      </c>
      <c r="R50" s="7">
        <f>IF($Z50="","",Q50*P50)</f>
        <v/>
      </c>
      <c r="S50">
        <f>IF($Z50="","",Settings!$C$6)</f>
        <v/>
      </c>
      <c r="T50" s="7">
        <f>IF($Z50="","",SUMIFS('Per Line'!$Y$2:$Y$1001,'Per Line'!$D$2:$D$1001,$B50,'Per Line'!$AO$2:$AO$1001,1,'Per Line'!$AP$2:$AP$1001,0))</f>
        <v/>
      </c>
      <c r="U50" s="7">
        <f>IF($Z50="","",T50*S50)</f>
        <v/>
      </c>
      <c r="V50" s="7">
        <f>IF($Z50="","",U50+R50)</f>
        <v/>
      </c>
      <c r="W50" s="7">
        <f>IF($Z50="","",X50-V50)</f>
        <v/>
      </c>
      <c r="X50" s="7">
        <f>IF($Z50="","",Q50+T50+O50)</f>
        <v/>
      </c>
      <c r="Y50" s="7">
        <f>IF($Z50="","",X50-V50-N50)</f>
        <v/>
      </c>
      <c r="Z50" s="13">
        <f>IF(ROWS($Z$2:$Z50)&lt;=MAX('Per Line'!$AN$2:$AN$1001),MATCH(ROWS($Z$2:$Z50),'Per Line'!$AN$2:$AN$1001,0),"")</f>
        <v/>
      </c>
    </row>
    <row r="51">
      <c r="A51" s="12" t="n"/>
      <c r="B51">
        <f>IF($Z51="","",INDEX('Per Line'!$D$2:$D$1001,$Z51)&amp;"")</f>
        <v/>
      </c>
      <c r="C51">
        <f>IF($Z51="","",INDEX('Per Line'!$B$2:$B$1001,$Z51)&amp;"")</f>
        <v/>
      </c>
      <c r="D51">
        <f>IF($Z51="","",INDEX('Per Line'!$A$2:$A$1001,$Z51))</f>
        <v/>
      </c>
      <c r="E51">
        <f>IF($Z51="","",INDEX('Per Line'!$E$2:$E$1001,$Z51)&amp;"")</f>
        <v/>
      </c>
      <c r="F51">
        <f>IF($Z51="","",INDEX('Per Line'!$F$2:$F$1001,$Z51)&amp;"")</f>
        <v/>
      </c>
      <c r="G51" s="11">
        <f>IF($Z51="","",INDEX('Per Line'!$G$2:$G$1001,$Z51))</f>
        <v/>
      </c>
      <c r="H51">
        <f>IF($Z51="","",INDEX('Per Line'!$I$2:$I$1001,$Z51)&amp;"")</f>
        <v/>
      </c>
      <c r="I51">
        <f>IF($Z51="","",INDEX('Per Line'!$J$2:$J$1001,$Z51)&amp;"")</f>
        <v/>
      </c>
      <c r="J51">
        <f>IF($Z51="","",INDEX('Per Line'!$K$2:$K$1001,$Z51)&amp;"")</f>
        <v/>
      </c>
      <c r="K51">
        <f>IF($Z51="","",INDEX('Per Line'!$L$2:$L$1001,$Z51)&amp;"")</f>
        <v/>
      </c>
      <c r="L51">
        <f>IF($Z51="","",INDEX('Per Line'!$M$2:$M$1001,$Z51)&amp;"")</f>
        <v/>
      </c>
      <c r="M51">
        <f>IF($Z51="","",INDEX('Per Line'!$P$2:$P$1001,$Z51))</f>
        <v/>
      </c>
      <c r="N51" s="7">
        <f>IF($Z51="","",M51*X51/100)</f>
        <v/>
      </c>
      <c r="O51" s="7">
        <f>IF($Z51="","",SUMIFS('Per Line'!$Y$2:$Y$1001,'Per Line'!$D$2:$D$1001,$B51,'Per Line'!$AP$2:$AP$1001,1))</f>
        <v/>
      </c>
      <c r="P51">
        <f>IF($Z51="","",Settings!$C$7)</f>
        <v/>
      </c>
      <c r="Q51" s="7">
        <f>IF($Z51="","",SUMIFS('Per Line'!$Y$2:$Y$1001,'Per Line'!$D$2:$D$1001,$B51,'Per Line'!$AO$2:$AO$1001,0,'Per Line'!$AP$2:$AP$1001,0))</f>
        <v/>
      </c>
      <c r="R51" s="7">
        <f>IF($Z51="","",Q51*P51)</f>
        <v/>
      </c>
      <c r="S51">
        <f>IF($Z51="","",Settings!$C$6)</f>
        <v/>
      </c>
      <c r="T51" s="7">
        <f>IF($Z51="","",SUMIFS('Per Line'!$Y$2:$Y$1001,'Per Line'!$D$2:$D$1001,$B51,'Per Line'!$AO$2:$AO$1001,1,'Per Line'!$AP$2:$AP$1001,0))</f>
        <v/>
      </c>
      <c r="U51" s="7">
        <f>IF($Z51="","",T51*S51)</f>
        <v/>
      </c>
      <c r="V51" s="7">
        <f>IF($Z51="","",U51+R51)</f>
        <v/>
      </c>
      <c r="W51" s="7">
        <f>IF($Z51="","",X51-V51)</f>
        <v/>
      </c>
      <c r="X51" s="7">
        <f>IF($Z51="","",Q51+T51+O51)</f>
        <v/>
      </c>
      <c r="Y51" s="7">
        <f>IF($Z51="","",X51-V51-N51)</f>
        <v/>
      </c>
      <c r="Z51" s="13">
        <f>IF(ROWS($Z$2:$Z51)&lt;=MAX('Per Line'!$AN$2:$AN$1001),MATCH(ROWS($Z$2:$Z51),'Per Line'!$AN$2:$AN$1001,0),"")</f>
        <v/>
      </c>
    </row>
    <row r="52">
      <c r="A52" s="12" t="n"/>
      <c r="B52">
        <f>IF($Z52="","",INDEX('Per Line'!$D$2:$D$1001,$Z52)&amp;"")</f>
        <v/>
      </c>
      <c r="C52">
        <f>IF($Z52="","",INDEX('Per Line'!$B$2:$B$1001,$Z52)&amp;"")</f>
        <v/>
      </c>
      <c r="D52">
        <f>IF($Z52="","",INDEX('Per Line'!$A$2:$A$1001,$Z52))</f>
        <v/>
      </c>
      <c r="E52">
        <f>IF($Z52="","",INDEX('Per Line'!$E$2:$E$1001,$Z52)&amp;"")</f>
        <v/>
      </c>
      <c r="F52">
        <f>IF($Z52="","",INDEX('Per Line'!$F$2:$F$1001,$Z52)&amp;"")</f>
        <v/>
      </c>
      <c r="G52" s="11">
        <f>IF($Z52="","",INDEX('Per Line'!$G$2:$G$1001,$Z52))</f>
        <v/>
      </c>
      <c r="H52">
        <f>IF($Z52="","",INDEX('Per Line'!$I$2:$I$1001,$Z52)&amp;"")</f>
        <v/>
      </c>
      <c r="I52">
        <f>IF($Z52="","",INDEX('Per Line'!$J$2:$J$1001,$Z52)&amp;"")</f>
        <v/>
      </c>
      <c r="J52">
        <f>IF($Z52="","",INDEX('Per Line'!$K$2:$K$1001,$Z52)&amp;"")</f>
        <v/>
      </c>
      <c r="K52">
        <f>IF($Z52="","",INDEX('Per Line'!$L$2:$L$1001,$Z52)&amp;"")</f>
        <v/>
      </c>
      <c r="L52">
        <f>IF($Z52="","",INDEX('Per Line'!$M$2:$M$1001,$Z52)&amp;"")</f>
        <v/>
      </c>
      <c r="M52">
        <f>IF($Z52="","",INDEX('Per Line'!$P$2:$P$1001,$Z52))</f>
        <v/>
      </c>
      <c r="N52" s="7">
        <f>IF($Z52="","",M52*X52/100)</f>
        <v/>
      </c>
      <c r="O52" s="7">
        <f>IF($Z52="","",SUMIFS('Per Line'!$Y$2:$Y$1001,'Per Line'!$D$2:$D$1001,$B52,'Per Line'!$AP$2:$AP$1001,1))</f>
        <v/>
      </c>
      <c r="P52">
        <f>IF($Z52="","",Settings!$C$7)</f>
        <v/>
      </c>
      <c r="Q52" s="7">
        <f>IF($Z52="","",SUMIFS('Per Line'!$Y$2:$Y$1001,'Per Line'!$D$2:$D$1001,$B52,'Per Line'!$AO$2:$AO$1001,0,'Per Line'!$AP$2:$AP$1001,0))</f>
        <v/>
      </c>
      <c r="R52" s="7">
        <f>IF($Z52="","",Q52*P52)</f>
        <v/>
      </c>
      <c r="S52">
        <f>IF($Z52="","",Settings!$C$6)</f>
        <v/>
      </c>
      <c r="T52" s="7">
        <f>IF($Z52="","",SUMIFS('Per Line'!$Y$2:$Y$1001,'Per Line'!$D$2:$D$1001,$B52,'Per Line'!$AO$2:$AO$1001,1,'Per Line'!$AP$2:$AP$1001,0))</f>
        <v/>
      </c>
      <c r="U52" s="7">
        <f>IF($Z52="","",T52*S52)</f>
        <v/>
      </c>
      <c r="V52" s="7">
        <f>IF($Z52="","",U52+R52)</f>
        <v/>
      </c>
      <c r="W52" s="7">
        <f>IF($Z52="","",X52-V52)</f>
        <v/>
      </c>
      <c r="X52" s="7">
        <f>IF($Z52="","",Q52+T52+O52)</f>
        <v/>
      </c>
      <c r="Y52" s="7">
        <f>IF($Z52="","",X52-V52-N52)</f>
        <v/>
      </c>
      <c r="Z52" s="13">
        <f>IF(ROWS($Z$2:$Z52)&lt;=MAX('Per Line'!$AN$2:$AN$1001),MATCH(ROWS($Z$2:$Z52),'Per Line'!$AN$2:$AN$1001,0),"")</f>
        <v/>
      </c>
    </row>
    <row r="53">
      <c r="A53" s="12" t="n"/>
      <c r="B53">
        <f>IF($Z53="","",INDEX('Per Line'!$D$2:$D$1001,$Z53)&amp;"")</f>
        <v/>
      </c>
      <c r="C53">
        <f>IF($Z53="","",INDEX('Per Line'!$B$2:$B$1001,$Z53)&amp;"")</f>
        <v/>
      </c>
      <c r="D53">
        <f>IF($Z53="","",INDEX('Per Line'!$A$2:$A$1001,$Z53))</f>
        <v/>
      </c>
      <c r="E53">
        <f>IF($Z53="","",INDEX('Per Line'!$E$2:$E$1001,$Z53)&amp;"")</f>
        <v/>
      </c>
      <c r="F53">
        <f>IF($Z53="","",INDEX('Per Line'!$F$2:$F$1001,$Z53)&amp;"")</f>
        <v/>
      </c>
      <c r="G53" s="11">
        <f>IF($Z53="","",INDEX('Per Line'!$G$2:$G$1001,$Z53))</f>
        <v/>
      </c>
      <c r="H53">
        <f>IF($Z53="","",INDEX('Per Line'!$I$2:$I$1001,$Z53)&amp;"")</f>
        <v/>
      </c>
      <c r="I53">
        <f>IF($Z53="","",INDEX('Per Line'!$J$2:$J$1001,$Z53)&amp;"")</f>
        <v/>
      </c>
      <c r="J53">
        <f>IF($Z53="","",INDEX('Per Line'!$K$2:$K$1001,$Z53)&amp;"")</f>
        <v/>
      </c>
      <c r="K53">
        <f>IF($Z53="","",INDEX('Per Line'!$L$2:$L$1001,$Z53)&amp;"")</f>
        <v/>
      </c>
      <c r="L53">
        <f>IF($Z53="","",INDEX('Per Line'!$M$2:$M$1001,$Z53)&amp;"")</f>
        <v/>
      </c>
      <c r="M53">
        <f>IF($Z53="","",INDEX('Per Line'!$P$2:$P$1001,$Z53))</f>
        <v/>
      </c>
      <c r="N53" s="7">
        <f>IF($Z53="","",M53*X53/100)</f>
        <v/>
      </c>
      <c r="O53" s="7">
        <f>IF($Z53="","",SUMIFS('Per Line'!$Y$2:$Y$1001,'Per Line'!$D$2:$D$1001,$B53,'Per Line'!$AP$2:$AP$1001,1))</f>
        <v/>
      </c>
      <c r="P53">
        <f>IF($Z53="","",Settings!$C$7)</f>
        <v/>
      </c>
      <c r="Q53" s="7">
        <f>IF($Z53="","",SUMIFS('Per Line'!$Y$2:$Y$1001,'Per Line'!$D$2:$D$1001,$B53,'Per Line'!$AO$2:$AO$1001,0,'Per Line'!$AP$2:$AP$1001,0))</f>
        <v/>
      </c>
      <c r="R53" s="7">
        <f>IF($Z53="","",Q53*P53)</f>
        <v/>
      </c>
      <c r="S53">
        <f>IF($Z53="","",Settings!$C$6)</f>
        <v/>
      </c>
      <c r="T53" s="7">
        <f>IF($Z53="","",SUMIFS('Per Line'!$Y$2:$Y$1001,'Per Line'!$D$2:$D$1001,$B53,'Per Line'!$AO$2:$AO$1001,1,'Per Line'!$AP$2:$AP$1001,0))</f>
        <v/>
      </c>
      <c r="U53" s="7">
        <f>IF($Z53="","",T53*S53)</f>
        <v/>
      </c>
      <c r="V53" s="7">
        <f>IF($Z53="","",U53+R53)</f>
        <v/>
      </c>
      <c r="W53" s="7">
        <f>IF($Z53="","",X53-V53)</f>
        <v/>
      </c>
      <c r="X53" s="7">
        <f>IF($Z53="","",Q53+T53+O53)</f>
        <v/>
      </c>
      <c r="Y53" s="7">
        <f>IF($Z53="","",X53-V53-N53)</f>
        <v/>
      </c>
      <c r="Z53" s="13">
        <f>IF(ROWS($Z$2:$Z53)&lt;=MAX('Per Line'!$AN$2:$AN$1001),MATCH(ROWS($Z$2:$Z53),'Per Line'!$AN$2:$AN$1001,0),"")</f>
        <v/>
      </c>
    </row>
    <row r="54">
      <c r="A54" s="12" t="n"/>
      <c r="B54">
        <f>IF($Z54="","",INDEX('Per Line'!$D$2:$D$1001,$Z54)&amp;"")</f>
        <v/>
      </c>
      <c r="C54">
        <f>IF($Z54="","",INDEX('Per Line'!$B$2:$B$1001,$Z54)&amp;"")</f>
        <v/>
      </c>
      <c r="D54">
        <f>IF($Z54="","",INDEX('Per Line'!$A$2:$A$1001,$Z54))</f>
        <v/>
      </c>
      <c r="E54">
        <f>IF($Z54="","",INDEX('Per Line'!$E$2:$E$1001,$Z54)&amp;"")</f>
        <v/>
      </c>
      <c r="F54">
        <f>IF($Z54="","",INDEX('Per Line'!$F$2:$F$1001,$Z54)&amp;"")</f>
        <v/>
      </c>
      <c r="G54" s="11">
        <f>IF($Z54="","",INDEX('Per Line'!$G$2:$G$1001,$Z54))</f>
        <v/>
      </c>
      <c r="H54">
        <f>IF($Z54="","",INDEX('Per Line'!$I$2:$I$1001,$Z54)&amp;"")</f>
        <v/>
      </c>
      <c r="I54">
        <f>IF($Z54="","",INDEX('Per Line'!$J$2:$J$1001,$Z54)&amp;"")</f>
        <v/>
      </c>
      <c r="J54">
        <f>IF($Z54="","",INDEX('Per Line'!$K$2:$K$1001,$Z54)&amp;"")</f>
        <v/>
      </c>
      <c r="K54">
        <f>IF($Z54="","",INDEX('Per Line'!$L$2:$L$1001,$Z54)&amp;"")</f>
        <v/>
      </c>
      <c r="L54">
        <f>IF($Z54="","",INDEX('Per Line'!$M$2:$M$1001,$Z54)&amp;"")</f>
        <v/>
      </c>
      <c r="M54">
        <f>IF($Z54="","",INDEX('Per Line'!$P$2:$P$1001,$Z54))</f>
        <v/>
      </c>
      <c r="N54" s="7">
        <f>IF($Z54="","",M54*X54/100)</f>
        <v/>
      </c>
      <c r="O54" s="7">
        <f>IF($Z54="","",SUMIFS('Per Line'!$Y$2:$Y$1001,'Per Line'!$D$2:$D$1001,$B54,'Per Line'!$AP$2:$AP$1001,1))</f>
        <v/>
      </c>
      <c r="P54">
        <f>IF($Z54="","",Settings!$C$7)</f>
        <v/>
      </c>
      <c r="Q54" s="7">
        <f>IF($Z54="","",SUMIFS('Per Line'!$Y$2:$Y$1001,'Per Line'!$D$2:$D$1001,$B54,'Per Line'!$AO$2:$AO$1001,0,'Per Line'!$AP$2:$AP$1001,0))</f>
        <v/>
      </c>
      <c r="R54" s="7">
        <f>IF($Z54="","",Q54*P54)</f>
        <v/>
      </c>
      <c r="S54">
        <f>IF($Z54="","",Settings!$C$6)</f>
        <v/>
      </c>
      <c r="T54" s="7">
        <f>IF($Z54="","",SUMIFS('Per Line'!$Y$2:$Y$1001,'Per Line'!$D$2:$D$1001,$B54,'Per Line'!$AO$2:$AO$1001,1,'Per Line'!$AP$2:$AP$1001,0))</f>
        <v/>
      </c>
      <c r="U54" s="7">
        <f>IF($Z54="","",T54*S54)</f>
        <v/>
      </c>
      <c r="V54" s="7">
        <f>IF($Z54="","",U54+R54)</f>
        <v/>
      </c>
      <c r="W54" s="7">
        <f>IF($Z54="","",X54-V54)</f>
        <v/>
      </c>
      <c r="X54" s="7">
        <f>IF($Z54="","",Q54+T54+O54)</f>
        <v/>
      </c>
      <c r="Y54" s="7">
        <f>IF($Z54="","",X54-V54-N54)</f>
        <v/>
      </c>
      <c r="Z54" s="13">
        <f>IF(ROWS($Z$2:$Z54)&lt;=MAX('Per Line'!$AN$2:$AN$1001),MATCH(ROWS($Z$2:$Z54),'Per Line'!$AN$2:$AN$1001,0),"")</f>
        <v/>
      </c>
    </row>
    <row r="55">
      <c r="A55" s="12" t="n"/>
      <c r="B55">
        <f>IF($Z55="","",INDEX('Per Line'!$D$2:$D$1001,$Z55)&amp;"")</f>
        <v/>
      </c>
      <c r="C55">
        <f>IF($Z55="","",INDEX('Per Line'!$B$2:$B$1001,$Z55)&amp;"")</f>
        <v/>
      </c>
      <c r="D55">
        <f>IF($Z55="","",INDEX('Per Line'!$A$2:$A$1001,$Z55))</f>
        <v/>
      </c>
      <c r="E55">
        <f>IF($Z55="","",INDEX('Per Line'!$E$2:$E$1001,$Z55)&amp;"")</f>
        <v/>
      </c>
      <c r="F55">
        <f>IF($Z55="","",INDEX('Per Line'!$F$2:$F$1001,$Z55)&amp;"")</f>
        <v/>
      </c>
      <c r="G55" s="11">
        <f>IF($Z55="","",INDEX('Per Line'!$G$2:$G$1001,$Z55))</f>
        <v/>
      </c>
      <c r="H55">
        <f>IF($Z55="","",INDEX('Per Line'!$I$2:$I$1001,$Z55)&amp;"")</f>
        <v/>
      </c>
      <c r="I55">
        <f>IF($Z55="","",INDEX('Per Line'!$J$2:$J$1001,$Z55)&amp;"")</f>
        <v/>
      </c>
      <c r="J55">
        <f>IF($Z55="","",INDEX('Per Line'!$K$2:$K$1001,$Z55)&amp;"")</f>
        <v/>
      </c>
      <c r="K55">
        <f>IF($Z55="","",INDEX('Per Line'!$L$2:$L$1001,$Z55)&amp;"")</f>
        <v/>
      </c>
      <c r="L55">
        <f>IF($Z55="","",INDEX('Per Line'!$M$2:$M$1001,$Z55)&amp;"")</f>
        <v/>
      </c>
      <c r="M55">
        <f>IF($Z55="","",INDEX('Per Line'!$P$2:$P$1001,$Z55))</f>
        <v/>
      </c>
      <c r="N55" s="7">
        <f>IF($Z55="","",M55*X55/100)</f>
        <v/>
      </c>
      <c r="O55" s="7">
        <f>IF($Z55="","",SUMIFS('Per Line'!$Y$2:$Y$1001,'Per Line'!$D$2:$D$1001,$B55,'Per Line'!$AP$2:$AP$1001,1))</f>
        <v/>
      </c>
      <c r="P55">
        <f>IF($Z55="","",Settings!$C$7)</f>
        <v/>
      </c>
      <c r="Q55" s="7">
        <f>IF($Z55="","",SUMIFS('Per Line'!$Y$2:$Y$1001,'Per Line'!$D$2:$D$1001,$B55,'Per Line'!$AO$2:$AO$1001,0,'Per Line'!$AP$2:$AP$1001,0))</f>
        <v/>
      </c>
      <c r="R55" s="7">
        <f>IF($Z55="","",Q55*P55)</f>
        <v/>
      </c>
      <c r="S55">
        <f>IF($Z55="","",Settings!$C$6)</f>
        <v/>
      </c>
      <c r="T55" s="7">
        <f>IF($Z55="","",SUMIFS('Per Line'!$Y$2:$Y$1001,'Per Line'!$D$2:$D$1001,$B55,'Per Line'!$AO$2:$AO$1001,1,'Per Line'!$AP$2:$AP$1001,0))</f>
        <v/>
      </c>
      <c r="U55" s="7">
        <f>IF($Z55="","",T55*S55)</f>
        <v/>
      </c>
      <c r="V55" s="7">
        <f>IF($Z55="","",U55+R55)</f>
        <v/>
      </c>
      <c r="W55" s="7">
        <f>IF($Z55="","",X55-V55)</f>
        <v/>
      </c>
      <c r="X55" s="7">
        <f>IF($Z55="","",Q55+T55+O55)</f>
        <v/>
      </c>
      <c r="Y55" s="7">
        <f>IF($Z55="","",X55-V55-N55)</f>
        <v/>
      </c>
      <c r="Z55" s="13">
        <f>IF(ROWS($Z$2:$Z55)&lt;=MAX('Per Line'!$AN$2:$AN$1001),MATCH(ROWS($Z$2:$Z55),'Per Line'!$AN$2:$AN$1001,0),"")</f>
        <v/>
      </c>
    </row>
    <row r="56">
      <c r="A56" s="12" t="n"/>
      <c r="B56">
        <f>IF($Z56="","",INDEX('Per Line'!$D$2:$D$1001,$Z56)&amp;"")</f>
        <v/>
      </c>
      <c r="C56">
        <f>IF($Z56="","",INDEX('Per Line'!$B$2:$B$1001,$Z56)&amp;"")</f>
        <v/>
      </c>
      <c r="D56">
        <f>IF($Z56="","",INDEX('Per Line'!$A$2:$A$1001,$Z56))</f>
        <v/>
      </c>
      <c r="E56">
        <f>IF($Z56="","",INDEX('Per Line'!$E$2:$E$1001,$Z56)&amp;"")</f>
        <v/>
      </c>
      <c r="F56">
        <f>IF($Z56="","",INDEX('Per Line'!$F$2:$F$1001,$Z56)&amp;"")</f>
        <v/>
      </c>
      <c r="G56" s="11">
        <f>IF($Z56="","",INDEX('Per Line'!$G$2:$G$1001,$Z56))</f>
        <v/>
      </c>
      <c r="H56">
        <f>IF($Z56="","",INDEX('Per Line'!$I$2:$I$1001,$Z56)&amp;"")</f>
        <v/>
      </c>
      <c r="I56">
        <f>IF($Z56="","",INDEX('Per Line'!$J$2:$J$1001,$Z56)&amp;"")</f>
        <v/>
      </c>
      <c r="J56">
        <f>IF($Z56="","",INDEX('Per Line'!$K$2:$K$1001,$Z56)&amp;"")</f>
        <v/>
      </c>
      <c r="K56">
        <f>IF($Z56="","",INDEX('Per Line'!$L$2:$L$1001,$Z56)&amp;"")</f>
        <v/>
      </c>
      <c r="L56">
        <f>IF($Z56="","",INDEX('Per Line'!$M$2:$M$1001,$Z56)&amp;"")</f>
        <v/>
      </c>
      <c r="M56">
        <f>IF($Z56="","",INDEX('Per Line'!$P$2:$P$1001,$Z56))</f>
        <v/>
      </c>
      <c r="N56" s="7">
        <f>IF($Z56="","",M56*X56/100)</f>
        <v/>
      </c>
      <c r="O56" s="7">
        <f>IF($Z56="","",SUMIFS('Per Line'!$Y$2:$Y$1001,'Per Line'!$D$2:$D$1001,$B56,'Per Line'!$AP$2:$AP$1001,1))</f>
        <v/>
      </c>
      <c r="P56">
        <f>IF($Z56="","",Settings!$C$7)</f>
        <v/>
      </c>
      <c r="Q56" s="7">
        <f>IF($Z56="","",SUMIFS('Per Line'!$Y$2:$Y$1001,'Per Line'!$D$2:$D$1001,$B56,'Per Line'!$AO$2:$AO$1001,0,'Per Line'!$AP$2:$AP$1001,0))</f>
        <v/>
      </c>
      <c r="R56" s="7">
        <f>IF($Z56="","",Q56*P56)</f>
        <v/>
      </c>
      <c r="S56">
        <f>IF($Z56="","",Settings!$C$6)</f>
        <v/>
      </c>
      <c r="T56" s="7">
        <f>IF($Z56="","",SUMIFS('Per Line'!$Y$2:$Y$1001,'Per Line'!$D$2:$D$1001,$B56,'Per Line'!$AO$2:$AO$1001,1,'Per Line'!$AP$2:$AP$1001,0))</f>
        <v/>
      </c>
      <c r="U56" s="7">
        <f>IF($Z56="","",T56*S56)</f>
        <v/>
      </c>
      <c r="V56" s="7">
        <f>IF($Z56="","",U56+R56)</f>
        <v/>
      </c>
      <c r="W56" s="7">
        <f>IF($Z56="","",X56-V56)</f>
        <v/>
      </c>
      <c r="X56" s="7">
        <f>IF($Z56="","",Q56+T56+O56)</f>
        <v/>
      </c>
      <c r="Y56" s="7">
        <f>IF($Z56="","",X56-V56-N56)</f>
        <v/>
      </c>
      <c r="Z56" s="13">
        <f>IF(ROWS($Z$2:$Z56)&lt;=MAX('Per Line'!$AN$2:$AN$1001),MATCH(ROWS($Z$2:$Z56),'Per Line'!$AN$2:$AN$1001,0),"")</f>
        <v/>
      </c>
    </row>
    <row r="57">
      <c r="A57" s="12" t="n"/>
      <c r="B57">
        <f>IF($Z57="","",INDEX('Per Line'!$D$2:$D$1001,$Z57)&amp;"")</f>
        <v/>
      </c>
      <c r="C57">
        <f>IF($Z57="","",INDEX('Per Line'!$B$2:$B$1001,$Z57)&amp;"")</f>
        <v/>
      </c>
      <c r="D57">
        <f>IF($Z57="","",INDEX('Per Line'!$A$2:$A$1001,$Z57))</f>
        <v/>
      </c>
      <c r="E57">
        <f>IF($Z57="","",INDEX('Per Line'!$E$2:$E$1001,$Z57)&amp;"")</f>
        <v/>
      </c>
      <c r="F57">
        <f>IF($Z57="","",INDEX('Per Line'!$F$2:$F$1001,$Z57)&amp;"")</f>
        <v/>
      </c>
      <c r="G57" s="11">
        <f>IF($Z57="","",INDEX('Per Line'!$G$2:$G$1001,$Z57))</f>
        <v/>
      </c>
      <c r="H57">
        <f>IF($Z57="","",INDEX('Per Line'!$I$2:$I$1001,$Z57)&amp;"")</f>
        <v/>
      </c>
      <c r="I57">
        <f>IF($Z57="","",INDEX('Per Line'!$J$2:$J$1001,$Z57)&amp;"")</f>
        <v/>
      </c>
      <c r="J57">
        <f>IF($Z57="","",INDEX('Per Line'!$K$2:$K$1001,$Z57)&amp;"")</f>
        <v/>
      </c>
      <c r="K57">
        <f>IF($Z57="","",INDEX('Per Line'!$L$2:$L$1001,$Z57)&amp;"")</f>
        <v/>
      </c>
      <c r="L57">
        <f>IF($Z57="","",INDEX('Per Line'!$M$2:$M$1001,$Z57)&amp;"")</f>
        <v/>
      </c>
      <c r="M57">
        <f>IF($Z57="","",INDEX('Per Line'!$P$2:$P$1001,$Z57))</f>
        <v/>
      </c>
      <c r="N57" s="7">
        <f>IF($Z57="","",M57*X57/100)</f>
        <v/>
      </c>
      <c r="O57" s="7">
        <f>IF($Z57="","",SUMIFS('Per Line'!$Y$2:$Y$1001,'Per Line'!$D$2:$D$1001,$B57,'Per Line'!$AP$2:$AP$1001,1))</f>
        <v/>
      </c>
      <c r="P57">
        <f>IF($Z57="","",Settings!$C$7)</f>
        <v/>
      </c>
      <c r="Q57" s="7">
        <f>IF($Z57="","",SUMIFS('Per Line'!$Y$2:$Y$1001,'Per Line'!$D$2:$D$1001,$B57,'Per Line'!$AO$2:$AO$1001,0,'Per Line'!$AP$2:$AP$1001,0))</f>
        <v/>
      </c>
      <c r="R57" s="7">
        <f>IF($Z57="","",Q57*P57)</f>
        <v/>
      </c>
      <c r="S57">
        <f>IF($Z57="","",Settings!$C$6)</f>
        <v/>
      </c>
      <c r="T57" s="7">
        <f>IF($Z57="","",SUMIFS('Per Line'!$Y$2:$Y$1001,'Per Line'!$D$2:$D$1001,$B57,'Per Line'!$AO$2:$AO$1001,1,'Per Line'!$AP$2:$AP$1001,0))</f>
        <v/>
      </c>
      <c r="U57" s="7">
        <f>IF($Z57="","",T57*S57)</f>
        <v/>
      </c>
      <c r="V57" s="7">
        <f>IF($Z57="","",U57+R57)</f>
        <v/>
      </c>
      <c r="W57" s="7">
        <f>IF($Z57="","",X57-V57)</f>
        <v/>
      </c>
      <c r="X57" s="7">
        <f>IF($Z57="","",Q57+T57+O57)</f>
        <v/>
      </c>
      <c r="Y57" s="7">
        <f>IF($Z57="","",X57-V57-N57)</f>
        <v/>
      </c>
      <c r="Z57" s="13">
        <f>IF(ROWS($Z$2:$Z57)&lt;=MAX('Per Line'!$AN$2:$AN$1001),MATCH(ROWS($Z$2:$Z57),'Per Line'!$AN$2:$AN$1001,0),"")</f>
        <v/>
      </c>
    </row>
    <row r="58">
      <c r="A58" s="12" t="n"/>
      <c r="B58">
        <f>IF($Z58="","",INDEX('Per Line'!$D$2:$D$1001,$Z58)&amp;"")</f>
        <v/>
      </c>
      <c r="C58">
        <f>IF($Z58="","",INDEX('Per Line'!$B$2:$B$1001,$Z58)&amp;"")</f>
        <v/>
      </c>
      <c r="D58">
        <f>IF($Z58="","",INDEX('Per Line'!$A$2:$A$1001,$Z58))</f>
        <v/>
      </c>
      <c r="E58">
        <f>IF($Z58="","",INDEX('Per Line'!$E$2:$E$1001,$Z58)&amp;"")</f>
        <v/>
      </c>
      <c r="F58">
        <f>IF($Z58="","",INDEX('Per Line'!$F$2:$F$1001,$Z58)&amp;"")</f>
        <v/>
      </c>
      <c r="G58" s="11">
        <f>IF($Z58="","",INDEX('Per Line'!$G$2:$G$1001,$Z58))</f>
        <v/>
      </c>
      <c r="H58">
        <f>IF($Z58="","",INDEX('Per Line'!$I$2:$I$1001,$Z58)&amp;"")</f>
        <v/>
      </c>
      <c r="I58">
        <f>IF($Z58="","",INDEX('Per Line'!$J$2:$J$1001,$Z58)&amp;"")</f>
        <v/>
      </c>
      <c r="J58">
        <f>IF($Z58="","",INDEX('Per Line'!$K$2:$K$1001,$Z58)&amp;"")</f>
        <v/>
      </c>
      <c r="K58">
        <f>IF($Z58="","",INDEX('Per Line'!$L$2:$L$1001,$Z58)&amp;"")</f>
        <v/>
      </c>
      <c r="L58">
        <f>IF($Z58="","",INDEX('Per Line'!$M$2:$M$1001,$Z58)&amp;"")</f>
        <v/>
      </c>
      <c r="M58">
        <f>IF($Z58="","",INDEX('Per Line'!$P$2:$P$1001,$Z58))</f>
        <v/>
      </c>
      <c r="N58" s="7">
        <f>IF($Z58="","",M58*X58/100)</f>
        <v/>
      </c>
      <c r="O58" s="7">
        <f>IF($Z58="","",SUMIFS('Per Line'!$Y$2:$Y$1001,'Per Line'!$D$2:$D$1001,$B58,'Per Line'!$AP$2:$AP$1001,1))</f>
        <v/>
      </c>
      <c r="P58">
        <f>IF($Z58="","",Settings!$C$7)</f>
        <v/>
      </c>
      <c r="Q58" s="7">
        <f>IF($Z58="","",SUMIFS('Per Line'!$Y$2:$Y$1001,'Per Line'!$D$2:$D$1001,$B58,'Per Line'!$AO$2:$AO$1001,0,'Per Line'!$AP$2:$AP$1001,0))</f>
        <v/>
      </c>
      <c r="R58" s="7">
        <f>IF($Z58="","",Q58*P58)</f>
        <v/>
      </c>
      <c r="S58">
        <f>IF($Z58="","",Settings!$C$6)</f>
        <v/>
      </c>
      <c r="T58" s="7">
        <f>IF($Z58="","",SUMIFS('Per Line'!$Y$2:$Y$1001,'Per Line'!$D$2:$D$1001,$B58,'Per Line'!$AO$2:$AO$1001,1,'Per Line'!$AP$2:$AP$1001,0))</f>
        <v/>
      </c>
      <c r="U58" s="7">
        <f>IF($Z58="","",T58*S58)</f>
        <v/>
      </c>
      <c r="V58" s="7">
        <f>IF($Z58="","",U58+R58)</f>
        <v/>
      </c>
      <c r="W58" s="7">
        <f>IF($Z58="","",X58-V58)</f>
        <v/>
      </c>
      <c r="X58" s="7">
        <f>IF($Z58="","",Q58+T58+O58)</f>
        <v/>
      </c>
      <c r="Y58" s="7">
        <f>IF($Z58="","",X58-V58-N58)</f>
        <v/>
      </c>
      <c r="Z58" s="13">
        <f>IF(ROWS($Z$2:$Z58)&lt;=MAX('Per Line'!$AN$2:$AN$1001),MATCH(ROWS($Z$2:$Z58),'Per Line'!$AN$2:$AN$1001,0),"")</f>
        <v/>
      </c>
    </row>
    <row r="59">
      <c r="A59" s="12" t="n"/>
      <c r="B59">
        <f>IF($Z59="","",INDEX('Per Line'!$D$2:$D$1001,$Z59)&amp;"")</f>
        <v/>
      </c>
      <c r="C59">
        <f>IF($Z59="","",INDEX('Per Line'!$B$2:$B$1001,$Z59)&amp;"")</f>
        <v/>
      </c>
      <c r="D59">
        <f>IF($Z59="","",INDEX('Per Line'!$A$2:$A$1001,$Z59))</f>
        <v/>
      </c>
      <c r="E59">
        <f>IF($Z59="","",INDEX('Per Line'!$E$2:$E$1001,$Z59)&amp;"")</f>
        <v/>
      </c>
      <c r="F59">
        <f>IF($Z59="","",INDEX('Per Line'!$F$2:$F$1001,$Z59)&amp;"")</f>
        <v/>
      </c>
      <c r="G59" s="11">
        <f>IF($Z59="","",INDEX('Per Line'!$G$2:$G$1001,$Z59))</f>
        <v/>
      </c>
      <c r="H59">
        <f>IF($Z59="","",INDEX('Per Line'!$I$2:$I$1001,$Z59)&amp;"")</f>
        <v/>
      </c>
      <c r="I59">
        <f>IF($Z59="","",INDEX('Per Line'!$J$2:$J$1001,$Z59)&amp;"")</f>
        <v/>
      </c>
      <c r="J59">
        <f>IF($Z59="","",INDEX('Per Line'!$K$2:$K$1001,$Z59)&amp;"")</f>
        <v/>
      </c>
      <c r="K59">
        <f>IF($Z59="","",INDEX('Per Line'!$L$2:$L$1001,$Z59)&amp;"")</f>
        <v/>
      </c>
      <c r="L59">
        <f>IF($Z59="","",INDEX('Per Line'!$M$2:$M$1001,$Z59)&amp;"")</f>
        <v/>
      </c>
      <c r="M59">
        <f>IF($Z59="","",INDEX('Per Line'!$P$2:$P$1001,$Z59))</f>
        <v/>
      </c>
      <c r="N59" s="7">
        <f>IF($Z59="","",M59*X59/100)</f>
        <v/>
      </c>
      <c r="O59" s="7">
        <f>IF($Z59="","",SUMIFS('Per Line'!$Y$2:$Y$1001,'Per Line'!$D$2:$D$1001,$B59,'Per Line'!$AP$2:$AP$1001,1))</f>
        <v/>
      </c>
      <c r="P59">
        <f>IF($Z59="","",Settings!$C$7)</f>
        <v/>
      </c>
      <c r="Q59" s="7">
        <f>IF($Z59="","",SUMIFS('Per Line'!$Y$2:$Y$1001,'Per Line'!$D$2:$D$1001,$B59,'Per Line'!$AO$2:$AO$1001,0,'Per Line'!$AP$2:$AP$1001,0))</f>
        <v/>
      </c>
      <c r="R59" s="7">
        <f>IF($Z59="","",Q59*P59)</f>
        <v/>
      </c>
      <c r="S59">
        <f>IF($Z59="","",Settings!$C$6)</f>
        <v/>
      </c>
      <c r="T59" s="7">
        <f>IF($Z59="","",SUMIFS('Per Line'!$Y$2:$Y$1001,'Per Line'!$D$2:$D$1001,$B59,'Per Line'!$AO$2:$AO$1001,1,'Per Line'!$AP$2:$AP$1001,0))</f>
        <v/>
      </c>
      <c r="U59" s="7">
        <f>IF($Z59="","",T59*S59)</f>
        <v/>
      </c>
      <c r="V59" s="7">
        <f>IF($Z59="","",U59+R59)</f>
        <v/>
      </c>
      <c r="W59" s="7">
        <f>IF($Z59="","",X59-V59)</f>
        <v/>
      </c>
      <c r="X59" s="7">
        <f>IF($Z59="","",Q59+T59+O59)</f>
        <v/>
      </c>
      <c r="Y59" s="7">
        <f>IF($Z59="","",X59-V59-N59)</f>
        <v/>
      </c>
      <c r="Z59" s="13">
        <f>IF(ROWS($Z$2:$Z59)&lt;=MAX('Per Line'!$AN$2:$AN$1001),MATCH(ROWS($Z$2:$Z59),'Per Line'!$AN$2:$AN$1001,0),"")</f>
        <v/>
      </c>
    </row>
    <row r="60">
      <c r="A60" s="12" t="n"/>
      <c r="B60">
        <f>IF($Z60="","",INDEX('Per Line'!$D$2:$D$1001,$Z60)&amp;"")</f>
        <v/>
      </c>
      <c r="C60">
        <f>IF($Z60="","",INDEX('Per Line'!$B$2:$B$1001,$Z60)&amp;"")</f>
        <v/>
      </c>
      <c r="D60">
        <f>IF($Z60="","",INDEX('Per Line'!$A$2:$A$1001,$Z60))</f>
        <v/>
      </c>
      <c r="E60">
        <f>IF($Z60="","",INDEX('Per Line'!$E$2:$E$1001,$Z60)&amp;"")</f>
        <v/>
      </c>
      <c r="F60">
        <f>IF($Z60="","",INDEX('Per Line'!$F$2:$F$1001,$Z60)&amp;"")</f>
        <v/>
      </c>
      <c r="G60" s="11">
        <f>IF($Z60="","",INDEX('Per Line'!$G$2:$G$1001,$Z60))</f>
        <v/>
      </c>
      <c r="H60">
        <f>IF($Z60="","",INDEX('Per Line'!$I$2:$I$1001,$Z60)&amp;"")</f>
        <v/>
      </c>
      <c r="I60">
        <f>IF($Z60="","",INDEX('Per Line'!$J$2:$J$1001,$Z60)&amp;"")</f>
        <v/>
      </c>
      <c r="J60">
        <f>IF($Z60="","",INDEX('Per Line'!$K$2:$K$1001,$Z60)&amp;"")</f>
        <v/>
      </c>
      <c r="K60">
        <f>IF($Z60="","",INDEX('Per Line'!$L$2:$L$1001,$Z60)&amp;"")</f>
        <v/>
      </c>
      <c r="L60">
        <f>IF($Z60="","",INDEX('Per Line'!$M$2:$M$1001,$Z60)&amp;"")</f>
        <v/>
      </c>
      <c r="M60">
        <f>IF($Z60="","",INDEX('Per Line'!$P$2:$P$1001,$Z60))</f>
        <v/>
      </c>
      <c r="N60" s="7">
        <f>IF($Z60="","",M60*X60/100)</f>
        <v/>
      </c>
      <c r="O60" s="7">
        <f>IF($Z60="","",SUMIFS('Per Line'!$Y$2:$Y$1001,'Per Line'!$D$2:$D$1001,$B60,'Per Line'!$AP$2:$AP$1001,1))</f>
        <v/>
      </c>
      <c r="P60">
        <f>IF($Z60="","",Settings!$C$7)</f>
        <v/>
      </c>
      <c r="Q60" s="7">
        <f>IF($Z60="","",SUMIFS('Per Line'!$Y$2:$Y$1001,'Per Line'!$D$2:$D$1001,$B60,'Per Line'!$AO$2:$AO$1001,0,'Per Line'!$AP$2:$AP$1001,0))</f>
        <v/>
      </c>
      <c r="R60" s="7">
        <f>IF($Z60="","",Q60*P60)</f>
        <v/>
      </c>
      <c r="S60">
        <f>IF($Z60="","",Settings!$C$6)</f>
        <v/>
      </c>
      <c r="T60" s="7">
        <f>IF($Z60="","",SUMIFS('Per Line'!$Y$2:$Y$1001,'Per Line'!$D$2:$D$1001,$B60,'Per Line'!$AO$2:$AO$1001,1,'Per Line'!$AP$2:$AP$1001,0))</f>
        <v/>
      </c>
      <c r="U60" s="7">
        <f>IF($Z60="","",T60*S60)</f>
        <v/>
      </c>
      <c r="V60" s="7">
        <f>IF($Z60="","",U60+R60)</f>
        <v/>
      </c>
      <c r="W60" s="7">
        <f>IF($Z60="","",X60-V60)</f>
        <v/>
      </c>
      <c r="X60" s="7">
        <f>IF($Z60="","",Q60+T60+O60)</f>
        <v/>
      </c>
      <c r="Y60" s="7">
        <f>IF($Z60="","",X60-V60-N60)</f>
        <v/>
      </c>
      <c r="Z60" s="13">
        <f>IF(ROWS($Z$2:$Z60)&lt;=MAX('Per Line'!$AN$2:$AN$1001),MATCH(ROWS($Z$2:$Z60),'Per Line'!$AN$2:$AN$1001,0),"")</f>
        <v/>
      </c>
    </row>
    <row r="61">
      <c r="A61" s="12" t="n"/>
      <c r="B61">
        <f>IF($Z61="","",INDEX('Per Line'!$D$2:$D$1001,$Z61)&amp;"")</f>
        <v/>
      </c>
      <c r="C61">
        <f>IF($Z61="","",INDEX('Per Line'!$B$2:$B$1001,$Z61)&amp;"")</f>
        <v/>
      </c>
      <c r="D61">
        <f>IF($Z61="","",INDEX('Per Line'!$A$2:$A$1001,$Z61))</f>
        <v/>
      </c>
      <c r="E61">
        <f>IF($Z61="","",INDEX('Per Line'!$E$2:$E$1001,$Z61)&amp;"")</f>
        <v/>
      </c>
      <c r="F61">
        <f>IF($Z61="","",INDEX('Per Line'!$F$2:$F$1001,$Z61)&amp;"")</f>
        <v/>
      </c>
      <c r="G61" s="11">
        <f>IF($Z61="","",INDEX('Per Line'!$G$2:$G$1001,$Z61))</f>
        <v/>
      </c>
      <c r="H61">
        <f>IF($Z61="","",INDEX('Per Line'!$I$2:$I$1001,$Z61)&amp;"")</f>
        <v/>
      </c>
      <c r="I61">
        <f>IF($Z61="","",INDEX('Per Line'!$J$2:$J$1001,$Z61)&amp;"")</f>
        <v/>
      </c>
      <c r="J61">
        <f>IF($Z61="","",INDEX('Per Line'!$K$2:$K$1001,$Z61)&amp;"")</f>
        <v/>
      </c>
      <c r="K61">
        <f>IF($Z61="","",INDEX('Per Line'!$L$2:$L$1001,$Z61)&amp;"")</f>
        <v/>
      </c>
      <c r="L61">
        <f>IF($Z61="","",INDEX('Per Line'!$M$2:$M$1001,$Z61)&amp;"")</f>
        <v/>
      </c>
      <c r="M61">
        <f>IF($Z61="","",INDEX('Per Line'!$P$2:$P$1001,$Z61))</f>
        <v/>
      </c>
      <c r="N61" s="7">
        <f>IF($Z61="","",M61*X61/100)</f>
        <v/>
      </c>
      <c r="O61" s="7">
        <f>IF($Z61="","",SUMIFS('Per Line'!$Y$2:$Y$1001,'Per Line'!$D$2:$D$1001,$B61,'Per Line'!$AP$2:$AP$1001,1))</f>
        <v/>
      </c>
      <c r="P61">
        <f>IF($Z61="","",Settings!$C$7)</f>
        <v/>
      </c>
      <c r="Q61" s="7">
        <f>IF($Z61="","",SUMIFS('Per Line'!$Y$2:$Y$1001,'Per Line'!$D$2:$D$1001,$B61,'Per Line'!$AO$2:$AO$1001,0,'Per Line'!$AP$2:$AP$1001,0))</f>
        <v/>
      </c>
      <c r="R61" s="7">
        <f>IF($Z61="","",Q61*P61)</f>
        <v/>
      </c>
      <c r="S61">
        <f>IF($Z61="","",Settings!$C$6)</f>
        <v/>
      </c>
      <c r="T61" s="7">
        <f>IF($Z61="","",SUMIFS('Per Line'!$Y$2:$Y$1001,'Per Line'!$D$2:$D$1001,$B61,'Per Line'!$AO$2:$AO$1001,1,'Per Line'!$AP$2:$AP$1001,0))</f>
        <v/>
      </c>
      <c r="U61" s="7">
        <f>IF($Z61="","",T61*S61)</f>
        <v/>
      </c>
      <c r="V61" s="7">
        <f>IF($Z61="","",U61+R61)</f>
        <v/>
      </c>
      <c r="W61" s="7">
        <f>IF($Z61="","",X61-V61)</f>
        <v/>
      </c>
      <c r="X61" s="7">
        <f>IF($Z61="","",Q61+T61+O61)</f>
        <v/>
      </c>
      <c r="Y61" s="7">
        <f>IF($Z61="","",X61-V61-N61)</f>
        <v/>
      </c>
      <c r="Z61" s="13">
        <f>IF(ROWS($Z$2:$Z61)&lt;=MAX('Per Line'!$AN$2:$AN$1001),MATCH(ROWS($Z$2:$Z61),'Per Line'!$AN$2:$AN$1001,0),"")</f>
        <v/>
      </c>
    </row>
    <row r="62">
      <c r="A62" s="12" t="n"/>
      <c r="B62">
        <f>IF($Z62="","",INDEX('Per Line'!$D$2:$D$1001,$Z62)&amp;"")</f>
        <v/>
      </c>
      <c r="C62">
        <f>IF($Z62="","",INDEX('Per Line'!$B$2:$B$1001,$Z62)&amp;"")</f>
        <v/>
      </c>
      <c r="D62">
        <f>IF($Z62="","",INDEX('Per Line'!$A$2:$A$1001,$Z62))</f>
        <v/>
      </c>
      <c r="E62">
        <f>IF($Z62="","",INDEX('Per Line'!$E$2:$E$1001,$Z62)&amp;"")</f>
        <v/>
      </c>
      <c r="F62">
        <f>IF($Z62="","",INDEX('Per Line'!$F$2:$F$1001,$Z62)&amp;"")</f>
        <v/>
      </c>
      <c r="G62" s="11">
        <f>IF($Z62="","",INDEX('Per Line'!$G$2:$G$1001,$Z62))</f>
        <v/>
      </c>
      <c r="H62">
        <f>IF($Z62="","",INDEX('Per Line'!$I$2:$I$1001,$Z62)&amp;"")</f>
        <v/>
      </c>
      <c r="I62">
        <f>IF($Z62="","",INDEX('Per Line'!$J$2:$J$1001,$Z62)&amp;"")</f>
        <v/>
      </c>
      <c r="J62">
        <f>IF($Z62="","",INDEX('Per Line'!$K$2:$K$1001,$Z62)&amp;"")</f>
        <v/>
      </c>
      <c r="K62">
        <f>IF($Z62="","",INDEX('Per Line'!$L$2:$L$1001,$Z62)&amp;"")</f>
        <v/>
      </c>
      <c r="L62">
        <f>IF($Z62="","",INDEX('Per Line'!$M$2:$M$1001,$Z62)&amp;"")</f>
        <v/>
      </c>
      <c r="M62">
        <f>IF($Z62="","",INDEX('Per Line'!$P$2:$P$1001,$Z62))</f>
        <v/>
      </c>
      <c r="N62" s="7">
        <f>IF($Z62="","",M62*X62/100)</f>
        <v/>
      </c>
      <c r="O62" s="7">
        <f>IF($Z62="","",SUMIFS('Per Line'!$Y$2:$Y$1001,'Per Line'!$D$2:$D$1001,$B62,'Per Line'!$AP$2:$AP$1001,1))</f>
        <v/>
      </c>
      <c r="P62">
        <f>IF($Z62="","",Settings!$C$7)</f>
        <v/>
      </c>
      <c r="Q62" s="7">
        <f>IF($Z62="","",SUMIFS('Per Line'!$Y$2:$Y$1001,'Per Line'!$D$2:$D$1001,$B62,'Per Line'!$AO$2:$AO$1001,0,'Per Line'!$AP$2:$AP$1001,0))</f>
        <v/>
      </c>
      <c r="R62" s="7">
        <f>IF($Z62="","",Q62*P62)</f>
        <v/>
      </c>
      <c r="S62">
        <f>IF($Z62="","",Settings!$C$6)</f>
        <v/>
      </c>
      <c r="T62" s="7">
        <f>IF($Z62="","",SUMIFS('Per Line'!$Y$2:$Y$1001,'Per Line'!$D$2:$D$1001,$B62,'Per Line'!$AO$2:$AO$1001,1,'Per Line'!$AP$2:$AP$1001,0))</f>
        <v/>
      </c>
      <c r="U62" s="7">
        <f>IF($Z62="","",T62*S62)</f>
        <v/>
      </c>
      <c r="V62" s="7">
        <f>IF($Z62="","",U62+R62)</f>
        <v/>
      </c>
      <c r="W62" s="7">
        <f>IF($Z62="","",X62-V62)</f>
        <v/>
      </c>
      <c r="X62" s="7">
        <f>IF($Z62="","",Q62+T62+O62)</f>
        <v/>
      </c>
      <c r="Y62" s="7">
        <f>IF($Z62="","",X62-V62-N62)</f>
        <v/>
      </c>
      <c r="Z62" s="13">
        <f>IF(ROWS($Z$2:$Z62)&lt;=MAX('Per Line'!$AN$2:$AN$1001),MATCH(ROWS($Z$2:$Z62),'Per Line'!$AN$2:$AN$1001,0),"")</f>
        <v/>
      </c>
    </row>
    <row r="63">
      <c r="A63" s="12" t="n"/>
      <c r="B63">
        <f>IF($Z63="","",INDEX('Per Line'!$D$2:$D$1001,$Z63)&amp;"")</f>
        <v/>
      </c>
      <c r="C63">
        <f>IF($Z63="","",INDEX('Per Line'!$B$2:$B$1001,$Z63)&amp;"")</f>
        <v/>
      </c>
      <c r="D63">
        <f>IF($Z63="","",INDEX('Per Line'!$A$2:$A$1001,$Z63))</f>
        <v/>
      </c>
      <c r="E63">
        <f>IF($Z63="","",INDEX('Per Line'!$E$2:$E$1001,$Z63)&amp;"")</f>
        <v/>
      </c>
      <c r="F63">
        <f>IF($Z63="","",INDEX('Per Line'!$F$2:$F$1001,$Z63)&amp;"")</f>
        <v/>
      </c>
      <c r="G63" s="11">
        <f>IF($Z63="","",INDEX('Per Line'!$G$2:$G$1001,$Z63))</f>
        <v/>
      </c>
      <c r="H63">
        <f>IF($Z63="","",INDEX('Per Line'!$I$2:$I$1001,$Z63)&amp;"")</f>
        <v/>
      </c>
      <c r="I63">
        <f>IF($Z63="","",INDEX('Per Line'!$J$2:$J$1001,$Z63)&amp;"")</f>
        <v/>
      </c>
      <c r="J63">
        <f>IF($Z63="","",INDEX('Per Line'!$K$2:$K$1001,$Z63)&amp;"")</f>
        <v/>
      </c>
      <c r="K63">
        <f>IF($Z63="","",INDEX('Per Line'!$L$2:$L$1001,$Z63)&amp;"")</f>
        <v/>
      </c>
      <c r="L63">
        <f>IF($Z63="","",INDEX('Per Line'!$M$2:$M$1001,$Z63)&amp;"")</f>
        <v/>
      </c>
      <c r="M63">
        <f>IF($Z63="","",INDEX('Per Line'!$P$2:$P$1001,$Z63))</f>
        <v/>
      </c>
      <c r="N63" s="7">
        <f>IF($Z63="","",M63*X63/100)</f>
        <v/>
      </c>
      <c r="O63" s="7">
        <f>IF($Z63="","",SUMIFS('Per Line'!$Y$2:$Y$1001,'Per Line'!$D$2:$D$1001,$B63,'Per Line'!$AP$2:$AP$1001,1))</f>
        <v/>
      </c>
      <c r="P63">
        <f>IF($Z63="","",Settings!$C$7)</f>
        <v/>
      </c>
      <c r="Q63" s="7">
        <f>IF($Z63="","",SUMIFS('Per Line'!$Y$2:$Y$1001,'Per Line'!$D$2:$D$1001,$B63,'Per Line'!$AO$2:$AO$1001,0,'Per Line'!$AP$2:$AP$1001,0))</f>
        <v/>
      </c>
      <c r="R63" s="7">
        <f>IF($Z63="","",Q63*P63)</f>
        <v/>
      </c>
      <c r="S63">
        <f>IF($Z63="","",Settings!$C$6)</f>
        <v/>
      </c>
      <c r="T63" s="7">
        <f>IF($Z63="","",SUMIFS('Per Line'!$Y$2:$Y$1001,'Per Line'!$D$2:$D$1001,$B63,'Per Line'!$AO$2:$AO$1001,1,'Per Line'!$AP$2:$AP$1001,0))</f>
        <v/>
      </c>
      <c r="U63" s="7">
        <f>IF($Z63="","",T63*S63)</f>
        <v/>
      </c>
      <c r="V63" s="7">
        <f>IF($Z63="","",U63+R63)</f>
        <v/>
      </c>
      <c r="W63" s="7">
        <f>IF($Z63="","",X63-V63)</f>
        <v/>
      </c>
      <c r="X63" s="7">
        <f>IF($Z63="","",Q63+T63+O63)</f>
        <v/>
      </c>
      <c r="Y63" s="7">
        <f>IF($Z63="","",X63-V63-N63)</f>
        <v/>
      </c>
      <c r="Z63" s="13">
        <f>IF(ROWS($Z$2:$Z63)&lt;=MAX('Per Line'!$AN$2:$AN$1001),MATCH(ROWS($Z$2:$Z63),'Per Line'!$AN$2:$AN$1001,0),"")</f>
        <v/>
      </c>
    </row>
    <row r="64">
      <c r="A64" s="12" t="n"/>
      <c r="B64">
        <f>IF($Z64="","",INDEX('Per Line'!$D$2:$D$1001,$Z64)&amp;"")</f>
        <v/>
      </c>
      <c r="C64">
        <f>IF($Z64="","",INDEX('Per Line'!$B$2:$B$1001,$Z64)&amp;"")</f>
        <v/>
      </c>
      <c r="D64">
        <f>IF($Z64="","",INDEX('Per Line'!$A$2:$A$1001,$Z64))</f>
        <v/>
      </c>
      <c r="E64">
        <f>IF($Z64="","",INDEX('Per Line'!$E$2:$E$1001,$Z64)&amp;"")</f>
        <v/>
      </c>
      <c r="F64">
        <f>IF($Z64="","",INDEX('Per Line'!$F$2:$F$1001,$Z64)&amp;"")</f>
        <v/>
      </c>
      <c r="G64" s="11">
        <f>IF($Z64="","",INDEX('Per Line'!$G$2:$G$1001,$Z64))</f>
        <v/>
      </c>
      <c r="H64">
        <f>IF($Z64="","",INDEX('Per Line'!$I$2:$I$1001,$Z64)&amp;"")</f>
        <v/>
      </c>
      <c r="I64">
        <f>IF($Z64="","",INDEX('Per Line'!$J$2:$J$1001,$Z64)&amp;"")</f>
        <v/>
      </c>
      <c r="J64">
        <f>IF($Z64="","",INDEX('Per Line'!$K$2:$K$1001,$Z64)&amp;"")</f>
        <v/>
      </c>
      <c r="K64">
        <f>IF($Z64="","",INDEX('Per Line'!$L$2:$L$1001,$Z64)&amp;"")</f>
        <v/>
      </c>
      <c r="L64">
        <f>IF($Z64="","",INDEX('Per Line'!$M$2:$M$1001,$Z64)&amp;"")</f>
        <v/>
      </c>
      <c r="M64">
        <f>IF($Z64="","",INDEX('Per Line'!$P$2:$P$1001,$Z64))</f>
        <v/>
      </c>
      <c r="N64" s="7">
        <f>IF($Z64="","",M64*X64/100)</f>
        <v/>
      </c>
      <c r="O64" s="7">
        <f>IF($Z64="","",SUMIFS('Per Line'!$Y$2:$Y$1001,'Per Line'!$D$2:$D$1001,$B64,'Per Line'!$AP$2:$AP$1001,1))</f>
        <v/>
      </c>
      <c r="P64">
        <f>IF($Z64="","",Settings!$C$7)</f>
        <v/>
      </c>
      <c r="Q64" s="7">
        <f>IF($Z64="","",SUMIFS('Per Line'!$Y$2:$Y$1001,'Per Line'!$D$2:$D$1001,$B64,'Per Line'!$AO$2:$AO$1001,0,'Per Line'!$AP$2:$AP$1001,0))</f>
        <v/>
      </c>
      <c r="R64" s="7">
        <f>IF($Z64="","",Q64*P64)</f>
        <v/>
      </c>
      <c r="S64">
        <f>IF($Z64="","",Settings!$C$6)</f>
        <v/>
      </c>
      <c r="T64" s="7">
        <f>IF($Z64="","",SUMIFS('Per Line'!$Y$2:$Y$1001,'Per Line'!$D$2:$D$1001,$B64,'Per Line'!$AO$2:$AO$1001,1,'Per Line'!$AP$2:$AP$1001,0))</f>
        <v/>
      </c>
      <c r="U64" s="7">
        <f>IF($Z64="","",T64*S64)</f>
        <v/>
      </c>
      <c r="V64" s="7">
        <f>IF($Z64="","",U64+R64)</f>
        <v/>
      </c>
      <c r="W64" s="7">
        <f>IF($Z64="","",X64-V64)</f>
        <v/>
      </c>
      <c r="X64" s="7">
        <f>IF($Z64="","",Q64+T64+O64)</f>
        <v/>
      </c>
      <c r="Y64" s="7">
        <f>IF($Z64="","",X64-V64-N64)</f>
        <v/>
      </c>
      <c r="Z64" s="13">
        <f>IF(ROWS($Z$2:$Z64)&lt;=MAX('Per Line'!$AN$2:$AN$1001),MATCH(ROWS($Z$2:$Z64),'Per Line'!$AN$2:$AN$1001,0),"")</f>
        <v/>
      </c>
    </row>
    <row r="65">
      <c r="A65" s="12" t="n"/>
      <c r="B65">
        <f>IF($Z65="","",INDEX('Per Line'!$D$2:$D$1001,$Z65)&amp;"")</f>
        <v/>
      </c>
      <c r="C65">
        <f>IF($Z65="","",INDEX('Per Line'!$B$2:$B$1001,$Z65)&amp;"")</f>
        <v/>
      </c>
      <c r="D65">
        <f>IF($Z65="","",INDEX('Per Line'!$A$2:$A$1001,$Z65))</f>
        <v/>
      </c>
      <c r="E65">
        <f>IF($Z65="","",INDEX('Per Line'!$E$2:$E$1001,$Z65)&amp;"")</f>
        <v/>
      </c>
      <c r="F65">
        <f>IF($Z65="","",INDEX('Per Line'!$F$2:$F$1001,$Z65)&amp;"")</f>
        <v/>
      </c>
      <c r="G65" s="11">
        <f>IF($Z65="","",INDEX('Per Line'!$G$2:$G$1001,$Z65))</f>
        <v/>
      </c>
      <c r="H65">
        <f>IF($Z65="","",INDEX('Per Line'!$I$2:$I$1001,$Z65)&amp;"")</f>
        <v/>
      </c>
      <c r="I65">
        <f>IF($Z65="","",INDEX('Per Line'!$J$2:$J$1001,$Z65)&amp;"")</f>
        <v/>
      </c>
      <c r="J65">
        <f>IF($Z65="","",INDEX('Per Line'!$K$2:$K$1001,$Z65)&amp;"")</f>
        <v/>
      </c>
      <c r="K65">
        <f>IF($Z65="","",INDEX('Per Line'!$L$2:$L$1001,$Z65)&amp;"")</f>
        <v/>
      </c>
      <c r="L65">
        <f>IF($Z65="","",INDEX('Per Line'!$M$2:$M$1001,$Z65)&amp;"")</f>
        <v/>
      </c>
      <c r="M65">
        <f>IF($Z65="","",INDEX('Per Line'!$P$2:$P$1001,$Z65))</f>
        <v/>
      </c>
      <c r="N65" s="7">
        <f>IF($Z65="","",M65*X65/100)</f>
        <v/>
      </c>
      <c r="O65" s="7">
        <f>IF($Z65="","",SUMIFS('Per Line'!$Y$2:$Y$1001,'Per Line'!$D$2:$D$1001,$B65,'Per Line'!$AP$2:$AP$1001,1))</f>
        <v/>
      </c>
      <c r="P65">
        <f>IF($Z65="","",Settings!$C$7)</f>
        <v/>
      </c>
      <c r="Q65" s="7">
        <f>IF($Z65="","",SUMIFS('Per Line'!$Y$2:$Y$1001,'Per Line'!$D$2:$D$1001,$B65,'Per Line'!$AO$2:$AO$1001,0,'Per Line'!$AP$2:$AP$1001,0))</f>
        <v/>
      </c>
      <c r="R65" s="7">
        <f>IF($Z65="","",Q65*P65)</f>
        <v/>
      </c>
      <c r="S65">
        <f>IF($Z65="","",Settings!$C$6)</f>
        <v/>
      </c>
      <c r="T65" s="7">
        <f>IF($Z65="","",SUMIFS('Per Line'!$Y$2:$Y$1001,'Per Line'!$D$2:$D$1001,$B65,'Per Line'!$AO$2:$AO$1001,1,'Per Line'!$AP$2:$AP$1001,0))</f>
        <v/>
      </c>
      <c r="U65" s="7">
        <f>IF($Z65="","",T65*S65)</f>
        <v/>
      </c>
      <c r="V65" s="7">
        <f>IF($Z65="","",U65+R65)</f>
        <v/>
      </c>
      <c r="W65" s="7">
        <f>IF($Z65="","",X65-V65)</f>
        <v/>
      </c>
      <c r="X65" s="7">
        <f>IF($Z65="","",Q65+T65+O65)</f>
        <v/>
      </c>
      <c r="Y65" s="7">
        <f>IF($Z65="","",X65-V65-N65)</f>
        <v/>
      </c>
      <c r="Z65" s="13">
        <f>IF(ROWS($Z$2:$Z65)&lt;=MAX('Per Line'!$AN$2:$AN$1001),MATCH(ROWS($Z$2:$Z65),'Per Line'!$AN$2:$AN$1001,0),"")</f>
        <v/>
      </c>
    </row>
    <row r="66">
      <c r="A66" s="12" t="n"/>
      <c r="B66">
        <f>IF($Z66="","",INDEX('Per Line'!$D$2:$D$1001,$Z66)&amp;"")</f>
        <v/>
      </c>
      <c r="C66">
        <f>IF($Z66="","",INDEX('Per Line'!$B$2:$B$1001,$Z66)&amp;"")</f>
        <v/>
      </c>
      <c r="D66">
        <f>IF($Z66="","",INDEX('Per Line'!$A$2:$A$1001,$Z66))</f>
        <v/>
      </c>
      <c r="E66">
        <f>IF($Z66="","",INDEX('Per Line'!$E$2:$E$1001,$Z66)&amp;"")</f>
        <v/>
      </c>
      <c r="F66">
        <f>IF($Z66="","",INDEX('Per Line'!$F$2:$F$1001,$Z66)&amp;"")</f>
        <v/>
      </c>
      <c r="G66" s="11">
        <f>IF($Z66="","",INDEX('Per Line'!$G$2:$G$1001,$Z66))</f>
        <v/>
      </c>
      <c r="H66">
        <f>IF($Z66="","",INDEX('Per Line'!$I$2:$I$1001,$Z66)&amp;"")</f>
        <v/>
      </c>
      <c r="I66">
        <f>IF($Z66="","",INDEX('Per Line'!$J$2:$J$1001,$Z66)&amp;"")</f>
        <v/>
      </c>
      <c r="J66">
        <f>IF($Z66="","",INDEX('Per Line'!$K$2:$K$1001,$Z66)&amp;"")</f>
        <v/>
      </c>
      <c r="K66">
        <f>IF($Z66="","",INDEX('Per Line'!$L$2:$L$1001,$Z66)&amp;"")</f>
        <v/>
      </c>
      <c r="L66">
        <f>IF($Z66="","",INDEX('Per Line'!$M$2:$M$1001,$Z66)&amp;"")</f>
        <v/>
      </c>
      <c r="M66">
        <f>IF($Z66="","",INDEX('Per Line'!$P$2:$P$1001,$Z66))</f>
        <v/>
      </c>
      <c r="N66" s="7">
        <f>IF($Z66="","",M66*X66/100)</f>
        <v/>
      </c>
      <c r="O66" s="7">
        <f>IF($Z66="","",SUMIFS('Per Line'!$Y$2:$Y$1001,'Per Line'!$D$2:$D$1001,$B66,'Per Line'!$AP$2:$AP$1001,1))</f>
        <v/>
      </c>
      <c r="P66">
        <f>IF($Z66="","",Settings!$C$7)</f>
        <v/>
      </c>
      <c r="Q66" s="7">
        <f>IF($Z66="","",SUMIFS('Per Line'!$Y$2:$Y$1001,'Per Line'!$D$2:$D$1001,$B66,'Per Line'!$AO$2:$AO$1001,0,'Per Line'!$AP$2:$AP$1001,0))</f>
        <v/>
      </c>
      <c r="R66" s="7">
        <f>IF($Z66="","",Q66*P66)</f>
        <v/>
      </c>
      <c r="S66">
        <f>IF($Z66="","",Settings!$C$6)</f>
        <v/>
      </c>
      <c r="T66" s="7">
        <f>IF($Z66="","",SUMIFS('Per Line'!$Y$2:$Y$1001,'Per Line'!$D$2:$D$1001,$B66,'Per Line'!$AO$2:$AO$1001,1,'Per Line'!$AP$2:$AP$1001,0))</f>
        <v/>
      </c>
      <c r="U66" s="7">
        <f>IF($Z66="","",T66*S66)</f>
        <v/>
      </c>
      <c r="V66" s="7">
        <f>IF($Z66="","",U66+R66)</f>
        <v/>
      </c>
      <c r="W66" s="7">
        <f>IF($Z66="","",X66-V66)</f>
        <v/>
      </c>
      <c r="X66" s="7">
        <f>IF($Z66="","",Q66+T66+O66)</f>
        <v/>
      </c>
      <c r="Y66" s="7">
        <f>IF($Z66="","",X66-V66-N66)</f>
        <v/>
      </c>
      <c r="Z66" s="13">
        <f>IF(ROWS($Z$2:$Z66)&lt;=MAX('Per Line'!$AN$2:$AN$1001),MATCH(ROWS($Z$2:$Z66),'Per Line'!$AN$2:$AN$1001,0),"")</f>
        <v/>
      </c>
    </row>
    <row r="67">
      <c r="A67" s="12" t="n"/>
      <c r="B67">
        <f>IF($Z67="","",INDEX('Per Line'!$D$2:$D$1001,$Z67)&amp;"")</f>
        <v/>
      </c>
      <c r="C67">
        <f>IF($Z67="","",INDEX('Per Line'!$B$2:$B$1001,$Z67)&amp;"")</f>
        <v/>
      </c>
      <c r="D67">
        <f>IF($Z67="","",INDEX('Per Line'!$A$2:$A$1001,$Z67))</f>
        <v/>
      </c>
      <c r="E67">
        <f>IF($Z67="","",INDEX('Per Line'!$E$2:$E$1001,$Z67)&amp;"")</f>
        <v/>
      </c>
      <c r="F67">
        <f>IF($Z67="","",INDEX('Per Line'!$F$2:$F$1001,$Z67)&amp;"")</f>
        <v/>
      </c>
      <c r="G67" s="11">
        <f>IF($Z67="","",INDEX('Per Line'!$G$2:$G$1001,$Z67))</f>
        <v/>
      </c>
      <c r="H67">
        <f>IF($Z67="","",INDEX('Per Line'!$I$2:$I$1001,$Z67)&amp;"")</f>
        <v/>
      </c>
      <c r="I67">
        <f>IF($Z67="","",INDEX('Per Line'!$J$2:$J$1001,$Z67)&amp;"")</f>
        <v/>
      </c>
      <c r="J67">
        <f>IF($Z67="","",INDEX('Per Line'!$K$2:$K$1001,$Z67)&amp;"")</f>
        <v/>
      </c>
      <c r="K67">
        <f>IF($Z67="","",INDEX('Per Line'!$L$2:$L$1001,$Z67)&amp;"")</f>
        <v/>
      </c>
      <c r="L67">
        <f>IF($Z67="","",INDEX('Per Line'!$M$2:$M$1001,$Z67)&amp;"")</f>
        <v/>
      </c>
      <c r="M67">
        <f>IF($Z67="","",INDEX('Per Line'!$P$2:$P$1001,$Z67))</f>
        <v/>
      </c>
      <c r="N67" s="7">
        <f>IF($Z67="","",M67*X67/100)</f>
        <v/>
      </c>
      <c r="O67" s="7">
        <f>IF($Z67="","",SUMIFS('Per Line'!$Y$2:$Y$1001,'Per Line'!$D$2:$D$1001,$B67,'Per Line'!$AP$2:$AP$1001,1))</f>
        <v/>
      </c>
      <c r="P67">
        <f>IF($Z67="","",Settings!$C$7)</f>
        <v/>
      </c>
      <c r="Q67" s="7">
        <f>IF($Z67="","",SUMIFS('Per Line'!$Y$2:$Y$1001,'Per Line'!$D$2:$D$1001,$B67,'Per Line'!$AO$2:$AO$1001,0,'Per Line'!$AP$2:$AP$1001,0))</f>
        <v/>
      </c>
      <c r="R67" s="7">
        <f>IF($Z67="","",Q67*P67)</f>
        <v/>
      </c>
      <c r="S67">
        <f>IF($Z67="","",Settings!$C$6)</f>
        <v/>
      </c>
      <c r="T67" s="7">
        <f>IF($Z67="","",SUMIFS('Per Line'!$Y$2:$Y$1001,'Per Line'!$D$2:$D$1001,$B67,'Per Line'!$AO$2:$AO$1001,1,'Per Line'!$AP$2:$AP$1001,0))</f>
        <v/>
      </c>
      <c r="U67" s="7">
        <f>IF($Z67="","",T67*S67)</f>
        <v/>
      </c>
      <c r="V67" s="7">
        <f>IF($Z67="","",U67+R67)</f>
        <v/>
      </c>
      <c r="W67" s="7">
        <f>IF($Z67="","",X67-V67)</f>
        <v/>
      </c>
      <c r="X67" s="7">
        <f>IF($Z67="","",Q67+T67+O67)</f>
        <v/>
      </c>
      <c r="Y67" s="7">
        <f>IF($Z67="","",X67-V67-N67)</f>
        <v/>
      </c>
      <c r="Z67" s="13">
        <f>IF(ROWS($Z$2:$Z67)&lt;=MAX('Per Line'!$AN$2:$AN$1001),MATCH(ROWS($Z$2:$Z67),'Per Line'!$AN$2:$AN$1001,0),"")</f>
        <v/>
      </c>
    </row>
    <row r="68">
      <c r="A68" s="12" t="n"/>
      <c r="B68">
        <f>IF($Z68="","",INDEX('Per Line'!$D$2:$D$1001,$Z68)&amp;"")</f>
        <v/>
      </c>
      <c r="C68">
        <f>IF($Z68="","",INDEX('Per Line'!$B$2:$B$1001,$Z68)&amp;"")</f>
        <v/>
      </c>
      <c r="D68">
        <f>IF($Z68="","",INDEX('Per Line'!$A$2:$A$1001,$Z68))</f>
        <v/>
      </c>
      <c r="E68">
        <f>IF($Z68="","",INDEX('Per Line'!$E$2:$E$1001,$Z68)&amp;"")</f>
        <v/>
      </c>
      <c r="F68">
        <f>IF($Z68="","",INDEX('Per Line'!$F$2:$F$1001,$Z68)&amp;"")</f>
        <v/>
      </c>
      <c r="G68" s="11">
        <f>IF($Z68="","",INDEX('Per Line'!$G$2:$G$1001,$Z68))</f>
        <v/>
      </c>
      <c r="H68">
        <f>IF($Z68="","",INDEX('Per Line'!$I$2:$I$1001,$Z68)&amp;"")</f>
        <v/>
      </c>
      <c r="I68">
        <f>IF($Z68="","",INDEX('Per Line'!$J$2:$J$1001,$Z68)&amp;"")</f>
        <v/>
      </c>
      <c r="J68">
        <f>IF($Z68="","",INDEX('Per Line'!$K$2:$K$1001,$Z68)&amp;"")</f>
        <v/>
      </c>
      <c r="K68">
        <f>IF($Z68="","",INDEX('Per Line'!$L$2:$L$1001,$Z68)&amp;"")</f>
        <v/>
      </c>
      <c r="L68">
        <f>IF($Z68="","",INDEX('Per Line'!$M$2:$M$1001,$Z68)&amp;"")</f>
        <v/>
      </c>
      <c r="M68">
        <f>IF($Z68="","",INDEX('Per Line'!$P$2:$P$1001,$Z68))</f>
        <v/>
      </c>
      <c r="N68" s="7">
        <f>IF($Z68="","",M68*X68/100)</f>
        <v/>
      </c>
      <c r="O68" s="7">
        <f>IF($Z68="","",SUMIFS('Per Line'!$Y$2:$Y$1001,'Per Line'!$D$2:$D$1001,$B68,'Per Line'!$AP$2:$AP$1001,1))</f>
        <v/>
      </c>
      <c r="P68">
        <f>IF($Z68="","",Settings!$C$7)</f>
        <v/>
      </c>
      <c r="Q68" s="7">
        <f>IF($Z68="","",SUMIFS('Per Line'!$Y$2:$Y$1001,'Per Line'!$D$2:$D$1001,$B68,'Per Line'!$AO$2:$AO$1001,0,'Per Line'!$AP$2:$AP$1001,0))</f>
        <v/>
      </c>
      <c r="R68" s="7">
        <f>IF($Z68="","",Q68*P68)</f>
        <v/>
      </c>
      <c r="S68">
        <f>IF($Z68="","",Settings!$C$6)</f>
        <v/>
      </c>
      <c r="T68" s="7">
        <f>IF($Z68="","",SUMIFS('Per Line'!$Y$2:$Y$1001,'Per Line'!$D$2:$D$1001,$B68,'Per Line'!$AO$2:$AO$1001,1,'Per Line'!$AP$2:$AP$1001,0))</f>
        <v/>
      </c>
      <c r="U68" s="7">
        <f>IF($Z68="","",T68*S68)</f>
        <v/>
      </c>
      <c r="V68" s="7">
        <f>IF($Z68="","",U68+R68)</f>
        <v/>
      </c>
      <c r="W68" s="7">
        <f>IF($Z68="","",X68-V68)</f>
        <v/>
      </c>
      <c r="X68" s="7">
        <f>IF($Z68="","",Q68+T68+O68)</f>
        <v/>
      </c>
      <c r="Y68" s="7">
        <f>IF($Z68="","",X68-V68-N68)</f>
        <v/>
      </c>
      <c r="Z68" s="13">
        <f>IF(ROWS($Z$2:$Z68)&lt;=MAX('Per Line'!$AN$2:$AN$1001),MATCH(ROWS($Z$2:$Z68),'Per Line'!$AN$2:$AN$1001,0),"")</f>
        <v/>
      </c>
    </row>
    <row r="69">
      <c r="A69" s="12" t="n"/>
      <c r="B69">
        <f>IF($Z69="","",INDEX('Per Line'!$D$2:$D$1001,$Z69)&amp;"")</f>
        <v/>
      </c>
      <c r="C69">
        <f>IF($Z69="","",INDEX('Per Line'!$B$2:$B$1001,$Z69)&amp;"")</f>
        <v/>
      </c>
      <c r="D69">
        <f>IF($Z69="","",INDEX('Per Line'!$A$2:$A$1001,$Z69))</f>
        <v/>
      </c>
      <c r="E69">
        <f>IF($Z69="","",INDEX('Per Line'!$E$2:$E$1001,$Z69)&amp;"")</f>
        <v/>
      </c>
      <c r="F69">
        <f>IF($Z69="","",INDEX('Per Line'!$F$2:$F$1001,$Z69)&amp;"")</f>
        <v/>
      </c>
      <c r="G69" s="11">
        <f>IF($Z69="","",INDEX('Per Line'!$G$2:$G$1001,$Z69))</f>
        <v/>
      </c>
      <c r="H69">
        <f>IF($Z69="","",INDEX('Per Line'!$I$2:$I$1001,$Z69)&amp;"")</f>
        <v/>
      </c>
      <c r="I69">
        <f>IF($Z69="","",INDEX('Per Line'!$J$2:$J$1001,$Z69)&amp;"")</f>
        <v/>
      </c>
      <c r="J69">
        <f>IF($Z69="","",INDEX('Per Line'!$K$2:$K$1001,$Z69)&amp;"")</f>
        <v/>
      </c>
      <c r="K69">
        <f>IF($Z69="","",INDEX('Per Line'!$L$2:$L$1001,$Z69)&amp;"")</f>
        <v/>
      </c>
      <c r="L69">
        <f>IF($Z69="","",INDEX('Per Line'!$M$2:$M$1001,$Z69)&amp;"")</f>
        <v/>
      </c>
      <c r="M69">
        <f>IF($Z69="","",INDEX('Per Line'!$P$2:$P$1001,$Z69))</f>
        <v/>
      </c>
      <c r="N69" s="7">
        <f>IF($Z69="","",M69*X69/100)</f>
        <v/>
      </c>
      <c r="O69" s="7">
        <f>IF($Z69="","",SUMIFS('Per Line'!$Y$2:$Y$1001,'Per Line'!$D$2:$D$1001,$B69,'Per Line'!$AP$2:$AP$1001,1))</f>
        <v/>
      </c>
      <c r="P69">
        <f>IF($Z69="","",Settings!$C$7)</f>
        <v/>
      </c>
      <c r="Q69" s="7">
        <f>IF($Z69="","",SUMIFS('Per Line'!$Y$2:$Y$1001,'Per Line'!$D$2:$D$1001,$B69,'Per Line'!$AO$2:$AO$1001,0,'Per Line'!$AP$2:$AP$1001,0))</f>
        <v/>
      </c>
      <c r="R69" s="7">
        <f>IF($Z69="","",Q69*P69)</f>
        <v/>
      </c>
      <c r="S69">
        <f>IF($Z69="","",Settings!$C$6)</f>
        <v/>
      </c>
      <c r="T69" s="7">
        <f>IF($Z69="","",SUMIFS('Per Line'!$Y$2:$Y$1001,'Per Line'!$D$2:$D$1001,$B69,'Per Line'!$AO$2:$AO$1001,1,'Per Line'!$AP$2:$AP$1001,0))</f>
        <v/>
      </c>
      <c r="U69" s="7">
        <f>IF($Z69="","",T69*S69)</f>
        <v/>
      </c>
      <c r="V69" s="7">
        <f>IF($Z69="","",U69+R69)</f>
        <v/>
      </c>
      <c r="W69" s="7">
        <f>IF($Z69="","",X69-V69)</f>
        <v/>
      </c>
      <c r="X69" s="7">
        <f>IF($Z69="","",Q69+T69+O69)</f>
        <v/>
      </c>
      <c r="Y69" s="7">
        <f>IF($Z69="","",X69-V69-N69)</f>
        <v/>
      </c>
      <c r="Z69" s="13">
        <f>IF(ROWS($Z$2:$Z69)&lt;=MAX('Per Line'!$AN$2:$AN$1001),MATCH(ROWS($Z$2:$Z69),'Per Line'!$AN$2:$AN$1001,0),"")</f>
        <v/>
      </c>
    </row>
    <row r="70">
      <c r="A70" s="12" t="n"/>
      <c r="B70">
        <f>IF($Z70="","",INDEX('Per Line'!$D$2:$D$1001,$Z70)&amp;"")</f>
        <v/>
      </c>
      <c r="C70">
        <f>IF($Z70="","",INDEX('Per Line'!$B$2:$B$1001,$Z70)&amp;"")</f>
        <v/>
      </c>
      <c r="D70">
        <f>IF($Z70="","",INDEX('Per Line'!$A$2:$A$1001,$Z70))</f>
        <v/>
      </c>
      <c r="E70">
        <f>IF($Z70="","",INDEX('Per Line'!$E$2:$E$1001,$Z70)&amp;"")</f>
        <v/>
      </c>
      <c r="F70">
        <f>IF($Z70="","",INDEX('Per Line'!$F$2:$F$1001,$Z70)&amp;"")</f>
        <v/>
      </c>
      <c r="G70" s="11">
        <f>IF($Z70="","",INDEX('Per Line'!$G$2:$G$1001,$Z70))</f>
        <v/>
      </c>
      <c r="H70">
        <f>IF($Z70="","",INDEX('Per Line'!$I$2:$I$1001,$Z70)&amp;"")</f>
        <v/>
      </c>
      <c r="I70">
        <f>IF($Z70="","",INDEX('Per Line'!$J$2:$J$1001,$Z70)&amp;"")</f>
        <v/>
      </c>
      <c r="J70">
        <f>IF($Z70="","",INDEX('Per Line'!$K$2:$K$1001,$Z70)&amp;"")</f>
        <v/>
      </c>
      <c r="K70">
        <f>IF($Z70="","",INDEX('Per Line'!$L$2:$L$1001,$Z70)&amp;"")</f>
        <v/>
      </c>
      <c r="L70">
        <f>IF($Z70="","",INDEX('Per Line'!$M$2:$M$1001,$Z70)&amp;"")</f>
        <v/>
      </c>
      <c r="M70">
        <f>IF($Z70="","",INDEX('Per Line'!$P$2:$P$1001,$Z70))</f>
        <v/>
      </c>
      <c r="N70" s="7">
        <f>IF($Z70="","",M70*X70/100)</f>
        <v/>
      </c>
      <c r="O70" s="7">
        <f>IF($Z70="","",SUMIFS('Per Line'!$Y$2:$Y$1001,'Per Line'!$D$2:$D$1001,$B70,'Per Line'!$AP$2:$AP$1001,1))</f>
        <v/>
      </c>
      <c r="P70">
        <f>IF($Z70="","",Settings!$C$7)</f>
        <v/>
      </c>
      <c r="Q70" s="7">
        <f>IF($Z70="","",SUMIFS('Per Line'!$Y$2:$Y$1001,'Per Line'!$D$2:$D$1001,$B70,'Per Line'!$AO$2:$AO$1001,0,'Per Line'!$AP$2:$AP$1001,0))</f>
        <v/>
      </c>
      <c r="R70" s="7">
        <f>IF($Z70="","",Q70*P70)</f>
        <v/>
      </c>
      <c r="S70">
        <f>IF($Z70="","",Settings!$C$6)</f>
        <v/>
      </c>
      <c r="T70" s="7">
        <f>IF($Z70="","",SUMIFS('Per Line'!$Y$2:$Y$1001,'Per Line'!$D$2:$D$1001,$B70,'Per Line'!$AO$2:$AO$1001,1,'Per Line'!$AP$2:$AP$1001,0))</f>
        <v/>
      </c>
      <c r="U70" s="7">
        <f>IF($Z70="","",T70*S70)</f>
        <v/>
      </c>
      <c r="V70" s="7">
        <f>IF($Z70="","",U70+R70)</f>
        <v/>
      </c>
      <c r="W70" s="7">
        <f>IF($Z70="","",X70-V70)</f>
        <v/>
      </c>
      <c r="X70" s="7">
        <f>IF($Z70="","",Q70+T70+O70)</f>
        <v/>
      </c>
      <c r="Y70" s="7">
        <f>IF($Z70="","",X70-V70-N70)</f>
        <v/>
      </c>
      <c r="Z70" s="13">
        <f>IF(ROWS($Z$2:$Z70)&lt;=MAX('Per Line'!$AN$2:$AN$1001),MATCH(ROWS($Z$2:$Z70),'Per Line'!$AN$2:$AN$1001,0),"")</f>
        <v/>
      </c>
    </row>
    <row r="71">
      <c r="A71" s="12" t="n"/>
      <c r="B71">
        <f>IF($Z71="","",INDEX('Per Line'!$D$2:$D$1001,$Z71)&amp;"")</f>
        <v/>
      </c>
      <c r="C71">
        <f>IF($Z71="","",INDEX('Per Line'!$B$2:$B$1001,$Z71)&amp;"")</f>
        <v/>
      </c>
      <c r="D71">
        <f>IF($Z71="","",INDEX('Per Line'!$A$2:$A$1001,$Z71))</f>
        <v/>
      </c>
      <c r="E71">
        <f>IF($Z71="","",INDEX('Per Line'!$E$2:$E$1001,$Z71)&amp;"")</f>
        <v/>
      </c>
      <c r="F71">
        <f>IF($Z71="","",INDEX('Per Line'!$F$2:$F$1001,$Z71)&amp;"")</f>
        <v/>
      </c>
      <c r="G71" s="11">
        <f>IF($Z71="","",INDEX('Per Line'!$G$2:$G$1001,$Z71))</f>
        <v/>
      </c>
      <c r="H71">
        <f>IF($Z71="","",INDEX('Per Line'!$I$2:$I$1001,$Z71)&amp;"")</f>
        <v/>
      </c>
      <c r="I71">
        <f>IF($Z71="","",INDEX('Per Line'!$J$2:$J$1001,$Z71)&amp;"")</f>
        <v/>
      </c>
      <c r="J71">
        <f>IF($Z71="","",INDEX('Per Line'!$K$2:$K$1001,$Z71)&amp;"")</f>
        <v/>
      </c>
      <c r="K71">
        <f>IF($Z71="","",INDEX('Per Line'!$L$2:$L$1001,$Z71)&amp;"")</f>
        <v/>
      </c>
      <c r="L71">
        <f>IF($Z71="","",INDEX('Per Line'!$M$2:$M$1001,$Z71)&amp;"")</f>
        <v/>
      </c>
      <c r="M71">
        <f>IF($Z71="","",INDEX('Per Line'!$P$2:$P$1001,$Z71))</f>
        <v/>
      </c>
      <c r="N71" s="7">
        <f>IF($Z71="","",M71*X71/100)</f>
        <v/>
      </c>
      <c r="O71" s="7">
        <f>IF($Z71="","",SUMIFS('Per Line'!$Y$2:$Y$1001,'Per Line'!$D$2:$D$1001,$B71,'Per Line'!$AP$2:$AP$1001,1))</f>
        <v/>
      </c>
      <c r="P71">
        <f>IF($Z71="","",Settings!$C$7)</f>
        <v/>
      </c>
      <c r="Q71" s="7">
        <f>IF($Z71="","",SUMIFS('Per Line'!$Y$2:$Y$1001,'Per Line'!$D$2:$D$1001,$B71,'Per Line'!$AO$2:$AO$1001,0,'Per Line'!$AP$2:$AP$1001,0))</f>
        <v/>
      </c>
      <c r="R71" s="7">
        <f>IF($Z71="","",Q71*P71)</f>
        <v/>
      </c>
      <c r="S71">
        <f>IF($Z71="","",Settings!$C$6)</f>
        <v/>
      </c>
      <c r="T71" s="7">
        <f>IF($Z71="","",SUMIFS('Per Line'!$Y$2:$Y$1001,'Per Line'!$D$2:$D$1001,$B71,'Per Line'!$AO$2:$AO$1001,1,'Per Line'!$AP$2:$AP$1001,0))</f>
        <v/>
      </c>
      <c r="U71" s="7">
        <f>IF($Z71="","",T71*S71)</f>
        <v/>
      </c>
      <c r="V71" s="7">
        <f>IF($Z71="","",U71+R71)</f>
        <v/>
      </c>
      <c r="W71" s="7">
        <f>IF($Z71="","",X71-V71)</f>
        <v/>
      </c>
      <c r="X71" s="7">
        <f>IF($Z71="","",Q71+T71+O71)</f>
        <v/>
      </c>
      <c r="Y71" s="7">
        <f>IF($Z71="","",X71-V71-N71)</f>
        <v/>
      </c>
      <c r="Z71" s="13">
        <f>IF(ROWS($Z$2:$Z71)&lt;=MAX('Per Line'!$AN$2:$AN$1001),MATCH(ROWS($Z$2:$Z71),'Per Line'!$AN$2:$AN$1001,0),"")</f>
        <v/>
      </c>
    </row>
    <row r="72">
      <c r="A72" s="12" t="n"/>
      <c r="B72">
        <f>IF($Z72="","",INDEX('Per Line'!$D$2:$D$1001,$Z72)&amp;"")</f>
        <v/>
      </c>
      <c r="C72">
        <f>IF($Z72="","",INDEX('Per Line'!$B$2:$B$1001,$Z72)&amp;"")</f>
        <v/>
      </c>
      <c r="D72">
        <f>IF($Z72="","",INDEX('Per Line'!$A$2:$A$1001,$Z72))</f>
        <v/>
      </c>
      <c r="E72">
        <f>IF($Z72="","",INDEX('Per Line'!$E$2:$E$1001,$Z72)&amp;"")</f>
        <v/>
      </c>
      <c r="F72">
        <f>IF($Z72="","",INDEX('Per Line'!$F$2:$F$1001,$Z72)&amp;"")</f>
        <v/>
      </c>
      <c r="G72" s="11">
        <f>IF($Z72="","",INDEX('Per Line'!$G$2:$G$1001,$Z72))</f>
        <v/>
      </c>
      <c r="H72">
        <f>IF($Z72="","",INDEX('Per Line'!$I$2:$I$1001,$Z72)&amp;"")</f>
        <v/>
      </c>
      <c r="I72">
        <f>IF($Z72="","",INDEX('Per Line'!$J$2:$J$1001,$Z72)&amp;"")</f>
        <v/>
      </c>
      <c r="J72">
        <f>IF($Z72="","",INDEX('Per Line'!$K$2:$K$1001,$Z72)&amp;"")</f>
        <v/>
      </c>
      <c r="K72">
        <f>IF($Z72="","",INDEX('Per Line'!$L$2:$L$1001,$Z72)&amp;"")</f>
        <v/>
      </c>
      <c r="L72">
        <f>IF($Z72="","",INDEX('Per Line'!$M$2:$M$1001,$Z72)&amp;"")</f>
        <v/>
      </c>
      <c r="M72">
        <f>IF($Z72="","",INDEX('Per Line'!$P$2:$P$1001,$Z72))</f>
        <v/>
      </c>
      <c r="N72" s="7">
        <f>IF($Z72="","",M72*X72/100)</f>
        <v/>
      </c>
      <c r="O72" s="7">
        <f>IF($Z72="","",SUMIFS('Per Line'!$Y$2:$Y$1001,'Per Line'!$D$2:$D$1001,$B72,'Per Line'!$AP$2:$AP$1001,1))</f>
        <v/>
      </c>
      <c r="P72">
        <f>IF($Z72="","",Settings!$C$7)</f>
        <v/>
      </c>
      <c r="Q72" s="7">
        <f>IF($Z72="","",SUMIFS('Per Line'!$Y$2:$Y$1001,'Per Line'!$D$2:$D$1001,$B72,'Per Line'!$AO$2:$AO$1001,0,'Per Line'!$AP$2:$AP$1001,0))</f>
        <v/>
      </c>
      <c r="R72" s="7">
        <f>IF($Z72="","",Q72*P72)</f>
        <v/>
      </c>
      <c r="S72">
        <f>IF($Z72="","",Settings!$C$6)</f>
        <v/>
      </c>
      <c r="T72" s="7">
        <f>IF($Z72="","",SUMIFS('Per Line'!$Y$2:$Y$1001,'Per Line'!$D$2:$D$1001,$B72,'Per Line'!$AO$2:$AO$1001,1,'Per Line'!$AP$2:$AP$1001,0))</f>
        <v/>
      </c>
      <c r="U72" s="7">
        <f>IF($Z72="","",T72*S72)</f>
        <v/>
      </c>
      <c r="V72" s="7">
        <f>IF($Z72="","",U72+R72)</f>
        <v/>
      </c>
      <c r="W72" s="7">
        <f>IF($Z72="","",X72-V72)</f>
        <v/>
      </c>
      <c r="X72" s="7">
        <f>IF($Z72="","",Q72+T72+O72)</f>
        <v/>
      </c>
      <c r="Y72" s="7">
        <f>IF($Z72="","",X72-V72-N72)</f>
        <v/>
      </c>
      <c r="Z72" s="13">
        <f>IF(ROWS($Z$2:$Z72)&lt;=MAX('Per Line'!$AN$2:$AN$1001),MATCH(ROWS($Z$2:$Z72),'Per Line'!$AN$2:$AN$1001,0),"")</f>
        <v/>
      </c>
    </row>
    <row r="73">
      <c r="A73" s="12" t="n"/>
      <c r="B73">
        <f>IF($Z73="","",INDEX('Per Line'!$D$2:$D$1001,$Z73)&amp;"")</f>
        <v/>
      </c>
      <c r="C73">
        <f>IF($Z73="","",INDEX('Per Line'!$B$2:$B$1001,$Z73)&amp;"")</f>
        <v/>
      </c>
      <c r="D73">
        <f>IF($Z73="","",INDEX('Per Line'!$A$2:$A$1001,$Z73))</f>
        <v/>
      </c>
      <c r="E73">
        <f>IF($Z73="","",INDEX('Per Line'!$E$2:$E$1001,$Z73)&amp;"")</f>
        <v/>
      </c>
      <c r="F73">
        <f>IF($Z73="","",INDEX('Per Line'!$F$2:$F$1001,$Z73)&amp;"")</f>
        <v/>
      </c>
      <c r="G73" s="11">
        <f>IF($Z73="","",INDEX('Per Line'!$G$2:$G$1001,$Z73))</f>
        <v/>
      </c>
      <c r="H73">
        <f>IF($Z73="","",INDEX('Per Line'!$I$2:$I$1001,$Z73)&amp;"")</f>
        <v/>
      </c>
      <c r="I73">
        <f>IF($Z73="","",INDEX('Per Line'!$J$2:$J$1001,$Z73)&amp;"")</f>
        <v/>
      </c>
      <c r="J73">
        <f>IF($Z73="","",INDEX('Per Line'!$K$2:$K$1001,$Z73)&amp;"")</f>
        <v/>
      </c>
      <c r="K73">
        <f>IF($Z73="","",INDEX('Per Line'!$L$2:$L$1001,$Z73)&amp;"")</f>
        <v/>
      </c>
      <c r="L73">
        <f>IF($Z73="","",INDEX('Per Line'!$M$2:$M$1001,$Z73)&amp;"")</f>
        <v/>
      </c>
      <c r="M73">
        <f>IF($Z73="","",INDEX('Per Line'!$P$2:$P$1001,$Z73))</f>
        <v/>
      </c>
      <c r="N73" s="7">
        <f>IF($Z73="","",M73*X73/100)</f>
        <v/>
      </c>
      <c r="O73" s="7">
        <f>IF($Z73="","",SUMIFS('Per Line'!$Y$2:$Y$1001,'Per Line'!$D$2:$D$1001,$B73,'Per Line'!$AP$2:$AP$1001,1))</f>
        <v/>
      </c>
      <c r="P73">
        <f>IF($Z73="","",Settings!$C$7)</f>
        <v/>
      </c>
      <c r="Q73" s="7">
        <f>IF($Z73="","",SUMIFS('Per Line'!$Y$2:$Y$1001,'Per Line'!$D$2:$D$1001,$B73,'Per Line'!$AO$2:$AO$1001,0,'Per Line'!$AP$2:$AP$1001,0))</f>
        <v/>
      </c>
      <c r="R73" s="7">
        <f>IF($Z73="","",Q73*P73)</f>
        <v/>
      </c>
      <c r="S73">
        <f>IF($Z73="","",Settings!$C$6)</f>
        <v/>
      </c>
      <c r="T73" s="7">
        <f>IF($Z73="","",SUMIFS('Per Line'!$Y$2:$Y$1001,'Per Line'!$D$2:$D$1001,$B73,'Per Line'!$AO$2:$AO$1001,1,'Per Line'!$AP$2:$AP$1001,0))</f>
        <v/>
      </c>
      <c r="U73" s="7">
        <f>IF($Z73="","",T73*S73)</f>
        <v/>
      </c>
      <c r="V73" s="7">
        <f>IF($Z73="","",U73+R73)</f>
        <v/>
      </c>
      <c r="W73" s="7">
        <f>IF($Z73="","",X73-V73)</f>
        <v/>
      </c>
      <c r="X73" s="7">
        <f>IF($Z73="","",Q73+T73+O73)</f>
        <v/>
      </c>
      <c r="Y73" s="7">
        <f>IF($Z73="","",X73-V73-N73)</f>
        <v/>
      </c>
      <c r="Z73" s="13">
        <f>IF(ROWS($Z$2:$Z73)&lt;=MAX('Per Line'!$AN$2:$AN$1001),MATCH(ROWS($Z$2:$Z73),'Per Line'!$AN$2:$AN$1001,0),"")</f>
        <v/>
      </c>
    </row>
    <row r="74">
      <c r="A74" s="12" t="n"/>
      <c r="B74">
        <f>IF($Z74="","",INDEX('Per Line'!$D$2:$D$1001,$Z74)&amp;"")</f>
        <v/>
      </c>
      <c r="C74">
        <f>IF($Z74="","",INDEX('Per Line'!$B$2:$B$1001,$Z74)&amp;"")</f>
        <v/>
      </c>
      <c r="D74">
        <f>IF($Z74="","",INDEX('Per Line'!$A$2:$A$1001,$Z74))</f>
        <v/>
      </c>
      <c r="E74">
        <f>IF($Z74="","",INDEX('Per Line'!$E$2:$E$1001,$Z74)&amp;"")</f>
        <v/>
      </c>
      <c r="F74">
        <f>IF($Z74="","",INDEX('Per Line'!$F$2:$F$1001,$Z74)&amp;"")</f>
        <v/>
      </c>
      <c r="G74" s="11">
        <f>IF($Z74="","",INDEX('Per Line'!$G$2:$G$1001,$Z74))</f>
        <v/>
      </c>
      <c r="H74">
        <f>IF($Z74="","",INDEX('Per Line'!$I$2:$I$1001,$Z74)&amp;"")</f>
        <v/>
      </c>
      <c r="I74">
        <f>IF($Z74="","",INDEX('Per Line'!$J$2:$J$1001,$Z74)&amp;"")</f>
        <v/>
      </c>
      <c r="J74">
        <f>IF($Z74="","",INDEX('Per Line'!$K$2:$K$1001,$Z74)&amp;"")</f>
        <v/>
      </c>
      <c r="K74">
        <f>IF($Z74="","",INDEX('Per Line'!$L$2:$L$1001,$Z74)&amp;"")</f>
        <v/>
      </c>
      <c r="L74">
        <f>IF($Z74="","",INDEX('Per Line'!$M$2:$M$1001,$Z74)&amp;"")</f>
        <v/>
      </c>
      <c r="M74">
        <f>IF($Z74="","",INDEX('Per Line'!$P$2:$P$1001,$Z74))</f>
        <v/>
      </c>
      <c r="N74" s="7">
        <f>IF($Z74="","",M74*X74/100)</f>
        <v/>
      </c>
      <c r="O74" s="7">
        <f>IF($Z74="","",SUMIFS('Per Line'!$Y$2:$Y$1001,'Per Line'!$D$2:$D$1001,$B74,'Per Line'!$AP$2:$AP$1001,1))</f>
        <v/>
      </c>
      <c r="P74">
        <f>IF($Z74="","",Settings!$C$7)</f>
        <v/>
      </c>
      <c r="Q74" s="7">
        <f>IF($Z74="","",SUMIFS('Per Line'!$Y$2:$Y$1001,'Per Line'!$D$2:$D$1001,$B74,'Per Line'!$AO$2:$AO$1001,0,'Per Line'!$AP$2:$AP$1001,0))</f>
        <v/>
      </c>
      <c r="R74" s="7">
        <f>IF($Z74="","",Q74*P74)</f>
        <v/>
      </c>
      <c r="S74">
        <f>IF($Z74="","",Settings!$C$6)</f>
        <v/>
      </c>
      <c r="T74" s="7">
        <f>IF($Z74="","",SUMIFS('Per Line'!$Y$2:$Y$1001,'Per Line'!$D$2:$D$1001,$B74,'Per Line'!$AO$2:$AO$1001,1,'Per Line'!$AP$2:$AP$1001,0))</f>
        <v/>
      </c>
      <c r="U74" s="7">
        <f>IF($Z74="","",T74*S74)</f>
        <v/>
      </c>
      <c r="V74" s="7">
        <f>IF($Z74="","",U74+R74)</f>
        <v/>
      </c>
      <c r="W74" s="7">
        <f>IF($Z74="","",X74-V74)</f>
        <v/>
      </c>
      <c r="X74" s="7">
        <f>IF($Z74="","",Q74+T74+O74)</f>
        <v/>
      </c>
      <c r="Y74" s="7">
        <f>IF($Z74="","",X74-V74-N74)</f>
        <v/>
      </c>
      <c r="Z74" s="13">
        <f>IF(ROWS($Z$2:$Z74)&lt;=MAX('Per Line'!$AN$2:$AN$1001),MATCH(ROWS($Z$2:$Z74),'Per Line'!$AN$2:$AN$1001,0),"")</f>
        <v/>
      </c>
    </row>
    <row r="75">
      <c r="A75" s="12" t="n"/>
      <c r="B75">
        <f>IF($Z75="","",INDEX('Per Line'!$D$2:$D$1001,$Z75)&amp;"")</f>
        <v/>
      </c>
      <c r="C75">
        <f>IF($Z75="","",INDEX('Per Line'!$B$2:$B$1001,$Z75)&amp;"")</f>
        <v/>
      </c>
      <c r="D75">
        <f>IF($Z75="","",INDEX('Per Line'!$A$2:$A$1001,$Z75))</f>
        <v/>
      </c>
      <c r="E75">
        <f>IF($Z75="","",INDEX('Per Line'!$E$2:$E$1001,$Z75)&amp;"")</f>
        <v/>
      </c>
      <c r="F75">
        <f>IF($Z75="","",INDEX('Per Line'!$F$2:$F$1001,$Z75)&amp;"")</f>
        <v/>
      </c>
      <c r="G75" s="11">
        <f>IF($Z75="","",INDEX('Per Line'!$G$2:$G$1001,$Z75))</f>
        <v/>
      </c>
      <c r="H75">
        <f>IF($Z75="","",INDEX('Per Line'!$I$2:$I$1001,$Z75)&amp;"")</f>
        <v/>
      </c>
      <c r="I75">
        <f>IF($Z75="","",INDEX('Per Line'!$J$2:$J$1001,$Z75)&amp;"")</f>
        <v/>
      </c>
      <c r="J75">
        <f>IF($Z75="","",INDEX('Per Line'!$K$2:$K$1001,$Z75)&amp;"")</f>
        <v/>
      </c>
      <c r="K75">
        <f>IF($Z75="","",INDEX('Per Line'!$L$2:$L$1001,$Z75)&amp;"")</f>
        <v/>
      </c>
      <c r="L75">
        <f>IF($Z75="","",INDEX('Per Line'!$M$2:$M$1001,$Z75)&amp;"")</f>
        <v/>
      </c>
      <c r="M75">
        <f>IF($Z75="","",INDEX('Per Line'!$P$2:$P$1001,$Z75))</f>
        <v/>
      </c>
      <c r="N75" s="7">
        <f>IF($Z75="","",M75*X75/100)</f>
        <v/>
      </c>
      <c r="O75" s="7">
        <f>IF($Z75="","",SUMIFS('Per Line'!$Y$2:$Y$1001,'Per Line'!$D$2:$D$1001,$B75,'Per Line'!$AP$2:$AP$1001,1))</f>
        <v/>
      </c>
      <c r="P75">
        <f>IF($Z75="","",Settings!$C$7)</f>
        <v/>
      </c>
      <c r="Q75" s="7">
        <f>IF($Z75="","",SUMIFS('Per Line'!$Y$2:$Y$1001,'Per Line'!$D$2:$D$1001,$B75,'Per Line'!$AO$2:$AO$1001,0,'Per Line'!$AP$2:$AP$1001,0))</f>
        <v/>
      </c>
      <c r="R75" s="7">
        <f>IF($Z75="","",Q75*P75)</f>
        <v/>
      </c>
      <c r="S75">
        <f>IF($Z75="","",Settings!$C$6)</f>
        <v/>
      </c>
      <c r="T75" s="7">
        <f>IF($Z75="","",SUMIFS('Per Line'!$Y$2:$Y$1001,'Per Line'!$D$2:$D$1001,$B75,'Per Line'!$AO$2:$AO$1001,1,'Per Line'!$AP$2:$AP$1001,0))</f>
        <v/>
      </c>
      <c r="U75" s="7">
        <f>IF($Z75="","",T75*S75)</f>
        <v/>
      </c>
      <c r="V75" s="7">
        <f>IF($Z75="","",U75+R75)</f>
        <v/>
      </c>
      <c r="W75" s="7">
        <f>IF($Z75="","",X75-V75)</f>
        <v/>
      </c>
      <c r="X75" s="7">
        <f>IF($Z75="","",Q75+T75+O75)</f>
        <v/>
      </c>
      <c r="Y75" s="7">
        <f>IF($Z75="","",X75-V75-N75)</f>
        <v/>
      </c>
      <c r="Z75" s="13">
        <f>IF(ROWS($Z$2:$Z75)&lt;=MAX('Per Line'!$AN$2:$AN$1001),MATCH(ROWS($Z$2:$Z75),'Per Line'!$AN$2:$AN$1001,0),"")</f>
        <v/>
      </c>
    </row>
    <row r="76">
      <c r="A76" s="12" t="n"/>
      <c r="B76">
        <f>IF($Z76="","",INDEX('Per Line'!$D$2:$D$1001,$Z76)&amp;"")</f>
        <v/>
      </c>
      <c r="C76">
        <f>IF($Z76="","",INDEX('Per Line'!$B$2:$B$1001,$Z76)&amp;"")</f>
        <v/>
      </c>
      <c r="D76">
        <f>IF($Z76="","",INDEX('Per Line'!$A$2:$A$1001,$Z76))</f>
        <v/>
      </c>
      <c r="E76">
        <f>IF($Z76="","",INDEX('Per Line'!$E$2:$E$1001,$Z76)&amp;"")</f>
        <v/>
      </c>
      <c r="F76">
        <f>IF($Z76="","",INDEX('Per Line'!$F$2:$F$1001,$Z76)&amp;"")</f>
        <v/>
      </c>
      <c r="G76" s="11">
        <f>IF($Z76="","",INDEX('Per Line'!$G$2:$G$1001,$Z76))</f>
        <v/>
      </c>
      <c r="H76">
        <f>IF($Z76="","",INDEX('Per Line'!$I$2:$I$1001,$Z76)&amp;"")</f>
        <v/>
      </c>
      <c r="I76">
        <f>IF($Z76="","",INDEX('Per Line'!$J$2:$J$1001,$Z76)&amp;"")</f>
        <v/>
      </c>
      <c r="J76">
        <f>IF($Z76="","",INDEX('Per Line'!$K$2:$K$1001,$Z76)&amp;"")</f>
        <v/>
      </c>
      <c r="K76">
        <f>IF($Z76="","",INDEX('Per Line'!$L$2:$L$1001,$Z76)&amp;"")</f>
        <v/>
      </c>
      <c r="L76">
        <f>IF($Z76="","",INDEX('Per Line'!$M$2:$M$1001,$Z76)&amp;"")</f>
        <v/>
      </c>
      <c r="M76">
        <f>IF($Z76="","",INDEX('Per Line'!$P$2:$P$1001,$Z76))</f>
        <v/>
      </c>
      <c r="N76" s="7">
        <f>IF($Z76="","",M76*X76/100)</f>
        <v/>
      </c>
      <c r="O76" s="7">
        <f>IF($Z76="","",SUMIFS('Per Line'!$Y$2:$Y$1001,'Per Line'!$D$2:$D$1001,$B76,'Per Line'!$AP$2:$AP$1001,1))</f>
        <v/>
      </c>
      <c r="P76">
        <f>IF($Z76="","",Settings!$C$7)</f>
        <v/>
      </c>
      <c r="Q76" s="7">
        <f>IF($Z76="","",SUMIFS('Per Line'!$Y$2:$Y$1001,'Per Line'!$D$2:$D$1001,$B76,'Per Line'!$AO$2:$AO$1001,0,'Per Line'!$AP$2:$AP$1001,0))</f>
        <v/>
      </c>
      <c r="R76" s="7">
        <f>IF($Z76="","",Q76*P76)</f>
        <v/>
      </c>
      <c r="S76">
        <f>IF($Z76="","",Settings!$C$6)</f>
        <v/>
      </c>
      <c r="T76" s="7">
        <f>IF($Z76="","",SUMIFS('Per Line'!$Y$2:$Y$1001,'Per Line'!$D$2:$D$1001,$B76,'Per Line'!$AO$2:$AO$1001,1,'Per Line'!$AP$2:$AP$1001,0))</f>
        <v/>
      </c>
      <c r="U76" s="7">
        <f>IF($Z76="","",T76*S76)</f>
        <v/>
      </c>
      <c r="V76" s="7">
        <f>IF($Z76="","",U76+R76)</f>
        <v/>
      </c>
      <c r="W76" s="7">
        <f>IF($Z76="","",X76-V76)</f>
        <v/>
      </c>
      <c r="X76" s="7">
        <f>IF($Z76="","",Q76+T76+O76)</f>
        <v/>
      </c>
      <c r="Y76" s="7">
        <f>IF($Z76="","",X76-V76-N76)</f>
        <v/>
      </c>
      <c r="Z76" s="13">
        <f>IF(ROWS($Z$2:$Z76)&lt;=MAX('Per Line'!$AN$2:$AN$1001),MATCH(ROWS($Z$2:$Z76),'Per Line'!$AN$2:$AN$1001,0),"")</f>
        <v/>
      </c>
    </row>
    <row r="77">
      <c r="A77" s="12" t="n"/>
      <c r="B77">
        <f>IF($Z77="","",INDEX('Per Line'!$D$2:$D$1001,$Z77)&amp;"")</f>
        <v/>
      </c>
      <c r="C77">
        <f>IF($Z77="","",INDEX('Per Line'!$B$2:$B$1001,$Z77)&amp;"")</f>
        <v/>
      </c>
      <c r="D77">
        <f>IF($Z77="","",INDEX('Per Line'!$A$2:$A$1001,$Z77))</f>
        <v/>
      </c>
      <c r="E77">
        <f>IF($Z77="","",INDEX('Per Line'!$E$2:$E$1001,$Z77)&amp;"")</f>
        <v/>
      </c>
      <c r="F77">
        <f>IF($Z77="","",INDEX('Per Line'!$F$2:$F$1001,$Z77)&amp;"")</f>
        <v/>
      </c>
      <c r="G77" s="11">
        <f>IF($Z77="","",INDEX('Per Line'!$G$2:$G$1001,$Z77))</f>
        <v/>
      </c>
      <c r="H77">
        <f>IF($Z77="","",INDEX('Per Line'!$I$2:$I$1001,$Z77)&amp;"")</f>
        <v/>
      </c>
      <c r="I77">
        <f>IF($Z77="","",INDEX('Per Line'!$J$2:$J$1001,$Z77)&amp;"")</f>
        <v/>
      </c>
      <c r="J77">
        <f>IF($Z77="","",INDEX('Per Line'!$K$2:$K$1001,$Z77)&amp;"")</f>
        <v/>
      </c>
      <c r="K77">
        <f>IF($Z77="","",INDEX('Per Line'!$L$2:$L$1001,$Z77)&amp;"")</f>
        <v/>
      </c>
      <c r="L77">
        <f>IF($Z77="","",INDEX('Per Line'!$M$2:$M$1001,$Z77)&amp;"")</f>
        <v/>
      </c>
      <c r="M77">
        <f>IF($Z77="","",INDEX('Per Line'!$P$2:$P$1001,$Z77))</f>
        <v/>
      </c>
      <c r="N77" s="7">
        <f>IF($Z77="","",M77*X77/100)</f>
        <v/>
      </c>
      <c r="O77" s="7">
        <f>IF($Z77="","",SUMIFS('Per Line'!$Y$2:$Y$1001,'Per Line'!$D$2:$D$1001,$B77,'Per Line'!$AP$2:$AP$1001,1))</f>
        <v/>
      </c>
      <c r="P77">
        <f>IF($Z77="","",Settings!$C$7)</f>
        <v/>
      </c>
      <c r="Q77" s="7">
        <f>IF($Z77="","",SUMIFS('Per Line'!$Y$2:$Y$1001,'Per Line'!$D$2:$D$1001,$B77,'Per Line'!$AO$2:$AO$1001,0,'Per Line'!$AP$2:$AP$1001,0))</f>
        <v/>
      </c>
      <c r="R77" s="7">
        <f>IF($Z77="","",Q77*P77)</f>
        <v/>
      </c>
      <c r="S77">
        <f>IF($Z77="","",Settings!$C$6)</f>
        <v/>
      </c>
      <c r="T77" s="7">
        <f>IF($Z77="","",SUMIFS('Per Line'!$Y$2:$Y$1001,'Per Line'!$D$2:$D$1001,$B77,'Per Line'!$AO$2:$AO$1001,1,'Per Line'!$AP$2:$AP$1001,0))</f>
        <v/>
      </c>
      <c r="U77" s="7">
        <f>IF($Z77="","",T77*S77)</f>
        <v/>
      </c>
      <c r="V77" s="7">
        <f>IF($Z77="","",U77+R77)</f>
        <v/>
      </c>
      <c r="W77" s="7">
        <f>IF($Z77="","",X77-V77)</f>
        <v/>
      </c>
      <c r="X77" s="7">
        <f>IF($Z77="","",Q77+T77+O77)</f>
        <v/>
      </c>
      <c r="Y77" s="7">
        <f>IF($Z77="","",X77-V77-N77)</f>
        <v/>
      </c>
      <c r="Z77" s="13">
        <f>IF(ROWS($Z$2:$Z77)&lt;=MAX('Per Line'!$AN$2:$AN$1001),MATCH(ROWS($Z$2:$Z77),'Per Line'!$AN$2:$AN$1001,0),"")</f>
        <v/>
      </c>
    </row>
    <row r="78">
      <c r="A78" s="12" t="n"/>
      <c r="B78">
        <f>IF($Z78="","",INDEX('Per Line'!$D$2:$D$1001,$Z78)&amp;"")</f>
        <v/>
      </c>
      <c r="C78">
        <f>IF($Z78="","",INDEX('Per Line'!$B$2:$B$1001,$Z78)&amp;"")</f>
        <v/>
      </c>
      <c r="D78">
        <f>IF($Z78="","",INDEX('Per Line'!$A$2:$A$1001,$Z78))</f>
        <v/>
      </c>
      <c r="E78">
        <f>IF($Z78="","",INDEX('Per Line'!$E$2:$E$1001,$Z78)&amp;"")</f>
        <v/>
      </c>
      <c r="F78">
        <f>IF($Z78="","",INDEX('Per Line'!$F$2:$F$1001,$Z78)&amp;"")</f>
        <v/>
      </c>
      <c r="G78" s="11">
        <f>IF($Z78="","",INDEX('Per Line'!$G$2:$G$1001,$Z78))</f>
        <v/>
      </c>
      <c r="H78">
        <f>IF($Z78="","",INDEX('Per Line'!$I$2:$I$1001,$Z78)&amp;"")</f>
        <v/>
      </c>
      <c r="I78">
        <f>IF($Z78="","",INDEX('Per Line'!$J$2:$J$1001,$Z78)&amp;"")</f>
        <v/>
      </c>
      <c r="J78">
        <f>IF($Z78="","",INDEX('Per Line'!$K$2:$K$1001,$Z78)&amp;"")</f>
        <v/>
      </c>
      <c r="K78">
        <f>IF($Z78="","",INDEX('Per Line'!$L$2:$L$1001,$Z78)&amp;"")</f>
        <v/>
      </c>
      <c r="L78">
        <f>IF($Z78="","",INDEX('Per Line'!$M$2:$M$1001,$Z78)&amp;"")</f>
        <v/>
      </c>
      <c r="M78">
        <f>IF($Z78="","",INDEX('Per Line'!$P$2:$P$1001,$Z78))</f>
        <v/>
      </c>
      <c r="N78" s="7">
        <f>IF($Z78="","",M78*X78/100)</f>
        <v/>
      </c>
      <c r="O78" s="7">
        <f>IF($Z78="","",SUMIFS('Per Line'!$Y$2:$Y$1001,'Per Line'!$D$2:$D$1001,$B78,'Per Line'!$AP$2:$AP$1001,1))</f>
        <v/>
      </c>
      <c r="P78">
        <f>IF($Z78="","",Settings!$C$7)</f>
        <v/>
      </c>
      <c r="Q78" s="7">
        <f>IF($Z78="","",SUMIFS('Per Line'!$Y$2:$Y$1001,'Per Line'!$D$2:$D$1001,$B78,'Per Line'!$AO$2:$AO$1001,0,'Per Line'!$AP$2:$AP$1001,0))</f>
        <v/>
      </c>
      <c r="R78" s="7">
        <f>IF($Z78="","",Q78*P78)</f>
        <v/>
      </c>
      <c r="S78">
        <f>IF($Z78="","",Settings!$C$6)</f>
        <v/>
      </c>
      <c r="T78" s="7">
        <f>IF($Z78="","",SUMIFS('Per Line'!$Y$2:$Y$1001,'Per Line'!$D$2:$D$1001,$B78,'Per Line'!$AO$2:$AO$1001,1,'Per Line'!$AP$2:$AP$1001,0))</f>
        <v/>
      </c>
      <c r="U78" s="7">
        <f>IF($Z78="","",T78*S78)</f>
        <v/>
      </c>
      <c r="V78" s="7">
        <f>IF($Z78="","",U78+R78)</f>
        <v/>
      </c>
      <c r="W78" s="7">
        <f>IF($Z78="","",X78-V78)</f>
        <v/>
      </c>
      <c r="X78" s="7">
        <f>IF($Z78="","",Q78+T78+O78)</f>
        <v/>
      </c>
      <c r="Y78" s="7">
        <f>IF($Z78="","",X78-V78-N78)</f>
        <v/>
      </c>
      <c r="Z78" s="13">
        <f>IF(ROWS($Z$2:$Z78)&lt;=MAX('Per Line'!$AN$2:$AN$1001),MATCH(ROWS($Z$2:$Z78),'Per Line'!$AN$2:$AN$1001,0),"")</f>
        <v/>
      </c>
    </row>
    <row r="79">
      <c r="A79" s="12" t="n"/>
      <c r="B79">
        <f>IF($Z79="","",INDEX('Per Line'!$D$2:$D$1001,$Z79)&amp;"")</f>
        <v/>
      </c>
      <c r="C79">
        <f>IF($Z79="","",INDEX('Per Line'!$B$2:$B$1001,$Z79)&amp;"")</f>
        <v/>
      </c>
      <c r="D79">
        <f>IF($Z79="","",INDEX('Per Line'!$A$2:$A$1001,$Z79))</f>
        <v/>
      </c>
      <c r="E79">
        <f>IF($Z79="","",INDEX('Per Line'!$E$2:$E$1001,$Z79)&amp;"")</f>
        <v/>
      </c>
      <c r="F79">
        <f>IF($Z79="","",INDEX('Per Line'!$F$2:$F$1001,$Z79)&amp;"")</f>
        <v/>
      </c>
      <c r="G79" s="11">
        <f>IF($Z79="","",INDEX('Per Line'!$G$2:$G$1001,$Z79))</f>
        <v/>
      </c>
      <c r="H79">
        <f>IF($Z79="","",INDEX('Per Line'!$I$2:$I$1001,$Z79)&amp;"")</f>
        <v/>
      </c>
      <c r="I79">
        <f>IF($Z79="","",INDEX('Per Line'!$J$2:$J$1001,$Z79)&amp;"")</f>
        <v/>
      </c>
      <c r="J79">
        <f>IF($Z79="","",INDEX('Per Line'!$K$2:$K$1001,$Z79)&amp;"")</f>
        <v/>
      </c>
      <c r="K79">
        <f>IF($Z79="","",INDEX('Per Line'!$L$2:$L$1001,$Z79)&amp;"")</f>
        <v/>
      </c>
      <c r="L79">
        <f>IF($Z79="","",INDEX('Per Line'!$M$2:$M$1001,$Z79)&amp;"")</f>
        <v/>
      </c>
      <c r="M79">
        <f>IF($Z79="","",INDEX('Per Line'!$P$2:$P$1001,$Z79))</f>
        <v/>
      </c>
      <c r="N79" s="7">
        <f>IF($Z79="","",M79*X79/100)</f>
        <v/>
      </c>
      <c r="O79" s="7">
        <f>IF($Z79="","",SUMIFS('Per Line'!$Y$2:$Y$1001,'Per Line'!$D$2:$D$1001,$B79,'Per Line'!$AP$2:$AP$1001,1))</f>
        <v/>
      </c>
      <c r="P79">
        <f>IF($Z79="","",Settings!$C$7)</f>
        <v/>
      </c>
      <c r="Q79" s="7">
        <f>IF($Z79="","",SUMIFS('Per Line'!$Y$2:$Y$1001,'Per Line'!$D$2:$D$1001,$B79,'Per Line'!$AO$2:$AO$1001,0,'Per Line'!$AP$2:$AP$1001,0))</f>
        <v/>
      </c>
      <c r="R79" s="7">
        <f>IF($Z79="","",Q79*P79)</f>
        <v/>
      </c>
      <c r="S79">
        <f>IF($Z79="","",Settings!$C$6)</f>
        <v/>
      </c>
      <c r="T79" s="7">
        <f>IF($Z79="","",SUMIFS('Per Line'!$Y$2:$Y$1001,'Per Line'!$D$2:$D$1001,$B79,'Per Line'!$AO$2:$AO$1001,1,'Per Line'!$AP$2:$AP$1001,0))</f>
        <v/>
      </c>
      <c r="U79" s="7">
        <f>IF($Z79="","",T79*S79)</f>
        <v/>
      </c>
      <c r="V79" s="7">
        <f>IF($Z79="","",U79+R79)</f>
        <v/>
      </c>
      <c r="W79" s="7">
        <f>IF($Z79="","",X79-V79)</f>
        <v/>
      </c>
      <c r="X79" s="7">
        <f>IF($Z79="","",Q79+T79+O79)</f>
        <v/>
      </c>
      <c r="Y79" s="7">
        <f>IF($Z79="","",X79-V79-N79)</f>
        <v/>
      </c>
      <c r="Z79" s="13">
        <f>IF(ROWS($Z$2:$Z79)&lt;=MAX('Per Line'!$AN$2:$AN$1001),MATCH(ROWS($Z$2:$Z79),'Per Line'!$AN$2:$AN$1001,0),"")</f>
        <v/>
      </c>
    </row>
    <row r="80">
      <c r="A80" s="12" t="n"/>
      <c r="B80">
        <f>IF($Z80="","",INDEX('Per Line'!$D$2:$D$1001,$Z80)&amp;"")</f>
        <v/>
      </c>
      <c r="C80">
        <f>IF($Z80="","",INDEX('Per Line'!$B$2:$B$1001,$Z80)&amp;"")</f>
        <v/>
      </c>
      <c r="D80">
        <f>IF($Z80="","",INDEX('Per Line'!$A$2:$A$1001,$Z80))</f>
        <v/>
      </c>
      <c r="E80">
        <f>IF($Z80="","",INDEX('Per Line'!$E$2:$E$1001,$Z80)&amp;"")</f>
        <v/>
      </c>
      <c r="F80">
        <f>IF($Z80="","",INDEX('Per Line'!$F$2:$F$1001,$Z80)&amp;"")</f>
        <v/>
      </c>
      <c r="G80" s="11">
        <f>IF($Z80="","",INDEX('Per Line'!$G$2:$G$1001,$Z80))</f>
        <v/>
      </c>
      <c r="H80">
        <f>IF($Z80="","",INDEX('Per Line'!$I$2:$I$1001,$Z80)&amp;"")</f>
        <v/>
      </c>
      <c r="I80">
        <f>IF($Z80="","",INDEX('Per Line'!$J$2:$J$1001,$Z80)&amp;"")</f>
        <v/>
      </c>
      <c r="J80">
        <f>IF($Z80="","",INDEX('Per Line'!$K$2:$K$1001,$Z80)&amp;"")</f>
        <v/>
      </c>
      <c r="K80">
        <f>IF($Z80="","",INDEX('Per Line'!$L$2:$L$1001,$Z80)&amp;"")</f>
        <v/>
      </c>
      <c r="L80">
        <f>IF($Z80="","",INDEX('Per Line'!$M$2:$M$1001,$Z80)&amp;"")</f>
        <v/>
      </c>
      <c r="M80">
        <f>IF($Z80="","",INDEX('Per Line'!$P$2:$P$1001,$Z80))</f>
        <v/>
      </c>
      <c r="N80" s="7">
        <f>IF($Z80="","",M80*X80/100)</f>
        <v/>
      </c>
      <c r="O80" s="7">
        <f>IF($Z80="","",SUMIFS('Per Line'!$Y$2:$Y$1001,'Per Line'!$D$2:$D$1001,$B80,'Per Line'!$AP$2:$AP$1001,1))</f>
        <v/>
      </c>
      <c r="P80">
        <f>IF($Z80="","",Settings!$C$7)</f>
        <v/>
      </c>
      <c r="Q80" s="7">
        <f>IF($Z80="","",SUMIFS('Per Line'!$Y$2:$Y$1001,'Per Line'!$D$2:$D$1001,$B80,'Per Line'!$AO$2:$AO$1001,0,'Per Line'!$AP$2:$AP$1001,0))</f>
        <v/>
      </c>
      <c r="R80" s="7">
        <f>IF($Z80="","",Q80*P80)</f>
        <v/>
      </c>
      <c r="S80">
        <f>IF($Z80="","",Settings!$C$6)</f>
        <v/>
      </c>
      <c r="T80" s="7">
        <f>IF($Z80="","",SUMIFS('Per Line'!$Y$2:$Y$1001,'Per Line'!$D$2:$D$1001,$B80,'Per Line'!$AO$2:$AO$1001,1,'Per Line'!$AP$2:$AP$1001,0))</f>
        <v/>
      </c>
      <c r="U80" s="7">
        <f>IF($Z80="","",T80*S80)</f>
        <v/>
      </c>
      <c r="V80" s="7">
        <f>IF($Z80="","",U80+R80)</f>
        <v/>
      </c>
      <c r="W80" s="7">
        <f>IF($Z80="","",X80-V80)</f>
        <v/>
      </c>
      <c r="X80" s="7">
        <f>IF($Z80="","",Q80+T80+O80)</f>
        <v/>
      </c>
      <c r="Y80" s="7">
        <f>IF($Z80="","",X80-V80-N80)</f>
        <v/>
      </c>
      <c r="Z80" s="13">
        <f>IF(ROWS($Z$2:$Z80)&lt;=MAX('Per Line'!$AN$2:$AN$1001),MATCH(ROWS($Z$2:$Z80),'Per Line'!$AN$2:$AN$1001,0),"")</f>
        <v/>
      </c>
    </row>
    <row r="81">
      <c r="A81" s="12" t="n"/>
      <c r="B81">
        <f>IF($Z81="","",INDEX('Per Line'!$D$2:$D$1001,$Z81)&amp;"")</f>
        <v/>
      </c>
      <c r="C81">
        <f>IF($Z81="","",INDEX('Per Line'!$B$2:$B$1001,$Z81)&amp;"")</f>
        <v/>
      </c>
      <c r="D81">
        <f>IF($Z81="","",INDEX('Per Line'!$A$2:$A$1001,$Z81))</f>
        <v/>
      </c>
      <c r="E81">
        <f>IF($Z81="","",INDEX('Per Line'!$E$2:$E$1001,$Z81)&amp;"")</f>
        <v/>
      </c>
      <c r="F81">
        <f>IF($Z81="","",INDEX('Per Line'!$F$2:$F$1001,$Z81)&amp;"")</f>
        <v/>
      </c>
      <c r="G81" s="11">
        <f>IF($Z81="","",INDEX('Per Line'!$G$2:$G$1001,$Z81))</f>
        <v/>
      </c>
      <c r="H81">
        <f>IF($Z81="","",INDEX('Per Line'!$I$2:$I$1001,$Z81)&amp;"")</f>
        <v/>
      </c>
      <c r="I81">
        <f>IF($Z81="","",INDEX('Per Line'!$J$2:$J$1001,$Z81)&amp;"")</f>
        <v/>
      </c>
      <c r="J81">
        <f>IF($Z81="","",INDEX('Per Line'!$K$2:$K$1001,$Z81)&amp;"")</f>
        <v/>
      </c>
      <c r="K81">
        <f>IF($Z81="","",INDEX('Per Line'!$L$2:$L$1001,$Z81)&amp;"")</f>
        <v/>
      </c>
      <c r="L81">
        <f>IF($Z81="","",INDEX('Per Line'!$M$2:$M$1001,$Z81)&amp;"")</f>
        <v/>
      </c>
      <c r="M81">
        <f>IF($Z81="","",INDEX('Per Line'!$P$2:$P$1001,$Z81))</f>
        <v/>
      </c>
      <c r="N81" s="7">
        <f>IF($Z81="","",M81*X81/100)</f>
        <v/>
      </c>
      <c r="O81" s="7">
        <f>IF($Z81="","",SUMIFS('Per Line'!$Y$2:$Y$1001,'Per Line'!$D$2:$D$1001,$B81,'Per Line'!$AP$2:$AP$1001,1))</f>
        <v/>
      </c>
      <c r="P81">
        <f>IF($Z81="","",Settings!$C$7)</f>
        <v/>
      </c>
      <c r="Q81" s="7">
        <f>IF($Z81="","",SUMIFS('Per Line'!$Y$2:$Y$1001,'Per Line'!$D$2:$D$1001,$B81,'Per Line'!$AO$2:$AO$1001,0,'Per Line'!$AP$2:$AP$1001,0))</f>
        <v/>
      </c>
      <c r="R81" s="7">
        <f>IF($Z81="","",Q81*P81)</f>
        <v/>
      </c>
      <c r="S81">
        <f>IF($Z81="","",Settings!$C$6)</f>
        <v/>
      </c>
      <c r="T81" s="7">
        <f>IF($Z81="","",SUMIFS('Per Line'!$Y$2:$Y$1001,'Per Line'!$D$2:$D$1001,$B81,'Per Line'!$AO$2:$AO$1001,1,'Per Line'!$AP$2:$AP$1001,0))</f>
        <v/>
      </c>
      <c r="U81" s="7">
        <f>IF($Z81="","",T81*S81)</f>
        <v/>
      </c>
      <c r="V81" s="7">
        <f>IF($Z81="","",U81+R81)</f>
        <v/>
      </c>
      <c r="W81" s="7">
        <f>IF($Z81="","",X81-V81)</f>
        <v/>
      </c>
      <c r="X81" s="7">
        <f>IF($Z81="","",Q81+T81+O81)</f>
        <v/>
      </c>
      <c r="Y81" s="7">
        <f>IF($Z81="","",X81-V81-N81)</f>
        <v/>
      </c>
      <c r="Z81" s="13">
        <f>IF(ROWS($Z$2:$Z81)&lt;=MAX('Per Line'!$AN$2:$AN$1001),MATCH(ROWS($Z$2:$Z81),'Per Line'!$AN$2:$AN$1001,0),"")</f>
        <v/>
      </c>
    </row>
    <row r="82">
      <c r="A82" s="12" t="n"/>
      <c r="B82">
        <f>IF($Z82="","",INDEX('Per Line'!$D$2:$D$1001,$Z82)&amp;"")</f>
        <v/>
      </c>
      <c r="C82">
        <f>IF($Z82="","",INDEX('Per Line'!$B$2:$B$1001,$Z82)&amp;"")</f>
        <v/>
      </c>
      <c r="D82">
        <f>IF($Z82="","",INDEX('Per Line'!$A$2:$A$1001,$Z82))</f>
        <v/>
      </c>
      <c r="E82">
        <f>IF($Z82="","",INDEX('Per Line'!$E$2:$E$1001,$Z82)&amp;"")</f>
        <v/>
      </c>
      <c r="F82">
        <f>IF($Z82="","",INDEX('Per Line'!$F$2:$F$1001,$Z82)&amp;"")</f>
        <v/>
      </c>
      <c r="G82" s="11">
        <f>IF($Z82="","",INDEX('Per Line'!$G$2:$G$1001,$Z82))</f>
        <v/>
      </c>
      <c r="H82">
        <f>IF($Z82="","",INDEX('Per Line'!$I$2:$I$1001,$Z82)&amp;"")</f>
        <v/>
      </c>
      <c r="I82">
        <f>IF($Z82="","",INDEX('Per Line'!$J$2:$J$1001,$Z82)&amp;"")</f>
        <v/>
      </c>
      <c r="J82">
        <f>IF($Z82="","",INDEX('Per Line'!$K$2:$K$1001,$Z82)&amp;"")</f>
        <v/>
      </c>
      <c r="K82">
        <f>IF($Z82="","",INDEX('Per Line'!$L$2:$L$1001,$Z82)&amp;"")</f>
        <v/>
      </c>
      <c r="L82">
        <f>IF($Z82="","",INDEX('Per Line'!$M$2:$M$1001,$Z82)&amp;"")</f>
        <v/>
      </c>
      <c r="M82">
        <f>IF($Z82="","",INDEX('Per Line'!$P$2:$P$1001,$Z82))</f>
        <v/>
      </c>
      <c r="N82" s="7">
        <f>IF($Z82="","",M82*X82/100)</f>
        <v/>
      </c>
      <c r="O82" s="7">
        <f>IF($Z82="","",SUMIFS('Per Line'!$Y$2:$Y$1001,'Per Line'!$D$2:$D$1001,$B82,'Per Line'!$AP$2:$AP$1001,1))</f>
        <v/>
      </c>
      <c r="P82">
        <f>IF($Z82="","",Settings!$C$7)</f>
        <v/>
      </c>
      <c r="Q82" s="7">
        <f>IF($Z82="","",SUMIFS('Per Line'!$Y$2:$Y$1001,'Per Line'!$D$2:$D$1001,$B82,'Per Line'!$AO$2:$AO$1001,0,'Per Line'!$AP$2:$AP$1001,0))</f>
        <v/>
      </c>
      <c r="R82" s="7">
        <f>IF($Z82="","",Q82*P82)</f>
        <v/>
      </c>
      <c r="S82">
        <f>IF($Z82="","",Settings!$C$6)</f>
        <v/>
      </c>
      <c r="T82" s="7">
        <f>IF($Z82="","",SUMIFS('Per Line'!$Y$2:$Y$1001,'Per Line'!$D$2:$D$1001,$B82,'Per Line'!$AO$2:$AO$1001,1,'Per Line'!$AP$2:$AP$1001,0))</f>
        <v/>
      </c>
      <c r="U82" s="7">
        <f>IF($Z82="","",T82*S82)</f>
        <v/>
      </c>
      <c r="V82" s="7">
        <f>IF($Z82="","",U82+R82)</f>
        <v/>
      </c>
      <c r="W82" s="7">
        <f>IF($Z82="","",X82-V82)</f>
        <v/>
      </c>
      <c r="X82" s="7">
        <f>IF($Z82="","",Q82+T82+O82)</f>
        <v/>
      </c>
      <c r="Y82" s="7">
        <f>IF($Z82="","",X82-V82-N82)</f>
        <v/>
      </c>
      <c r="Z82" s="13">
        <f>IF(ROWS($Z$2:$Z82)&lt;=MAX('Per Line'!$AN$2:$AN$1001),MATCH(ROWS($Z$2:$Z82),'Per Line'!$AN$2:$AN$1001,0),"")</f>
        <v/>
      </c>
    </row>
    <row r="83">
      <c r="A83" s="12" t="n"/>
      <c r="B83">
        <f>IF($Z83="","",INDEX('Per Line'!$D$2:$D$1001,$Z83)&amp;"")</f>
        <v/>
      </c>
      <c r="C83">
        <f>IF($Z83="","",INDEX('Per Line'!$B$2:$B$1001,$Z83)&amp;"")</f>
        <v/>
      </c>
      <c r="D83">
        <f>IF($Z83="","",INDEX('Per Line'!$A$2:$A$1001,$Z83))</f>
        <v/>
      </c>
      <c r="E83">
        <f>IF($Z83="","",INDEX('Per Line'!$E$2:$E$1001,$Z83)&amp;"")</f>
        <v/>
      </c>
      <c r="F83">
        <f>IF($Z83="","",INDEX('Per Line'!$F$2:$F$1001,$Z83)&amp;"")</f>
        <v/>
      </c>
      <c r="G83" s="11">
        <f>IF($Z83="","",INDEX('Per Line'!$G$2:$G$1001,$Z83))</f>
        <v/>
      </c>
      <c r="H83">
        <f>IF($Z83="","",INDEX('Per Line'!$I$2:$I$1001,$Z83)&amp;"")</f>
        <v/>
      </c>
      <c r="I83">
        <f>IF($Z83="","",INDEX('Per Line'!$J$2:$J$1001,$Z83)&amp;"")</f>
        <v/>
      </c>
      <c r="J83">
        <f>IF($Z83="","",INDEX('Per Line'!$K$2:$K$1001,$Z83)&amp;"")</f>
        <v/>
      </c>
      <c r="K83">
        <f>IF($Z83="","",INDEX('Per Line'!$L$2:$L$1001,$Z83)&amp;"")</f>
        <v/>
      </c>
      <c r="L83">
        <f>IF($Z83="","",INDEX('Per Line'!$M$2:$M$1001,$Z83)&amp;"")</f>
        <v/>
      </c>
      <c r="M83">
        <f>IF($Z83="","",INDEX('Per Line'!$P$2:$P$1001,$Z83))</f>
        <v/>
      </c>
      <c r="N83" s="7">
        <f>IF($Z83="","",M83*X83/100)</f>
        <v/>
      </c>
      <c r="O83" s="7">
        <f>IF($Z83="","",SUMIFS('Per Line'!$Y$2:$Y$1001,'Per Line'!$D$2:$D$1001,$B83,'Per Line'!$AP$2:$AP$1001,1))</f>
        <v/>
      </c>
      <c r="P83">
        <f>IF($Z83="","",Settings!$C$7)</f>
        <v/>
      </c>
      <c r="Q83" s="7">
        <f>IF($Z83="","",SUMIFS('Per Line'!$Y$2:$Y$1001,'Per Line'!$D$2:$D$1001,$B83,'Per Line'!$AO$2:$AO$1001,0,'Per Line'!$AP$2:$AP$1001,0))</f>
        <v/>
      </c>
      <c r="R83" s="7">
        <f>IF($Z83="","",Q83*P83)</f>
        <v/>
      </c>
      <c r="S83">
        <f>IF($Z83="","",Settings!$C$6)</f>
        <v/>
      </c>
      <c r="T83" s="7">
        <f>IF($Z83="","",SUMIFS('Per Line'!$Y$2:$Y$1001,'Per Line'!$D$2:$D$1001,$B83,'Per Line'!$AO$2:$AO$1001,1,'Per Line'!$AP$2:$AP$1001,0))</f>
        <v/>
      </c>
      <c r="U83" s="7">
        <f>IF($Z83="","",T83*S83)</f>
        <v/>
      </c>
      <c r="V83" s="7">
        <f>IF($Z83="","",U83+R83)</f>
        <v/>
      </c>
      <c r="W83" s="7">
        <f>IF($Z83="","",X83-V83)</f>
        <v/>
      </c>
      <c r="X83" s="7">
        <f>IF($Z83="","",Q83+T83+O83)</f>
        <v/>
      </c>
      <c r="Y83" s="7">
        <f>IF($Z83="","",X83-V83-N83)</f>
        <v/>
      </c>
      <c r="Z83" s="13">
        <f>IF(ROWS($Z$2:$Z83)&lt;=MAX('Per Line'!$AN$2:$AN$1001),MATCH(ROWS($Z$2:$Z83),'Per Line'!$AN$2:$AN$1001,0),"")</f>
        <v/>
      </c>
    </row>
    <row r="84">
      <c r="A84" s="12" t="n"/>
      <c r="B84">
        <f>IF($Z84="","",INDEX('Per Line'!$D$2:$D$1001,$Z84)&amp;"")</f>
        <v/>
      </c>
      <c r="C84">
        <f>IF($Z84="","",INDEX('Per Line'!$B$2:$B$1001,$Z84)&amp;"")</f>
        <v/>
      </c>
      <c r="D84">
        <f>IF($Z84="","",INDEX('Per Line'!$A$2:$A$1001,$Z84))</f>
        <v/>
      </c>
      <c r="E84">
        <f>IF($Z84="","",INDEX('Per Line'!$E$2:$E$1001,$Z84)&amp;"")</f>
        <v/>
      </c>
      <c r="F84">
        <f>IF($Z84="","",INDEX('Per Line'!$F$2:$F$1001,$Z84)&amp;"")</f>
        <v/>
      </c>
      <c r="G84" s="11">
        <f>IF($Z84="","",INDEX('Per Line'!$G$2:$G$1001,$Z84))</f>
        <v/>
      </c>
      <c r="H84">
        <f>IF($Z84="","",INDEX('Per Line'!$I$2:$I$1001,$Z84)&amp;"")</f>
        <v/>
      </c>
      <c r="I84">
        <f>IF($Z84="","",INDEX('Per Line'!$J$2:$J$1001,$Z84)&amp;"")</f>
        <v/>
      </c>
      <c r="J84">
        <f>IF($Z84="","",INDEX('Per Line'!$K$2:$K$1001,$Z84)&amp;"")</f>
        <v/>
      </c>
      <c r="K84">
        <f>IF($Z84="","",INDEX('Per Line'!$L$2:$L$1001,$Z84)&amp;"")</f>
        <v/>
      </c>
      <c r="L84">
        <f>IF($Z84="","",INDEX('Per Line'!$M$2:$M$1001,$Z84)&amp;"")</f>
        <v/>
      </c>
      <c r="M84">
        <f>IF($Z84="","",INDEX('Per Line'!$P$2:$P$1001,$Z84))</f>
        <v/>
      </c>
      <c r="N84" s="7">
        <f>IF($Z84="","",M84*X84/100)</f>
        <v/>
      </c>
      <c r="O84" s="7">
        <f>IF($Z84="","",SUMIFS('Per Line'!$Y$2:$Y$1001,'Per Line'!$D$2:$D$1001,$B84,'Per Line'!$AP$2:$AP$1001,1))</f>
        <v/>
      </c>
      <c r="P84">
        <f>IF($Z84="","",Settings!$C$7)</f>
        <v/>
      </c>
      <c r="Q84" s="7">
        <f>IF($Z84="","",SUMIFS('Per Line'!$Y$2:$Y$1001,'Per Line'!$D$2:$D$1001,$B84,'Per Line'!$AO$2:$AO$1001,0,'Per Line'!$AP$2:$AP$1001,0))</f>
        <v/>
      </c>
      <c r="R84" s="7">
        <f>IF($Z84="","",Q84*P84)</f>
        <v/>
      </c>
      <c r="S84">
        <f>IF($Z84="","",Settings!$C$6)</f>
        <v/>
      </c>
      <c r="T84" s="7">
        <f>IF($Z84="","",SUMIFS('Per Line'!$Y$2:$Y$1001,'Per Line'!$D$2:$D$1001,$B84,'Per Line'!$AO$2:$AO$1001,1,'Per Line'!$AP$2:$AP$1001,0))</f>
        <v/>
      </c>
      <c r="U84" s="7">
        <f>IF($Z84="","",T84*S84)</f>
        <v/>
      </c>
      <c r="V84" s="7">
        <f>IF($Z84="","",U84+R84)</f>
        <v/>
      </c>
      <c r="W84" s="7">
        <f>IF($Z84="","",X84-V84)</f>
        <v/>
      </c>
      <c r="X84" s="7">
        <f>IF($Z84="","",Q84+T84+O84)</f>
        <v/>
      </c>
      <c r="Y84" s="7">
        <f>IF($Z84="","",X84-V84-N84)</f>
        <v/>
      </c>
      <c r="Z84" s="13">
        <f>IF(ROWS($Z$2:$Z84)&lt;=MAX('Per Line'!$AN$2:$AN$1001),MATCH(ROWS($Z$2:$Z84),'Per Line'!$AN$2:$AN$1001,0),"")</f>
        <v/>
      </c>
    </row>
    <row r="85">
      <c r="A85" s="12" t="n"/>
      <c r="B85">
        <f>IF($Z85="","",INDEX('Per Line'!$D$2:$D$1001,$Z85)&amp;"")</f>
        <v/>
      </c>
      <c r="C85">
        <f>IF($Z85="","",INDEX('Per Line'!$B$2:$B$1001,$Z85)&amp;"")</f>
        <v/>
      </c>
      <c r="D85">
        <f>IF($Z85="","",INDEX('Per Line'!$A$2:$A$1001,$Z85))</f>
        <v/>
      </c>
      <c r="E85">
        <f>IF($Z85="","",INDEX('Per Line'!$E$2:$E$1001,$Z85)&amp;"")</f>
        <v/>
      </c>
      <c r="F85">
        <f>IF($Z85="","",INDEX('Per Line'!$F$2:$F$1001,$Z85)&amp;"")</f>
        <v/>
      </c>
      <c r="G85" s="11">
        <f>IF($Z85="","",INDEX('Per Line'!$G$2:$G$1001,$Z85))</f>
        <v/>
      </c>
      <c r="H85">
        <f>IF($Z85="","",INDEX('Per Line'!$I$2:$I$1001,$Z85)&amp;"")</f>
        <v/>
      </c>
      <c r="I85">
        <f>IF($Z85="","",INDEX('Per Line'!$J$2:$J$1001,$Z85)&amp;"")</f>
        <v/>
      </c>
      <c r="J85">
        <f>IF($Z85="","",INDEX('Per Line'!$K$2:$K$1001,$Z85)&amp;"")</f>
        <v/>
      </c>
      <c r="K85">
        <f>IF($Z85="","",INDEX('Per Line'!$L$2:$L$1001,$Z85)&amp;"")</f>
        <v/>
      </c>
      <c r="L85">
        <f>IF($Z85="","",INDEX('Per Line'!$M$2:$M$1001,$Z85)&amp;"")</f>
        <v/>
      </c>
      <c r="M85">
        <f>IF($Z85="","",INDEX('Per Line'!$P$2:$P$1001,$Z85))</f>
        <v/>
      </c>
      <c r="N85" s="7">
        <f>IF($Z85="","",M85*X85/100)</f>
        <v/>
      </c>
      <c r="O85" s="7">
        <f>IF($Z85="","",SUMIFS('Per Line'!$Y$2:$Y$1001,'Per Line'!$D$2:$D$1001,$B85,'Per Line'!$AP$2:$AP$1001,1))</f>
        <v/>
      </c>
      <c r="P85">
        <f>IF($Z85="","",Settings!$C$7)</f>
        <v/>
      </c>
      <c r="Q85" s="7">
        <f>IF($Z85="","",SUMIFS('Per Line'!$Y$2:$Y$1001,'Per Line'!$D$2:$D$1001,$B85,'Per Line'!$AO$2:$AO$1001,0,'Per Line'!$AP$2:$AP$1001,0))</f>
        <v/>
      </c>
      <c r="R85" s="7">
        <f>IF($Z85="","",Q85*P85)</f>
        <v/>
      </c>
      <c r="S85">
        <f>IF($Z85="","",Settings!$C$6)</f>
        <v/>
      </c>
      <c r="T85" s="7">
        <f>IF($Z85="","",SUMIFS('Per Line'!$Y$2:$Y$1001,'Per Line'!$D$2:$D$1001,$B85,'Per Line'!$AO$2:$AO$1001,1,'Per Line'!$AP$2:$AP$1001,0))</f>
        <v/>
      </c>
      <c r="U85" s="7">
        <f>IF($Z85="","",T85*S85)</f>
        <v/>
      </c>
      <c r="V85" s="7">
        <f>IF($Z85="","",U85+R85)</f>
        <v/>
      </c>
      <c r="W85" s="7">
        <f>IF($Z85="","",X85-V85)</f>
        <v/>
      </c>
      <c r="X85" s="7">
        <f>IF($Z85="","",Q85+T85+O85)</f>
        <v/>
      </c>
      <c r="Y85" s="7">
        <f>IF($Z85="","",X85-V85-N85)</f>
        <v/>
      </c>
      <c r="Z85" s="13">
        <f>IF(ROWS($Z$2:$Z85)&lt;=MAX('Per Line'!$AN$2:$AN$1001),MATCH(ROWS($Z$2:$Z85),'Per Line'!$AN$2:$AN$1001,0),"")</f>
        <v/>
      </c>
    </row>
    <row r="86">
      <c r="A86" s="12" t="n"/>
      <c r="B86">
        <f>IF($Z86="","",INDEX('Per Line'!$D$2:$D$1001,$Z86)&amp;"")</f>
        <v/>
      </c>
      <c r="C86">
        <f>IF($Z86="","",INDEX('Per Line'!$B$2:$B$1001,$Z86)&amp;"")</f>
        <v/>
      </c>
      <c r="D86">
        <f>IF($Z86="","",INDEX('Per Line'!$A$2:$A$1001,$Z86))</f>
        <v/>
      </c>
      <c r="E86">
        <f>IF($Z86="","",INDEX('Per Line'!$E$2:$E$1001,$Z86)&amp;"")</f>
        <v/>
      </c>
      <c r="F86">
        <f>IF($Z86="","",INDEX('Per Line'!$F$2:$F$1001,$Z86)&amp;"")</f>
        <v/>
      </c>
      <c r="G86" s="11">
        <f>IF($Z86="","",INDEX('Per Line'!$G$2:$G$1001,$Z86))</f>
        <v/>
      </c>
      <c r="H86">
        <f>IF($Z86="","",INDEX('Per Line'!$I$2:$I$1001,$Z86)&amp;"")</f>
        <v/>
      </c>
      <c r="I86">
        <f>IF($Z86="","",INDEX('Per Line'!$J$2:$J$1001,$Z86)&amp;"")</f>
        <v/>
      </c>
      <c r="J86">
        <f>IF($Z86="","",INDEX('Per Line'!$K$2:$K$1001,$Z86)&amp;"")</f>
        <v/>
      </c>
      <c r="K86">
        <f>IF($Z86="","",INDEX('Per Line'!$L$2:$L$1001,$Z86)&amp;"")</f>
        <v/>
      </c>
      <c r="L86">
        <f>IF($Z86="","",INDEX('Per Line'!$M$2:$M$1001,$Z86)&amp;"")</f>
        <v/>
      </c>
      <c r="M86">
        <f>IF($Z86="","",INDEX('Per Line'!$P$2:$P$1001,$Z86))</f>
        <v/>
      </c>
      <c r="N86" s="7">
        <f>IF($Z86="","",M86*X86/100)</f>
        <v/>
      </c>
      <c r="O86" s="7">
        <f>IF($Z86="","",SUMIFS('Per Line'!$Y$2:$Y$1001,'Per Line'!$D$2:$D$1001,$B86,'Per Line'!$AP$2:$AP$1001,1))</f>
        <v/>
      </c>
      <c r="P86">
        <f>IF($Z86="","",Settings!$C$7)</f>
        <v/>
      </c>
      <c r="Q86" s="7">
        <f>IF($Z86="","",SUMIFS('Per Line'!$Y$2:$Y$1001,'Per Line'!$D$2:$D$1001,$B86,'Per Line'!$AO$2:$AO$1001,0,'Per Line'!$AP$2:$AP$1001,0))</f>
        <v/>
      </c>
      <c r="R86" s="7">
        <f>IF($Z86="","",Q86*P86)</f>
        <v/>
      </c>
      <c r="S86">
        <f>IF($Z86="","",Settings!$C$6)</f>
        <v/>
      </c>
      <c r="T86" s="7">
        <f>IF($Z86="","",SUMIFS('Per Line'!$Y$2:$Y$1001,'Per Line'!$D$2:$D$1001,$B86,'Per Line'!$AO$2:$AO$1001,1,'Per Line'!$AP$2:$AP$1001,0))</f>
        <v/>
      </c>
      <c r="U86" s="7">
        <f>IF($Z86="","",T86*S86)</f>
        <v/>
      </c>
      <c r="V86" s="7">
        <f>IF($Z86="","",U86+R86)</f>
        <v/>
      </c>
      <c r="W86" s="7">
        <f>IF($Z86="","",X86-V86)</f>
        <v/>
      </c>
      <c r="X86" s="7">
        <f>IF($Z86="","",Q86+T86+O86)</f>
        <v/>
      </c>
      <c r="Y86" s="7">
        <f>IF($Z86="","",X86-V86-N86)</f>
        <v/>
      </c>
      <c r="Z86" s="13">
        <f>IF(ROWS($Z$2:$Z86)&lt;=MAX('Per Line'!$AN$2:$AN$1001),MATCH(ROWS($Z$2:$Z86),'Per Line'!$AN$2:$AN$1001,0),"")</f>
        <v/>
      </c>
    </row>
    <row r="87">
      <c r="A87" s="12" t="n"/>
      <c r="B87">
        <f>IF($Z87="","",INDEX('Per Line'!$D$2:$D$1001,$Z87)&amp;"")</f>
        <v/>
      </c>
      <c r="C87">
        <f>IF($Z87="","",INDEX('Per Line'!$B$2:$B$1001,$Z87)&amp;"")</f>
        <v/>
      </c>
      <c r="D87">
        <f>IF($Z87="","",INDEX('Per Line'!$A$2:$A$1001,$Z87))</f>
        <v/>
      </c>
      <c r="E87">
        <f>IF($Z87="","",INDEX('Per Line'!$E$2:$E$1001,$Z87)&amp;"")</f>
        <v/>
      </c>
      <c r="F87">
        <f>IF($Z87="","",INDEX('Per Line'!$F$2:$F$1001,$Z87)&amp;"")</f>
        <v/>
      </c>
      <c r="G87" s="11">
        <f>IF($Z87="","",INDEX('Per Line'!$G$2:$G$1001,$Z87))</f>
        <v/>
      </c>
      <c r="H87">
        <f>IF($Z87="","",INDEX('Per Line'!$I$2:$I$1001,$Z87)&amp;"")</f>
        <v/>
      </c>
      <c r="I87">
        <f>IF($Z87="","",INDEX('Per Line'!$J$2:$J$1001,$Z87)&amp;"")</f>
        <v/>
      </c>
      <c r="J87">
        <f>IF($Z87="","",INDEX('Per Line'!$K$2:$K$1001,$Z87)&amp;"")</f>
        <v/>
      </c>
      <c r="K87">
        <f>IF($Z87="","",INDEX('Per Line'!$L$2:$L$1001,$Z87)&amp;"")</f>
        <v/>
      </c>
      <c r="L87">
        <f>IF($Z87="","",INDEX('Per Line'!$M$2:$M$1001,$Z87)&amp;"")</f>
        <v/>
      </c>
      <c r="M87">
        <f>IF($Z87="","",INDEX('Per Line'!$P$2:$P$1001,$Z87))</f>
        <v/>
      </c>
      <c r="N87" s="7">
        <f>IF($Z87="","",M87*X87/100)</f>
        <v/>
      </c>
      <c r="O87" s="7">
        <f>IF($Z87="","",SUMIFS('Per Line'!$Y$2:$Y$1001,'Per Line'!$D$2:$D$1001,$B87,'Per Line'!$AP$2:$AP$1001,1))</f>
        <v/>
      </c>
      <c r="P87">
        <f>IF($Z87="","",Settings!$C$7)</f>
        <v/>
      </c>
      <c r="Q87" s="7">
        <f>IF($Z87="","",SUMIFS('Per Line'!$Y$2:$Y$1001,'Per Line'!$D$2:$D$1001,$B87,'Per Line'!$AO$2:$AO$1001,0,'Per Line'!$AP$2:$AP$1001,0))</f>
        <v/>
      </c>
      <c r="R87" s="7">
        <f>IF($Z87="","",Q87*P87)</f>
        <v/>
      </c>
      <c r="S87">
        <f>IF($Z87="","",Settings!$C$6)</f>
        <v/>
      </c>
      <c r="T87" s="7">
        <f>IF($Z87="","",SUMIFS('Per Line'!$Y$2:$Y$1001,'Per Line'!$D$2:$D$1001,$B87,'Per Line'!$AO$2:$AO$1001,1,'Per Line'!$AP$2:$AP$1001,0))</f>
        <v/>
      </c>
      <c r="U87" s="7">
        <f>IF($Z87="","",T87*S87)</f>
        <v/>
      </c>
      <c r="V87" s="7">
        <f>IF($Z87="","",U87+R87)</f>
        <v/>
      </c>
      <c r="W87" s="7">
        <f>IF($Z87="","",X87-V87)</f>
        <v/>
      </c>
      <c r="X87" s="7">
        <f>IF($Z87="","",Q87+T87+O87)</f>
        <v/>
      </c>
      <c r="Y87" s="7">
        <f>IF($Z87="","",X87-V87-N87)</f>
        <v/>
      </c>
      <c r="Z87" s="13">
        <f>IF(ROWS($Z$2:$Z87)&lt;=MAX('Per Line'!$AN$2:$AN$1001),MATCH(ROWS($Z$2:$Z87),'Per Line'!$AN$2:$AN$1001,0),"")</f>
        <v/>
      </c>
    </row>
    <row r="88">
      <c r="A88" s="12" t="n"/>
      <c r="B88">
        <f>IF($Z88="","",INDEX('Per Line'!$D$2:$D$1001,$Z88)&amp;"")</f>
        <v/>
      </c>
      <c r="C88">
        <f>IF($Z88="","",INDEX('Per Line'!$B$2:$B$1001,$Z88)&amp;"")</f>
        <v/>
      </c>
      <c r="D88">
        <f>IF($Z88="","",INDEX('Per Line'!$A$2:$A$1001,$Z88))</f>
        <v/>
      </c>
      <c r="E88">
        <f>IF($Z88="","",INDEX('Per Line'!$E$2:$E$1001,$Z88)&amp;"")</f>
        <v/>
      </c>
      <c r="F88">
        <f>IF($Z88="","",INDEX('Per Line'!$F$2:$F$1001,$Z88)&amp;"")</f>
        <v/>
      </c>
      <c r="G88" s="11">
        <f>IF($Z88="","",INDEX('Per Line'!$G$2:$G$1001,$Z88))</f>
        <v/>
      </c>
      <c r="H88">
        <f>IF($Z88="","",INDEX('Per Line'!$I$2:$I$1001,$Z88)&amp;"")</f>
        <v/>
      </c>
      <c r="I88">
        <f>IF($Z88="","",INDEX('Per Line'!$J$2:$J$1001,$Z88)&amp;"")</f>
        <v/>
      </c>
      <c r="J88">
        <f>IF($Z88="","",INDEX('Per Line'!$K$2:$K$1001,$Z88)&amp;"")</f>
        <v/>
      </c>
      <c r="K88">
        <f>IF($Z88="","",INDEX('Per Line'!$L$2:$L$1001,$Z88)&amp;"")</f>
        <v/>
      </c>
      <c r="L88">
        <f>IF($Z88="","",INDEX('Per Line'!$M$2:$M$1001,$Z88)&amp;"")</f>
        <v/>
      </c>
      <c r="M88">
        <f>IF($Z88="","",INDEX('Per Line'!$P$2:$P$1001,$Z88))</f>
        <v/>
      </c>
      <c r="N88" s="7">
        <f>IF($Z88="","",M88*X88/100)</f>
        <v/>
      </c>
      <c r="O88" s="7">
        <f>IF($Z88="","",SUMIFS('Per Line'!$Y$2:$Y$1001,'Per Line'!$D$2:$D$1001,$B88,'Per Line'!$AP$2:$AP$1001,1))</f>
        <v/>
      </c>
      <c r="P88">
        <f>IF($Z88="","",Settings!$C$7)</f>
        <v/>
      </c>
      <c r="Q88" s="7">
        <f>IF($Z88="","",SUMIFS('Per Line'!$Y$2:$Y$1001,'Per Line'!$D$2:$D$1001,$B88,'Per Line'!$AO$2:$AO$1001,0,'Per Line'!$AP$2:$AP$1001,0))</f>
        <v/>
      </c>
      <c r="R88" s="7">
        <f>IF($Z88="","",Q88*P88)</f>
        <v/>
      </c>
      <c r="S88">
        <f>IF($Z88="","",Settings!$C$6)</f>
        <v/>
      </c>
      <c r="T88" s="7">
        <f>IF($Z88="","",SUMIFS('Per Line'!$Y$2:$Y$1001,'Per Line'!$D$2:$D$1001,$B88,'Per Line'!$AO$2:$AO$1001,1,'Per Line'!$AP$2:$AP$1001,0))</f>
        <v/>
      </c>
      <c r="U88" s="7">
        <f>IF($Z88="","",T88*S88)</f>
        <v/>
      </c>
      <c r="V88" s="7">
        <f>IF($Z88="","",U88+R88)</f>
        <v/>
      </c>
      <c r="W88" s="7">
        <f>IF($Z88="","",X88-V88)</f>
        <v/>
      </c>
      <c r="X88" s="7">
        <f>IF($Z88="","",Q88+T88+O88)</f>
        <v/>
      </c>
      <c r="Y88" s="7">
        <f>IF($Z88="","",X88-V88-N88)</f>
        <v/>
      </c>
      <c r="Z88" s="13">
        <f>IF(ROWS($Z$2:$Z88)&lt;=MAX('Per Line'!$AN$2:$AN$1001),MATCH(ROWS($Z$2:$Z88),'Per Line'!$AN$2:$AN$1001,0),"")</f>
        <v/>
      </c>
    </row>
    <row r="89">
      <c r="A89" s="12" t="n"/>
      <c r="B89">
        <f>IF($Z89="","",INDEX('Per Line'!$D$2:$D$1001,$Z89)&amp;"")</f>
        <v/>
      </c>
      <c r="C89">
        <f>IF($Z89="","",INDEX('Per Line'!$B$2:$B$1001,$Z89)&amp;"")</f>
        <v/>
      </c>
      <c r="D89">
        <f>IF($Z89="","",INDEX('Per Line'!$A$2:$A$1001,$Z89))</f>
        <v/>
      </c>
      <c r="E89">
        <f>IF($Z89="","",INDEX('Per Line'!$E$2:$E$1001,$Z89)&amp;"")</f>
        <v/>
      </c>
      <c r="F89">
        <f>IF($Z89="","",INDEX('Per Line'!$F$2:$F$1001,$Z89)&amp;"")</f>
        <v/>
      </c>
      <c r="G89" s="11">
        <f>IF($Z89="","",INDEX('Per Line'!$G$2:$G$1001,$Z89))</f>
        <v/>
      </c>
      <c r="H89">
        <f>IF($Z89="","",INDEX('Per Line'!$I$2:$I$1001,$Z89)&amp;"")</f>
        <v/>
      </c>
      <c r="I89">
        <f>IF($Z89="","",INDEX('Per Line'!$J$2:$J$1001,$Z89)&amp;"")</f>
        <v/>
      </c>
      <c r="J89">
        <f>IF($Z89="","",INDEX('Per Line'!$K$2:$K$1001,$Z89)&amp;"")</f>
        <v/>
      </c>
      <c r="K89">
        <f>IF($Z89="","",INDEX('Per Line'!$L$2:$L$1001,$Z89)&amp;"")</f>
        <v/>
      </c>
      <c r="L89">
        <f>IF($Z89="","",INDEX('Per Line'!$M$2:$M$1001,$Z89)&amp;"")</f>
        <v/>
      </c>
      <c r="M89">
        <f>IF($Z89="","",INDEX('Per Line'!$P$2:$P$1001,$Z89))</f>
        <v/>
      </c>
      <c r="N89" s="7">
        <f>IF($Z89="","",M89*X89/100)</f>
        <v/>
      </c>
      <c r="O89" s="7">
        <f>IF($Z89="","",SUMIFS('Per Line'!$Y$2:$Y$1001,'Per Line'!$D$2:$D$1001,$B89,'Per Line'!$AP$2:$AP$1001,1))</f>
        <v/>
      </c>
      <c r="P89">
        <f>IF($Z89="","",Settings!$C$7)</f>
        <v/>
      </c>
      <c r="Q89" s="7">
        <f>IF($Z89="","",SUMIFS('Per Line'!$Y$2:$Y$1001,'Per Line'!$D$2:$D$1001,$B89,'Per Line'!$AO$2:$AO$1001,0,'Per Line'!$AP$2:$AP$1001,0))</f>
        <v/>
      </c>
      <c r="R89" s="7">
        <f>IF($Z89="","",Q89*P89)</f>
        <v/>
      </c>
      <c r="S89">
        <f>IF($Z89="","",Settings!$C$6)</f>
        <v/>
      </c>
      <c r="T89" s="7">
        <f>IF($Z89="","",SUMIFS('Per Line'!$Y$2:$Y$1001,'Per Line'!$D$2:$D$1001,$B89,'Per Line'!$AO$2:$AO$1001,1,'Per Line'!$AP$2:$AP$1001,0))</f>
        <v/>
      </c>
      <c r="U89" s="7">
        <f>IF($Z89="","",T89*S89)</f>
        <v/>
      </c>
      <c r="V89" s="7">
        <f>IF($Z89="","",U89+R89)</f>
        <v/>
      </c>
      <c r="W89" s="7">
        <f>IF($Z89="","",X89-V89)</f>
        <v/>
      </c>
      <c r="X89" s="7">
        <f>IF($Z89="","",Q89+T89+O89)</f>
        <v/>
      </c>
      <c r="Y89" s="7">
        <f>IF($Z89="","",X89-V89-N89)</f>
        <v/>
      </c>
      <c r="Z89" s="13">
        <f>IF(ROWS($Z$2:$Z89)&lt;=MAX('Per Line'!$AN$2:$AN$1001),MATCH(ROWS($Z$2:$Z89),'Per Line'!$AN$2:$AN$1001,0),"")</f>
        <v/>
      </c>
    </row>
    <row r="90">
      <c r="A90" s="12" t="n"/>
      <c r="B90">
        <f>IF($Z90="","",INDEX('Per Line'!$D$2:$D$1001,$Z90)&amp;"")</f>
        <v/>
      </c>
      <c r="C90">
        <f>IF($Z90="","",INDEX('Per Line'!$B$2:$B$1001,$Z90)&amp;"")</f>
        <v/>
      </c>
      <c r="D90">
        <f>IF($Z90="","",INDEX('Per Line'!$A$2:$A$1001,$Z90))</f>
        <v/>
      </c>
      <c r="E90">
        <f>IF($Z90="","",INDEX('Per Line'!$E$2:$E$1001,$Z90)&amp;"")</f>
        <v/>
      </c>
      <c r="F90">
        <f>IF($Z90="","",INDEX('Per Line'!$F$2:$F$1001,$Z90)&amp;"")</f>
        <v/>
      </c>
      <c r="G90" s="11">
        <f>IF($Z90="","",INDEX('Per Line'!$G$2:$G$1001,$Z90))</f>
        <v/>
      </c>
      <c r="H90">
        <f>IF($Z90="","",INDEX('Per Line'!$I$2:$I$1001,$Z90)&amp;"")</f>
        <v/>
      </c>
      <c r="I90">
        <f>IF($Z90="","",INDEX('Per Line'!$J$2:$J$1001,$Z90)&amp;"")</f>
        <v/>
      </c>
      <c r="J90">
        <f>IF($Z90="","",INDEX('Per Line'!$K$2:$K$1001,$Z90)&amp;"")</f>
        <v/>
      </c>
      <c r="K90">
        <f>IF($Z90="","",INDEX('Per Line'!$L$2:$L$1001,$Z90)&amp;"")</f>
        <v/>
      </c>
      <c r="L90">
        <f>IF($Z90="","",INDEX('Per Line'!$M$2:$M$1001,$Z90)&amp;"")</f>
        <v/>
      </c>
      <c r="M90">
        <f>IF($Z90="","",INDEX('Per Line'!$P$2:$P$1001,$Z90))</f>
        <v/>
      </c>
      <c r="N90" s="7">
        <f>IF($Z90="","",M90*X90/100)</f>
        <v/>
      </c>
      <c r="O90" s="7">
        <f>IF($Z90="","",SUMIFS('Per Line'!$Y$2:$Y$1001,'Per Line'!$D$2:$D$1001,$B90,'Per Line'!$AP$2:$AP$1001,1))</f>
        <v/>
      </c>
      <c r="P90">
        <f>IF($Z90="","",Settings!$C$7)</f>
        <v/>
      </c>
      <c r="Q90" s="7">
        <f>IF($Z90="","",SUMIFS('Per Line'!$Y$2:$Y$1001,'Per Line'!$D$2:$D$1001,$B90,'Per Line'!$AO$2:$AO$1001,0,'Per Line'!$AP$2:$AP$1001,0))</f>
        <v/>
      </c>
      <c r="R90" s="7">
        <f>IF($Z90="","",Q90*P90)</f>
        <v/>
      </c>
      <c r="S90">
        <f>IF($Z90="","",Settings!$C$6)</f>
        <v/>
      </c>
      <c r="T90" s="7">
        <f>IF($Z90="","",SUMIFS('Per Line'!$Y$2:$Y$1001,'Per Line'!$D$2:$D$1001,$B90,'Per Line'!$AO$2:$AO$1001,1,'Per Line'!$AP$2:$AP$1001,0))</f>
        <v/>
      </c>
      <c r="U90" s="7">
        <f>IF($Z90="","",T90*S90)</f>
        <v/>
      </c>
      <c r="V90" s="7">
        <f>IF($Z90="","",U90+R90)</f>
        <v/>
      </c>
      <c r="W90" s="7">
        <f>IF($Z90="","",X90-V90)</f>
        <v/>
      </c>
      <c r="X90" s="7">
        <f>IF($Z90="","",Q90+T90+O90)</f>
        <v/>
      </c>
      <c r="Y90" s="7">
        <f>IF($Z90="","",X90-V90-N90)</f>
        <v/>
      </c>
      <c r="Z90" s="13">
        <f>IF(ROWS($Z$2:$Z90)&lt;=MAX('Per Line'!$AN$2:$AN$1001),MATCH(ROWS($Z$2:$Z90),'Per Line'!$AN$2:$AN$1001,0),"")</f>
        <v/>
      </c>
    </row>
    <row r="91">
      <c r="A91" s="12" t="n"/>
      <c r="B91">
        <f>IF($Z91="","",INDEX('Per Line'!$D$2:$D$1001,$Z91)&amp;"")</f>
        <v/>
      </c>
      <c r="C91">
        <f>IF($Z91="","",INDEX('Per Line'!$B$2:$B$1001,$Z91)&amp;"")</f>
        <v/>
      </c>
      <c r="D91">
        <f>IF($Z91="","",INDEX('Per Line'!$A$2:$A$1001,$Z91))</f>
        <v/>
      </c>
      <c r="E91">
        <f>IF($Z91="","",INDEX('Per Line'!$E$2:$E$1001,$Z91)&amp;"")</f>
        <v/>
      </c>
      <c r="F91">
        <f>IF($Z91="","",INDEX('Per Line'!$F$2:$F$1001,$Z91)&amp;"")</f>
        <v/>
      </c>
      <c r="G91" s="11">
        <f>IF($Z91="","",INDEX('Per Line'!$G$2:$G$1001,$Z91))</f>
        <v/>
      </c>
      <c r="H91">
        <f>IF($Z91="","",INDEX('Per Line'!$I$2:$I$1001,$Z91)&amp;"")</f>
        <v/>
      </c>
      <c r="I91">
        <f>IF($Z91="","",INDEX('Per Line'!$J$2:$J$1001,$Z91)&amp;"")</f>
        <v/>
      </c>
      <c r="J91">
        <f>IF($Z91="","",INDEX('Per Line'!$K$2:$K$1001,$Z91)&amp;"")</f>
        <v/>
      </c>
      <c r="K91">
        <f>IF($Z91="","",INDEX('Per Line'!$L$2:$L$1001,$Z91)&amp;"")</f>
        <v/>
      </c>
      <c r="L91">
        <f>IF($Z91="","",INDEX('Per Line'!$M$2:$M$1001,$Z91)&amp;"")</f>
        <v/>
      </c>
      <c r="M91">
        <f>IF($Z91="","",INDEX('Per Line'!$P$2:$P$1001,$Z91))</f>
        <v/>
      </c>
      <c r="N91" s="7">
        <f>IF($Z91="","",M91*X91/100)</f>
        <v/>
      </c>
      <c r="O91" s="7">
        <f>IF($Z91="","",SUMIFS('Per Line'!$Y$2:$Y$1001,'Per Line'!$D$2:$D$1001,$B91,'Per Line'!$AP$2:$AP$1001,1))</f>
        <v/>
      </c>
      <c r="P91">
        <f>IF($Z91="","",Settings!$C$7)</f>
        <v/>
      </c>
      <c r="Q91" s="7">
        <f>IF($Z91="","",SUMIFS('Per Line'!$Y$2:$Y$1001,'Per Line'!$D$2:$D$1001,$B91,'Per Line'!$AO$2:$AO$1001,0,'Per Line'!$AP$2:$AP$1001,0))</f>
        <v/>
      </c>
      <c r="R91" s="7">
        <f>IF($Z91="","",Q91*P91)</f>
        <v/>
      </c>
      <c r="S91">
        <f>IF($Z91="","",Settings!$C$6)</f>
        <v/>
      </c>
      <c r="T91" s="7">
        <f>IF($Z91="","",SUMIFS('Per Line'!$Y$2:$Y$1001,'Per Line'!$D$2:$D$1001,$B91,'Per Line'!$AO$2:$AO$1001,1,'Per Line'!$AP$2:$AP$1001,0))</f>
        <v/>
      </c>
      <c r="U91" s="7">
        <f>IF($Z91="","",T91*S91)</f>
        <v/>
      </c>
      <c r="V91" s="7">
        <f>IF($Z91="","",U91+R91)</f>
        <v/>
      </c>
      <c r="W91" s="7">
        <f>IF($Z91="","",X91-V91)</f>
        <v/>
      </c>
      <c r="X91" s="7">
        <f>IF($Z91="","",Q91+T91+O91)</f>
        <v/>
      </c>
      <c r="Y91" s="7">
        <f>IF($Z91="","",X91-V91-N91)</f>
        <v/>
      </c>
      <c r="Z91" s="13">
        <f>IF(ROWS($Z$2:$Z91)&lt;=MAX('Per Line'!$AN$2:$AN$1001),MATCH(ROWS($Z$2:$Z91),'Per Line'!$AN$2:$AN$1001,0),"")</f>
        <v/>
      </c>
    </row>
    <row r="92">
      <c r="A92" s="12" t="n"/>
      <c r="B92">
        <f>IF($Z92="","",INDEX('Per Line'!$D$2:$D$1001,$Z92)&amp;"")</f>
        <v/>
      </c>
      <c r="C92">
        <f>IF($Z92="","",INDEX('Per Line'!$B$2:$B$1001,$Z92)&amp;"")</f>
        <v/>
      </c>
      <c r="D92">
        <f>IF($Z92="","",INDEX('Per Line'!$A$2:$A$1001,$Z92))</f>
        <v/>
      </c>
      <c r="E92">
        <f>IF($Z92="","",INDEX('Per Line'!$E$2:$E$1001,$Z92)&amp;"")</f>
        <v/>
      </c>
      <c r="F92">
        <f>IF($Z92="","",INDEX('Per Line'!$F$2:$F$1001,$Z92)&amp;"")</f>
        <v/>
      </c>
      <c r="G92" s="11">
        <f>IF($Z92="","",INDEX('Per Line'!$G$2:$G$1001,$Z92))</f>
        <v/>
      </c>
      <c r="H92">
        <f>IF($Z92="","",INDEX('Per Line'!$I$2:$I$1001,$Z92)&amp;"")</f>
        <v/>
      </c>
      <c r="I92">
        <f>IF($Z92="","",INDEX('Per Line'!$J$2:$J$1001,$Z92)&amp;"")</f>
        <v/>
      </c>
      <c r="J92">
        <f>IF($Z92="","",INDEX('Per Line'!$K$2:$K$1001,$Z92)&amp;"")</f>
        <v/>
      </c>
      <c r="K92">
        <f>IF($Z92="","",INDEX('Per Line'!$L$2:$L$1001,$Z92)&amp;"")</f>
        <v/>
      </c>
      <c r="L92">
        <f>IF($Z92="","",INDEX('Per Line'!$M$2:$M$1001,$Z92)&amp;"")</f>
        <v/>
      </c>
      <c r="M92">
        <f>IF($Z92="","",INDEX('Per Line'!$P$2:$P$1001,$Z92))</f>
        <v/>
      </c>
      <c r="N92" s="7">
        <f>IF($Z92="","",M92*X92/100)</f>
        <v/>
      </c>
      <c r="O92" s="7">
        <f>IF($Z92="","",SUMIFS('Per Line'!$Y$2:$Y$1001,'Per Line'!$D$2:$D$1001,$B92,'Per Line'!$AP$2:$AP$1001,1))</f>
        <v/>
      </c>
      <c r="P92">
        <f>IF($Z92="","",Settings!$C$7)</f>
        <v/>
      </c>
      <c r="Q92" s="7">
        <f>IF($Z92="","",SUMIFS('Per Line'!$Y$2:$Y$1001,'Per Line'!$D$2:$D$1001,$B92,'Per Line'!$AO$2:$AO$1001,0,'Per Line'!$AP$2:$AP$1001,0))</f>
        <v/>
      </c>
      <c r="R92" s="7">
        <f>IF($Z92="","",Q92*P92)</f>
        <v/>
      </c>
      <c r="S92">
        <f>IF($Z92="","",Settings!$C$6)</f>
        <v/>
      </c>
      <c r="T92" s="7">
        <f>IF($Z92="","",SUMIFS('Per Line'!$Y$2:$Y$1001,'Per Line'!$D$2:$D$1001,$B92,'Per Line'!$AO$2:$AO$1001,1,'Per Line'!$AP$2:$AP$1001,0))</f>
        <v/>
      </c>
      <c r="U92" s="7">
        <f>IF($Z92="","",T92*S92)</f>
        <v/>
      </c>
      <c r="V92" s="7">
        <f>IF($Z92="","",U92+R92)</f>
        <v/>
      </c>
      <c r="W92" s="7">
        <f>IF($Z92="","",X92-V92)</f>
        <v/>
      </c>
      <c r="X92" s="7">
        <f>IF($Z92="","",Q92+T92+O92)</f>
        <v/>
      </c>
      <c r="Y92" s="7">
        <f>IF($Z92="","",X92-V92-N92)</f>
        <v/>
      </c>
      <c r="Z92" s="13">
        <f>IF(ROWS($Z$2:$Z92)&lt;=MAX('Per Line'!$AN$2:$AN$1001),MATCH(ROWS($Z$2:$Z92),'Per Line'!$AN$2:$AN$1001,0),"")</f>
        <v/>
      </c>
    </row>
    <row r="93">
      <c r="A93" s="12" t="n"/>
      <c r="B93">
        <f>IF($Z93="","",INDEX('Per Line'!$D$2:$D$1001,$Z93)&amp;"")</f>
        <v/>
      </c>
      <c r="C93">
        <f>IF($Z93="","",INDEX('Per Line'!$B$2:$B$1001,$Z93)&amp;"")</f>
        <v/>
      </c>
      <c r="D93">
        <f>IF($Z93="","",INDEX('Per Line'!$A$2:$A$1001,$Z93))</f>
        <v/>
      </c>
      <c r="E93">
        <f>IF($Z93="","",INDEX('Per Line'!$E$2:$E$1001,$Z93)&amp;"")</f>
        <v/>
      </c>
      <c r="F93">
        <f>IF($Z93="","",INDEX('Per Line'!$F$2:$F$1001,$Z93)&amp;"")</f>
        <v/>
      </c>
      <c r="G93" s="11">
        <f>IF($Z93="","",INDEX('Per Line'!$G$2:$G$1001,$Z93))</f>
        <v/>
      </c>
      <c r="H93">
        <f>IF($Z93="","",INDEX('Per Line'!$I$2:$I$1001,$Z93)&amp;"")</f>
        <v/>
      </c>
      <c r="I93">
        <f>IF($Z93="","",INDEX('Per Line'!$J$2:$J$1001,$Z93)&amp;"")</f>
        <v/>
      </c>
      <c r="J93">
        <f>IF($Z93="","",INDEX('Per Line'!$K$2:$K$1001,$Z93)&amp;"")</f>
        <v/>
      </c>
      <c r="K93">
        <f>IF($Z93="","",INDEX('Per Line'!$L$2:$L$1001,$Z93)&amp;"")</f>
        <v/>
      </c>
      <c r="L93">
        <f>IF($Z93="","",INDEX('Per Line'!$M$2:$M$1001,$Z93)&amp;"")</f>
        <v/>
      </c>
      <c r="M93">
        <f>IF($Z93="","",INDEX('Per Line'!$P$2:$P$1001,$Z93))</f>
        <v/>
      </c>
      <c r="N93" s="7">
        <f>IF($Z93="","",M93*X93/100)</f>
        <v/>
      </c>
      <c r="O93" s="7">
        <f>IF($Z93="","",SUMIFS('Per Line'!$Y$2:$Y$1001,'Per Line'!$D$2:$D$1001,$B93,'Per Line'!$AP$2:$AP$1001,1))</f>
        <v/>
      </c>
      <c r="P93">
        <f>IF($Z93="","",Settings!$C$7)</f>
        <v/>
      </c>
      <c r="Q93" s="7">
        <f>IF($Z93="","",SUMIFS('Per Line'!$Y$2:$Y$1001,'Per Line'!$D$2:$D$1001,$B93,'Per Line'!$AO$2:$AO$1001,0,'Per Line'!$AP$2:$AP$1001,0))</f>
        <v/>
      </c>
      <c r="R93" s="7">
        <f>IF($Z93="","",Q93*P93)</f>
        <v/>
      </c>
      <c r="S93">
        <f>IF($Z93="","",Settings!$C$6)</f>
        <v/>
      </c>
      <c r="T93" s="7">
        <f>IF($Z93="","",SUMIFS('Per Line'!$Y$2:$Y$1001,'Per Line'!$D$2:$D$1001,$B93,'Per Line'!$AO$2:$AO$1001,1,'Per Line'!$AP$2:$AP$1001,0))</f>
        <v/>
      </c>
      <c r="U93" s="7">
        <f>IF($Z93="","",T93*S93)</f>
        <v/>
      </c>
      <c r="V93" s="7">
        <f>IF($Z93="","",U93+R93)</f>
        <v/>
      </c>
      <c r="W93" s="7">
        <f>IF($Z93="","",X93-V93)</f>
        <v/>
      </c>
      <c r="X93" s="7">
        <f>IF($Z93="","",Q93+T93+O93)</f>
        <v/>
      </c>
      <c r="Y93" s="7">
        <f>IF($Z93="","",X93-V93-N93)</f>
        <v/>
      </c>
      <c r="Z93" s="13">
        <f>IF(ROWS($Z$2:$Z93)&lt;=MAX('Per Line'!$AN$2:$AN$1001),MATCH(ROWS($Z$2:$Z93),'Per Line'!$AN$2:$AN$1001,0),"")</f>
        <v/>
      </c>
    </row>
    <row r="94">
      <c r="A94" s="12" t="n"/>
      <c r="B94">
        <f>IF($Z94="","",INDEX('Per Line'!$D$2:$D$1001,$Z94)&amp;"")</f>
        <v/>
      </c>
      <c r="C94">
        <f>IF($Z94="","",INDEX('Per Line'!$B$2:$B$1001,$Z94)&amp;"")</f>
        <v/>
      </c>
      <c r="D94">
        <f>IF($Z94="","",INDEX('Per Line'!$A$2:$A$1001,$Z94))</f>
        <v/>
      </c>
      <c r="E94">
        <f>IF($Z94="","",INDEX('Per Line'!$E$2:$E$1001,$Z94)&amp;"")</f>
        <v/>
      </c>
      <c r="F94">
        <f>IF($Z94="","",INDEX('Per Line'!$F$2:$F$1001,$Z94)&amp;"")</f>
        <v/>
      </c>
      <c r="G94" s="11">
        <f>IF($Z94="","",INDEX('Per Line'!$G$2:$G$1001,$Z94))</f>
        <v/>
      </c>
      <c r="H94">
        <f>IF($Z94="","",INDEX('Per Line'!$I$2:$I$1001,$Z94)&amp;"")</f>
        <v/>
      </c>
      <c r="I94">
        <f>IF($Z94="","",INDEX('Per Line'!$J$2:$J$1001,$Z94)&amp;"")</f>
        <v/>
      </c>
      <c r="J94">
        <f>IF($Z94="","",INDEX('Per Line'!$K$2:$K$1001,$Z94)&amp;"")</f>
        <v/>
      </c>
      <c r="K94">
        <f>IF($Z94="","",INDEX('Per Line'!$L$2:$L$1001,$Z94)&amp;"")</f>
        <v/>
      </c>
      <c r="L94">
        <f>IF($Z94="","",INDEX('Per Line'!$M$2:$M$1001,$Z94)&amp;"")</f>
        <v/>
      </c>
      <c r="M94">
        <f>IF($Z94="","",INDEX('Per Line'!$P$2:$P$1001,$Z94))</f>
        <v/>
      </c>
      <c r="N94" s="7">
        <f>IF($Z94="","",M94*X94/100)</f>
        <v/>
      </c>
      <c r="O94" s="7">
        <f>IF($Z94="","",SUMIFS('Per Line'!$Y$2:$Y$1001,'Per Line'!$D$2:$D$1001,$B94,'Per Line'!$AP$2:$AP$1001,1))</f>
        <v/>
      </c>
      <c r="P94">
        <f>IF($Z94="","",Settings!$C$7)</f>
        <v/>
      </c>
      <c r="Q94" s="7">
        <f>IF($Z94="","",SUMIFS('Per Line'!$Y$2:$Y$1001,'Per Line'!$D$2:$D$1001,$B94,'Per Line'!$AO$2:$AO$1001,0,'Per Line'!$AP$2:$AP$1001,0))</f>
        <v/>
      </c>
      <c r="R94" s="7">
        <f>IF($Z94="","",Q94*P94)</f>
        <v/>
      </c>
      <c r="S94">
        <f>IF($Z94="","",Settings!$C$6)</f>
        <v/>
      </c>
      <c r="T94" s="7">
        <f>IF($Z94="","",SUMIFS('Per Line'!$Y$2:$Y$1001,'Per Line'!$D$2:$D$1001,$B94,'Per Line'!$AO$2:$AO$1001,1,'Per Line'!$AP$2:$AP$1001,0))</f>
        <v/>
      </c>
      <c r="U94" s="7">
        <f>IF($Z94="","",T94*S94)</f>
        <v/>
      </c>
      <c r="V94" s="7">
        <f>IF($Z94="","",U94+R94)</f>
        <v/>
      </c>
      <c r="W94" s="7">
        <f>IF($Z94="","",X94-V94)</f>
        <v/>
      </c>
      <c r="X94" s="7">
        <f>IF($Z94="","",Q94+T94+O94)</f>
        <v/>
      </c>
      <c r="Y94" s="7">
        <f>IF($Z94="","",X94-V94-N94)</f>
        <v/>
      </c>
      <c r="Z94" s="13">
        <f>IF(ROWS($Z$2:$Z94)&lt;=MAX('Per Line'!$AN$2:$AN$1001),MATCH(ROWS($Z$2:$Z94),'Per Line'!$AN$2:$AN$1001,0),"")</f>
        <v/>
      </c>
    </row>
    <row r="95">
      <c r="A95" s="12" t="n"/>
      <c r="B95">
        <f>IF($Z95="","",INDEX('Per Line'!$D$2:$D$1001,$Z95)&amp;"")</f>
        <v/>
      </c>
      <c r="C95">
        <f>IF($Z95="","",INDEX('Per Line'!$B$2:$B$1001,$Z95)&amp;"")</f>
        <v/>
      </c>
      <c r="D95">
        <f>IF($Z95="","",INDEX('Per Line'!$A$2:$A$1001,$Z95))</f>
        <v/>
      </c>
      <c r="E95">
        <f>IF($Z95="","",INDEX('Per Line'!$E$2:$E$1001,$Z95)&amp;"")</f>
        <v/>
      </c>
      <c r="F95">
        <f>IF($Z95="","",INDEX('Per Line'!$F$2:$F$1001,$Z95)&amp;"")</f>
        <v/>
      </c>
      <c r="G95" s="11">
        <f>IF($Z95="","",INDEX('Per Line'!$G$2:$G$1001,$Z95))</f>
        <v/>
      </c>
      <c r="H95">
        <f>IF($Z95="","",INDEX('Per Line'!$I$2:$I$1001,$Z95)&amp;"")</f>
        <v/>
      </c>
      <c r="I95">
        <f>IF($Z95="","",INDEX('Per Line'!$J$2:$J$1001,$Z95)&amp;"")</f>
        <v/>
      </c>
      <c r="J95">
        <f>IF($Z95="","",INDEX('Per Line'!$K$2:$K$1001,$Z95)&amp;"")</f>
        <v/>
      </c>
      <c r="K95">
        <f>IF($Z95="","",INDEX('Per Line'!$L$2:$L$1001,$Z95)&amp;"")</f>
        <v/>
      </c>
      <c r="L95">
        <f>IF($Z95="","",INDEX('Per Line'!$M$2:$M$1001,$Z95)&amp;"")</f>
        <v/>
      </c>
      <c r="M95">
        <f>IF($Z95="","",INDEX('Per Line'!$P$2:$P$1001,$Z95))</f>
        <v/>
      </c>
      <c r="N95" s="7">
        <f>IF($Z95="","",M95*X95/100)</f>
        <v/>
      </c>
      <c r="O95" s="7">
        <f>IF($Z95="","",SUMIFS('Per Line'!$Y$2:$Y$1001,'Per Line'!$D$2:$D$1001,$B95,'Per Line'!$AP$2:$AP$1001,1))</f>
        <v/>
      </c>
      <c r="P95">
        <f>IF($Z95="","",Settings!$C$7)</f>
        <v/>
      </c>
      <c r="Q95" s="7">
        <f>IF($Z95="","",SUMIFS('Per Line'!$Y$2:$Y$1001,'Per Line'!$D$2:$D$1001,$B95,'Per Line'!$AO$2:$AO$1001,0,'Per Line'!$AP$2:$AP$1001,0))</f>
        <v/>
      </c>
      <c r="R95" s="7">
        <f>IF($Z95="","",Q95*P95)</f>
        <v/>
      </c>
      <c r="S95">
        <f>IF($Z95="","",Settings!$C$6)</f>
        <v/>
      </c>
      <c r="T95" s="7">
        <f>IF($Z95="","",SUMIFS('Per Line'!$Y$2:$Y$1001,'Per Line'!$D$2:$D$1001,$B95,'Per Line'!$AO$2:$AO$1001,1,'Per Line'!$AP$2:$AP$1001,0))</f>
        <v/>
      </c>
      <c r="U95" s="7">
        <f>IF($Z95="","",T95*S95)</f>
        <v/>
      </c>
      <c r="V95" s="7">
        <f>IF($Z95="","",U95+R95)</f>
        <v/>
      </c>
      <c r="W95" s="7">
        <f>IF($Z95="","",X95-V95)</f>
        <v/>
      </c>
      <c r="X95" s="7">
        <f>IF($Z95="","",Q95+T95+O95)</f>
        <v/>
      </c>
      <c r="Y95" s="7">
        <f>IF($Z95="","",X95-V95-N95)</f>
        <v/>
      </c>
      <c r="Z95" s="13">
        <f>IF(ROWS($Z$2:$Z95)&lt;=MAX('Per Line'!$AN$2:$AN$1001),MATCH(ROWS($Z$2:$Z95),'Per Line'!$AN$2:$AN$1001,0),"")</f>
        <v/>
      </c>
    </row>
    <row r="96">
      <c r="A96" s="12" t="n"/>
      <c r="B96">
        <f>IF($Z96="","",INDEX('Per Line'!$D$2:$D$1001,$Z96)&amp;"")</f>
        <v/>
      </c>
      <c r="C96">
        <f>IF($Z96="","",INDEX('Per Line'!$B$2:$B$1001,$Z96)&amp;"")</f>
        <v/>
      </c>
      <c r="D96">
        <f>IF($Z96="","",INDEX('Per Line'!$A$2:$A$1001,$Z96))</f>
        <v/>
      </c>
      <c r="E96">
        <f>IF($Z96="","",INDEX('Per Line'!$E$2:$E$1001,$Z96)&amp;"")</f>
        <v/>
      </c>
      <c r="F96">
        <f>IF($Z96="","",INDEX('Per Line'!$F$2:$F$1001,$Z96)&amp;"")</f>
        <v/>
      </c>
      <c r="G96" s="11">
        <f>IF($Z96="","",INDEX('Per Line'!$G$2:$G$1001,$Z96))</f>
        <v/>
      </c>
      <c r="H96">
        <f>IF($Z96="","",INDEX('Per Line'!$I$2:$I$1001,$Z96)&amp;"")</f>
        <v/>
      </c>
      <c r="I96">
        <f>IF($Z96="","",INDEX('Per Line'!$J$2:$J$1001,$Z96)&amp;"")</f>
        <v/>
      </c>
      <c r="J96">
        <f>IF($Z96="","",INDEX('Per Line'!$K$2:$K$1001,$Z96)&amp;"")</f>
        <v/>
      </c>
      <c r="K96">
        <f>IF($Z96="","",INDEX('Per Line'!$L$2:$L$1001,$Z96)&amp;"")</f>
        <v/>
      </c>
      <c r="L96">
        <f>IF($Z96="","",INDEX('Per Line'!$M$2:$M$1001,$Z96)&amp;"")</f>
        <v/>
      </c>
      <c r="M96">
        <f>IF($Z96="","",INDEX('Per Line'!$P$2:$P$1001,$Z96))</f>
        <v/>
      </c>
      <c r="N96" s="7">
        <f>IF($Z96="","",M96*X96/100)</f>
        <v/>
      </c>
      <c r="O96" s="7">
        <f>IF($Z96="","",SUMIFS('Per Line'!$Y$2:$Y$1001,'Per Line'!$D$2:$D$1001,$B96,'Per Line'!$AP$2:$AP$1001,1))</f>
        <v/>
      </c>
      <c r="P96">
        <f>IF($Z96="","",Settings!$C$7)</f>
        <v/>
      </c>
      <c r="Q96" s="7">
        <f>IF($Z96="","",SUMIFS('Per Line'!$Y$2:$Y$1001,'Per Line'!$D$2:$D$1001,$B96,'Per Line'!$AO$2:$AO$1001,0,'Per Line'!$AP$2:$AP$1001,0))</f>
        <v/>
      </c>
      <c r="R96" s="7">
        <f>IF($Z96="","",Q96*P96)</f>
        <v/>
      </c>
      <c r="S96">
        <f>IF($Z96="","",Settings!$C$6)</f>
        <v/>
      </c>
      <c r="T96" s="7">
        <f>IF($Z96="","",SUMIFS('Per Line'!$Y$2:$Y$1001,'Per Line'!$D$2:$D$1001,$B96,'Per Line'!$AO$2:$AO$1001,1,'Per Line'!$AP$2:$AP$1001,0))</f>
        <v/>
      </c>
      <c r="U96" s="7">
        <f>IF($Z96="","",T96*S96)</f>
        <v/>
      </c>
      <c r="V96" s="7">
        <f>IF($Z96="","",U96+R96)</f>
        <v/>
      </c>
      <c r="W96" s="7">
        <f>IF($Z96="","",X96-V96)</f>
        <v/>
      </c>
      <c r="X96" s="7">
        <f>IF($Z96="","",Q96+T96+O96)</f>
        <v/>
      </c>
      <c r="Y96" s="7">
        <f>IF($Z96="","",X96-V96-N96)</f>
        <v/>
      </c>
      <c r="Z96" s="13">
        <f>IF(ROWS($Z$2:$Z96)&lt;=MAX('Per Line'!$AN$2:$AN$1001),MATCH(ROWS($Z$2:$Z96),'Per Line'!$AN$2:$AN$1001,0),"")</f>
        <v/>
      </c>
    </row>
    <row r="97">
      <c r="A97" s="12" t="n"/>
      <c r="B97">
        <f>IF($Z97="","",INDEX('Per Line'!$D$2:$D$1001,$Z97)&amp;"")</f>
        <v/>
      </c>
      <c r="C97">
        <f>IF($Z97="","",INDEX('Per Line'!$B$2:$B$1001,$Z97)&amp;"")</f>
        <v/>
      </c>
      <c r="D97">
        <f>IF($Z97="","",INDEX('Per Line'!$A$2:$A$1001,$Z97))</f>
        <v/>
      </c>
      <c r="E97">
        <f>IF($Z97="","",INDEX('Per Line'!$E$2:$E$1001,$Z97)&amp;"")</f>
        <v/>
      </c>
      <c r="F97">
        <f>IF($Z97="","",INDEX('Per Line'!$F$2:$F$1001,$Z97)&amp;"")</f>
        <v/>
      </c>
      <c r="G97" s="11">
        <f>IF($Z97="","",INDEX('Per Line'!$G$2:$G$1001,$Z97))</f>
        <v/>
      </c>
      <c r="H97">
        <f>IF($Z97="","",INDEX('Per Line'!$I$2:$I$1001,$Z97)&amp;"")</f>
        <v/>
      </c>
      <c r="I97">
        <f>IF($Z97="","",INDEX('Per Line'!$J$2:$J$1001,$Z97)&amp;"")</f>
        <v/>
      </c>
      <c r="J97">
        <f>IF($Z97="","",INDEX('Per Line'!$K$2:$K$1001,$Z97)&amp;"")</f>
        <v/>
      </c>
      <c r="K97">
        <f>IF($Z97="","",INDEX('Per Line'!$L$2:$L$1001,$Z97)&amp;"")</f>
        <v/>
      </c>
      <c r="L97">
        <f>IF($Z97="","",INDEX('Per Line'!$M$2:$M$1001,$Z97)&amp;"")</f>
        <v/>
      </c>
      <c r="M97">
        <f>IF($Z97="","",INDEX('Per Line'!$P$2:$P$1001,$Z97))</f>
        <v/>
      </c>
      <c r="N97" s="7">
        <f>IF($Z97="","",M97*X97/100)</f>
        <v/>
      </c>
      <c r="O97" s="7">
        <f>IF($Z97="","",SUMIFS('Per Line'!$Y$2:$Y$1001,'Per Line'!$D$2:$D$1001,$B97,'Per Line'!$AP$2:$AP$1001,1))</f>
        <v/>
      </c>
      <c r="P97">
        <f>IF($Z97="","",Settings!$C$7)</f>
        <v/>
      </c>
      <c r="Q97" s="7">
        <f>IF($Z97="","",SUMIFS('Per Line'!$Y$2:$Y$1001,'Per Line'!$D$2:$D$1001,$B97,'Per Line'!$AO$2:$AO$1001,0,'Per Line'!$AP$2:$AP$1001,0))</f>
        <v/>
      </c>
      <c r="R97" s="7">
        <f>IF($Z97="","",Q97*P97)</f>
        <v/>
      </c>
      <c r="S97">
        <f>IF($Z97="","",Settings!$C$6)</f>
        <v/>
      </c>
      <c r="T97" s="7">
        <f>IF($Z97="","",SUMIFS('Per Line'!$Y$2:$Y$1001,'Per Line'!$D$2:$D$1001,$B97,'Per Line'!$AO$2:$AO$1001,1,'Per Line'!$AP$2:$AP$1001,0))</f>
        <v/>
      </c>
      <c r="U97" s="7">
        <f>IF($Z97="","",T97*S97)</f>
        <v/>
      </c>
      <c r="V97" s="7">
        <f>IF($Z97="","",U97+R97)</f>
        <v/>
      </c>
      <c r="W97" s="7">
        <f>IF($Z97="","",X97-V97)</f>
        <v/>
      </c>
      <c r="X97" s="7">
        <f>IF($Z97="","",Q97+T97+O97)</f>
        <v/>
      </c>
      <c r="Y97" s="7">
        <f>IF($Z97="","",X97-V97-N97)</f>
        <v/>
      </c>
      <c r="Z97" s="13">
        <f>IF(ROWS($Z$2:$Z97)&lt;=MAX('Per Line'!$AN$2:$AN$1001),MATCH(ROWS($Z$2:$Z97),'Per Line'!$AN$2:$AN$1001,0),"")</f>
        <v/>
      </c>
    </row>
    <row r="98">
      <c r="A98" s="12" t="n"/>
      <c r="B98">
        <f>IF($Z98="","",INDEX('Per Line'!$D$2:$D$1001,$Z98)&amp;"")</f>
        <v/>
      </c>
      <c r="C98">
        <f>IF($Z98="","",INDEX('Per Line'!$B$2:$B$1001,$Z98)&amp;"")</f>
        <v/>
      </c>
      <c r="D98">
        <f>IF($Z98="","",INDEX('Per Line'!$A$2:$A$1001,$Z98))</f>
        <v/>
      </c>
      <c r="E98">
        <f>IF($Z98="","",INDEX('Per Line'!$E$2:$E$1001,$Z98)&amp;"")</f>
        <v/>
      </c>
      <c r="F98">
        <f>IF($Z98="","",INDEX('Per Line'!$F$2:$F$1001,$Z98)&amp;"")</f>
        <v/>
      </c>
      <c r="G98" s="11">
        <f>IF($Z98="","",INDEX('Per Line'!$G$2:$G$1001,$Z98))</f>
        <v/>
      </c>
      <c r="H98">
        <f>IF($Z98="","",INDEX('Per Line'!$I$2:$I$1001,$Z98)&amp;"")</f>
        <v/>
      </c>
      <c r="I98">
        <f>IF($Z98="","",INDEX('Per Line'!$J$2:$J$1001,$Z98)&amp;"")</f>
        <v/>
      </c>
      <c r="J98">
        <f>IF($Z98="","",INDEX('Per Line'!$K$2:$K$1001,$Z98)&amp;"")</f>
        <v/>
      </c>
      <c r="K98">
        <f>IF($Z98="","",INDEX('Per Line'!$L$2:$L$1001,$Z98)&amp;"")</f>
        <v/>
      </c>
      <c r="L98">
        <f>IF($Z98="","",INDEX('Per Line'!$M$2:$M$1001,$Z98)&amp;"")</f>
        <v/>
      </c>
      <c r="M98">
        <f>IF($Z98="","",INDEX('Per Line'!$P$2:$P$1001,$Z98))</f>
        <v/>
      </c>
      <c r="N98" s="7">
        <f>IF($Z98="","",M98*X98/100)</f>
        <v/>
      </c>
      <c r="O98" s="7">
        <f>IF($Z98="","",SUMIFS('Per Line'!$Y$2:$Y$1001,'Per Line'!$D$2:$D$1001,$B98,'Per Line'!$AP$2:$AP$1001,1))</f>
        <v/>
      </c>
      <c r="P98">
        <f>IF($Z98="","",Settings!$C$7)</f>
        <v/>
      </c>
      <c r="Q98" s="7">
        <f>IF($Z98="","",SUMIFS('Per Line'!$Y$2:$Y$1001,'Per Line'!$D$2:$D$1001,$B98,'Per Line'!$AO$2:$AO$1001,0,'Per Line'!$AP$2:$AP$1001,0))</f>
        <v/>
      </c>
      <c r="R98" s="7">
        <f>IF($Z98="","",Q98*P98)</f>
        <v/>
      </c>
      <c r="S98">
        <f>IF($Z98="","",Settings!$C$6)</f>
        <v/>
      </c>
      <c r="T98" s="7">
        <f>IF($Z98="","",SUMIFS('Per Line'!$Y$2:$Y$1001,'Per Line'!$D$2:$D$1001,$B98,'Per Line'!$AO$2:$AO$1001,1,'Per Line'!$AP$2:$AP$1001,0))</f>
        <v/>
      </c>
      <c r="U98" s="7">
        <f>IF($Z98="","",T98*S98)</f>
        <v/>
      </c>
      <c r="V98" s="7">
        <f>IF($Z98="","",U98+R98)</f>
        <v/>
      </c>
      <c r="W98" s="7">
        <f>IF($Z98="","",X98-V98)</f>
        <v/>
      </c>
      <c r="X98" s="7">
        <f>IF($Z98="","",Q98+T98+O98)</f>
        <v/>
      </c>
      <c r="Y98" s="7">
        <f>IF($Z98="","",X98-V98-N98)</f>
        <v/>
      </c>
      <c r="Z98" s="13">
        <f>IF(ROWS($Z$2:$Z98)&lt;=MAX('Per Line'!$AN$2:$AN$1001),MATCH(ROWS($Z$2:$Z98),'Per Line'!$AN$2:$AN$1001,0),"")</f>
        <v/>
      </c>
    </row>
    <row r="99">
      <c r="A99" s="12" t="n"/>
      <c r="B99">
        <f>IF($Z99="","",INDEX('Per Line'!$D$2:$D$1001,$Z99)&amp;"")</f>
        <v/>
      </c>
      <c r="C99">
        <f>IF($Z99="","",INDEX('Per Line'!$B$2:$B$1001,$Z99)&amp;"")</f>
        <v/>
      </c>
      <c r="D99">
        <f>IF($Z99="","",INDEX('Per Line'!$A$2:$A$1001,$Z99))</f>
        <v/>
      </c>
      <c r="E99">
        <f>IF($Z99="","",INDEX('Per Line'!$E$2:$E$1001,$Z99)&amp;"")</f>
        <v/>
      </c>
      <c r="F99">
        <f>IF($Z99="","",INDEX('Per Line'!$F$2:$F$1001,$Z99)&amp;"")</f>
        <v/>
      </c>
      <c r="G99" s="11">
        <f>IF($Z99="","",INDEX('Per Line'!$G$2:$G$1001,$Z99))</f>
        <v/>
      </c>
      <c r="H99">
        <f>IF($Z99="","",INDEX('Per Line'!$I$2:$I$1001,$Z99)&amp;"")</f>
        <v/>
      </c>
      <c r="I99">
        <f>IF($Z99="","",INDEX('Per Line'!$J$2:$J$1001,$Z99)&amp;"")</f>
        <v/>
      </c>
      <c r="J99">
        <f>IF($Z99="","",INDEX('Per Line'!$K$2:$K$1001,$Z99)&amp;"")</f>
        <v/>
      </c>
      <c r="K99">
        <f>IF($Z99="","",INDEX('Per Line'!$L$2:$L$1001,$Z99)&amp;"")</f>
        <v/>
      </c>
      <c r="L99">
        <f>IF($Z99="","",INDEX('Per Line'!$M$2:$M$1001,$Z99)&amp;"")</f>
        <v/>
      </c>
      <c r="M99">
        <f>IF($Z99="","",INDEX('Per Line'!$P$2:$P$1001,$Z99))</f>
        <v/>
      </c>
      <c r="N99" s="7">
        <f>IF($Z99="","",M99*X99/100)</f>
        <v/>
      </c>
      <c r="O99" s="7">
        <f>IF($Z99="","",SUMIFS('Per Line'!$Y$2:$Y$1001,'Per Line'!$D$2:$D$1001,$B99,'Per Line'!$AP$2:$AP$1001,1))</f>
        <v/>
      </c>
      <c r="P99">
        <f>IF($Z99="","",Settings!$C$7)</f>
        <v/>
      </c>
      <c r="Q99" s="7">
        <f>IF($Z99="","",SUMIFS('Per Line'!$Y$2:$Y$1001,'Per Line'!$D$2:$D$1001,$B99,'Per Line'!$AO$2:$AO$1001,0,'Per Line'!$AP$2:$AP$1001,0))</f>
        <v/>
      </c>
      <c r="R99" s="7">
        <f>IF($Z99="","",Q99*P99)</f>
        <v/>
      </c>
      <c r="S99">
        <f>IF($Z99="","",Settings!$C$6)</f>
        <v/>
      </c>
      <c r="T99" s="7">
        <f>IF($Z99="","",SUMIFS('Per Line'!$Y$2:$Y$1001,'Per Line'!$D$2:$D$1001,$B99,'Per Line'!$AO$2:$AO$1001,1,'Per Line'!$AP$2:$AP$1001,0))</f>
        <v/>
      </c>
      <c r="U99" s="7">
        <f>IF($Z99="","",T99*S99)</f>
        <v/>
      </c>
      <c r="V99" s="7">
        <f>IF($Z99="","",U99+R99)</f>
        <v/>
      </c>
      <c r="W99" s="7">
        <f>IF($Z99="","",X99-V99)</f>
        <v/>
      </c>
      <c r="X99" s="7">
        <f>IF($Z99="","",Q99+T99+O99)</f>
        <v/>
      </c>
      <c r="Y99" s="7">
        <f>IF($Z99="","",X99-V99-N99)</f>
        <v/>
      </c>
      <c r="Z99" s="13">
        <f>IF(ROWS($Z$2:$Z99)&lt;=MAX('Per Line'!$AN$2:$AN$1001),MATCH(ROWS($Z$2:$Z99),'Per Line'!$AN$2:$AN$1001,0),"")</f>
        <v/>
      </c>
    </row>
    <row r="100">
      <c r="A100" s="12" t="n"/>
      <c r="B100">
        <f>IF($Z100="","",INDEX('Per Line'!$D$2:$D$1001,$Z100)&amp;"")</f>
        <v/>
      </c>
      <c r="C100">
        <f>IF($Z100="","",INDEX('Per Line'!$B$2:$B$1001,$Z100)&amp;"")</f>
        <v/>
      </c>
      <c r="D100">
        <f>IF($Z100="","",INDEX('Per Line'!$A$2:$A$1001,$Z100))</f>
        <v/>
      </c>
      <c r="E100">
        <f>IF($Z100="","",INDEX('Per Line'!$E$2:$E$1001,$Z100)&amp;"")</f>
        <v/>
      </c>
      <c r="F100">
        <f>IF($Z100="","",INDEX('Per Line'!$F$2:$F$1001,$Z100)&amp;"")</f>
        <v/>
      </c>
      <c r="G100" s="11">
        <f>IF($Z100="","",INDEX('Per Line'!$G$2:$G$1001,$Z100))</f>
        <v/>
      </c>
      <c r="H100">
        <f>IF($Z100="","",INDEX('Per Line'!$I$2:$I$1001,$Z100)&amp;"")</f>
        <v/>
      </c>
      <c r="I100">
        <f>IF($Z100="","",INDEX('Per Line'!$J$2:$J$1001,$Z100)&amp;"")</f>
        <v/>
      </c>
      <c r="J100">
        <f>IF($Z100="","",INDEX('Per Line'!$K$2:$K$1001,$Z100)&amp;"")</f>
        <v/>
      </c>
      <c r="K100">
        <f>IF($Z100="","",INDEX('Per Line'!$L$2:$L$1001,$Z100)&amp;"")</f>
        <v/>
      </c>
      <c r="L100">
        <f>IF($Z100="","",INDEX('Per Line'!$M$2:$M$1001,$Z100)&amp;"")</f>
        <v/>
      </c>
      <c r="M100">
        <f>IF($Z100="","",INDEX('Per Line'!$P$2:$P$1001,$Z100))</f>
        <v/>
      </c>
      <c r="N100" s="7">
        <f>IF($Z100="","",M100*X100/100)</f>
        <v/>
      </c>
      <c r="O100" s="7">
        <f>IF($Z100="","",SUMIFS('Per Line'!$Y$2:$Y$1001,'Per Line'!$D$2:$D$1001,$B100,'Per Line'!$AP$2:$AP$1001,1))</f>
        <v/>
      </c>
      <c r="P100">
        <f>IF($Z100="","",Settings!$C$7)</f>
        <v/>
      </c>
      <c r="Q100" s="7">
        <f>IF($Z100="","",SUMIFS('Per Line'!$Y$2:$Y$1001,'Per Line'!$D$2:$D$1001,$B100,'Per Line'!$AO$2:$AO$1001,0,'Per Line'!$AP$2:$AP$1001,0))</f>
        <v/>
      </c>
      <c r="R100" s="7">
        <f>IF($Z100="","",Q100*P100)</f>
        <v/>
      </c>
      <c r="S100">
        <f>IF($Z100="","",Settings!$C$6)</f>
        <v/>
      </c>
      <c r="T100" s="7">
        <f>IF($Z100="","",SUMIFS('Per Line'!$Y$2:$Y$1001,'Per Line'!$D$2:$D$1001,$B100,'Per Line'!$AO$2:$AO$1001,1,'Per Line'!$AP$2:$AP$1001,0))</f>
        <v/>
      </c>
      <c r="U100" s="7">
        <f>IF($Z100="","",T100*S100)</f>
        <v/>
      </c>
      <c r="V100" s="7">
        <f>IF($Z100="","",U100+R100)</f>
        <v/>
      </c>
      <c r="W100" s="7">
        <f>IF($Z100="","",X100-V100)</f>
        <v/>
      </c>
      <c r="X100" s="7">
        <f>IF($Z100="","",Q100+T100+O100)</f>
        <v/>
      </c>
      <c r="Y100" s="7">
        <f>IF($Z100="","",X100-V100-N100)</f>
        <v/>
      </c>
      <c r="Z100" s="13">
        <f>IF(ROWS($Z$2:$Z100)&lt;=MAX('Per Line'!$AN$2:$AN$1001),MATCH(ROWS($Z$2:$Z100),'Per Line'!$AN$2:$AN$1001,0),"")</f>
        <v/>
      </c>
    </row>
    <row r="101">
      <c r="A101" s="12" t="n"/>
      <c r="B101">
        <f>IF($Z101="","",INDEX('Per Line'!$D$2:$D$1001,$Z101)&amp;"")</f>
        <v/>
      </c>
      <c r="C101">
        <f>IF($Z101="","",INDEX('Per Line'!$B$2:$B$1001,$Z101)&amp;"")</f>
        <v/>
      </c>
      <c r="D101">
        <f>IF($Z101="","",INDEX('Per Line'!$A$2:$A$1001,$Z101))</f>
        <v/>
      </c>
      <c r="E101">
        <f>IF($Z101="","",INDEX('Per Line'!$E$2:$E$1001,$Z101)&amp;"")</f>
        <v/>
      </c>
      <c r="F101">
        <f>IF($Z101="","",INDEX('Per Line'!$F$2:$F$1001,$Z101)&amp;"")</f>
        <v/>
      </c>
      <c r="G101" s="11">
        <f>IF($Z101="","",INDEX('Per Line'!$G$2:$G$1001,$Z101))</f>
        <v/>
      </c>
      <c r="H101">
        <f>IF($Z101="","",INDEX('Per Line'!$I$2:$I$1001,$Z101)&amp;"")</f>
        <v/>
      </c>
      <c r="I101">
        <f>IF($Z101="","",INDEX('Per Line'!$J$2:$J$1001,$Z101)&amp;"")</f>
        <v/>
      </c>
      <c r="J101">
        <f>IF($Z101="","",INDEX('Per Line'!$K$2:$K$1001,$Z101)&amp;"")</f>
        <v/>
      </c>
      <c r="K101">
        <f>IF($Z101="","",INDEX('Per Line'!$L$2:$L$1001,$Z101)&amp;"")</f>
        <v/>
      </c>
      <c r="L101">
        <f>IF($Z101="","",INDEX('Per Line'!$M$2:$M$1001,$Z101)&amp;"")</f>
        <v/>
      </c>
      <c r="M101">
        <f>IF($Z101="","",INDEX('Per Line'!$P$2:$P$1001,$Z101))</f>
        <v/>
      </c>
      <c r="N101" s="7">
        <f>IF($Z101="","",M101*X101/100)</f>
        <v/>
      </c>
      <c r="O101" s="7">
        <f>IF($Z101="","",SUMIFS('Per Line'!$Y$2:$Y$1001,'Per Line'!$D$2:$D$1001,$B101,'Per Line'!$AP$2:$AP$1001,1))</f>
        <v/>
      </c>
      <c r="P101">
        <f>IF($Z101="","",Settings!$C$7)</f>
        <v/>
      </c>
      <c r="Q101" s="7">
        <f>IF($Z101="","",SUMIFS('Per Line'!$Y$2:$Y$1001,'Per Line'!$D$2:$D$1001,$B101,'Per Line'!$AO$2:$AO$1001,0,'Per Line'!$AP$2:$AP$1001,0))</f>
        <v/>
      </c>
      <c r="R101" s="7">
        <f>IF($Z101="","",Q101*P101)</f>
        <v/>
      </c>
      <c r="S101">
        <f>IF($Z101="","",Settings!$C$6)</f>
        <v/>
      </c>
      <c r="T101" s="7">
        <f>IF($Z101="","",SUMIFS('Per Line'!$Y$2:$Y$1001,'Per Line'!$D$2:$D$1001,$B101,'Per Line'!$AO$2:$AO$1001,1,'Per Line'!$AP$2:$AP$1001,0))</f>
        <v/>
      </c>
      <c r="U101" s="7">
        <f>IF($Z101="","",T101*S101)</f>
        <v/>
      </c>
      <c r="V101" s="7">
        <f>IF($Z101="","",U101+R101)</f>
        <v/>
      </c>
      <c r="W101" s="7">
        <f>IF($Z101="","",X101-V101)</f>
        <v/>
      </c>
      <c r="X101" s="7">
        <f>IF($Z101="","",Q101+T101+O101)</f>
        <v/>
      </c>
      <c r="Y101" s="7">
        <f>IF($Z101="","",X101-V101-N101)</f>
        <v/>
      </c>
      <c r="Z101" s="13">
        <f>IF(ROWS($Z$2:$Z101)&lt;=MAX('Per Line'!$AN$2:$AN$1001),MATCH(ROWS($Z$2:$Z101),'Per Line'!$AN$2:$AN$1001,0),"")</f>
        <v/>
      </c>
    </row>
    <row r="102">
      <c r="A102" s="12" t="n"/>
      <c r="B102">
        <f>IF($Z102="","",INDEX('Per Line'!$D$2:$D$1001,$Z102)&amp;"")</f>
        <v/>
      </c>
      <c r="C102">
        <f>IF($Z102="","",INDEX('Per Line'!$B$2:$B$1001,$Z102)&amp;"")</f>
        <v/>
      </c>
      <c r="D102">
        <f>IF($Z102="","",INDEX('Per Line'!$A$2:$A$1001,$Z102))</f>
        <v/>
      </c>
      <c r="E102">
        <f>IF($Z102="","",INDEX('Per Line'!$E$2:$E$1001,$Z102)&amp;"")</f>
        <v/>
      </c>
      <c r="F102">
        <f>IF($Z102="","",INDEX('Per Line'!$F$2:$F$1001,$Z102)&amp;"")</f>
        <v/>
      </c>
      <c r="G102" s="11">
        <f>IF($Z102="","",INDEX('Per Line'!$G$2:$G$1001,$Z102))</f>
        <v/>
      </c>
      <c r="H102">
        <f>IF($Z102="","",INDEX('Per Line'!$I$2:$I$1001,$Z102)&amp;"")</f>
        <v/>
      </c>
      <c r="I102">
        <f>IF($Z102="","",INDEX('Per Line'!$J$2:$J$1001,$Z102)&amp;"")</f>
        <v/>
      </c>
      <c r="J102">
        <f>IF($Z102="","",INDEX('Per Line'!$K$2:$K$1001,$Z102)&amp;"")</f>
        <v/>
      </c>
      <c r="K102">
        <f>IF($Z102="","",INDEX('Per Line'!$L$2:$L$1001,$Z102)&amp;"")</f>
        <v/>
      </c>
      <c r="L102">
        <f>IF($Z102="","",INDEX('Per Line'!$M$2:$M$1001,$Z102)&amp;"")</f>
        <v/>
      </c>
      <c r="M102">
        <f>IF($Z102="","",INDEX('Per Line'!$P$2:$P$1001,$Z102))</f>
        <v/>
      </c>
      <c r="N102" s="7">
        <f>IF($Z102="","",M102*X102/100)</f>
        <v/>
      </c>
      <c r="O102" s="7">
        <f>IF($Z102="","",SUMIFS('Per Line'!$Y$2:$Y$1001,'Per Line'!$D$2:$D$1001,$B102,'Per Line'!$AP$2:$AP$1001,1))</f>
        <v/>
      </c>
      <c r="P102">
        <f>IF($Z102="","",Settings!$C$7)</f>
        <v/>
      </c>
      <c r="Q102" s="7">
        <f>IF($Z102="","",SUMIFS('Per Line'!$Y$2:$Y$1001,'Per Line'!$D$2:$D$1001,$B102,'Per Line'!$AO$2:$AO$1001,0,'Per Line'!$AP$2:$AP$1001,0))</f>
        <v/>
      </c>
      <c r="R102" s="7">
        <f>IF($Z102="","",Q102*P102)</f>
        <v/>
      </c>
      <c r="S102">
        <f>IF($Z102="","",Settings!$C$6)</f>
        <v/>
      </c>
      <c r="T102" s="7">
        <f>IF($Z102="","",SUMIFS('Per Line'!$Y$2:$Y$1001,'Per Line'!$D$2:$D$1001,$B102,'Per Line'!$AO$2:$AO$1001,1,'Per Line'!$AP$2:$AP$1001,0))</f>
        <v/>
      </c>
      <c r="U102" s="7">
        <f>IF($Z102="","",T102*S102)</f>
        <v/>
      </c>
      <c r="V102" s="7">
        <f>IF($Z102="","",U102+R102)</f>
        <v/>
      </c>
      <c r="W102" s="7">
        <f>IF($Z102="","",X102-V102)</f>
        <v/>
      </c>
      <c r="X102" s="7">
        <f>IF($Z102="","",Q102+T102+O102)</f>
        <v/>
      </c>
      <c r="Y102" s="7">
        <f>IF($Z102="","",X102-V102-N102)</f>
        <v/>
      </c>
      <c r="Z102" s="13">
        <f>IF(ROWS($Z$2:$Z102)&lt;=MAX('Per Line'!$AN$2:$AN$1001),MATCH(ROWS($Z$2:$Z102),'Per Line'!$AN$2:$AN$1001,0),"")</f>
        <v/>
      </c>
    </row>
    <row r="103">
      <c r="A103" s="12" t="n"/>
      <c r="B103">
        <f>IF($Z103="","",INDEX('Per Line'!$D$2:$D$1001,$Z103)&amp;"")</f>
        <v/>
      </c>
      <c r="C103">
        <f>IF($Z103="","",INDEX('Per Line'!$B$2:$B$1001,$Z103)&amp;"")</f>
        <v/>
      </c>
      <c r="D103">
        <f>IF($Z103="","",INDEX('Per Line'!$A$2:$A$1001,$Z103))</f>
        <v/>
      </c>
      <c r="E103">
        <f>IF($Z103="","",INDEX('Per Line'!$E$2:$E$1001,$Z103)&amp;"")</f>
        <v/>
      </c>
      <c r="F103">
        <f>IF($Z103="","",INDEX('Per Line'!$F$2:$F$1001,$Z103)&amp;"")</f>
        <v/>
      </c>
      <c r="G103" s="11">
        <f>IF($Z103="","",INDEX('Per Line'!$G$2:$G$1001,$Z103))</f>
        <v/>
      </c>
      <c r="H103">
        <f>IF($Z103="","",INDEX('Per Line'!$I$2:$I$1001,$Z103)&amp;"")</f>
        <v/>
      </c>
      <c r="I103">
        <f>IF($Z103="","",INDEX('Per Line'!$J$2:$J$1001,$Z103)&amp;"")</f>
        <v/>
      </c>
      <c r="J103">
        <f>IF($Z103="","",INDEX('Per Line'!$K$2:$K$1001,$Z103)&amp;"")</f>
        <v/>
      </c>
      <c r="K103">
        <f>IF($Z103="","",INDEX('Per Line'!$L$2:$L$1001,$Z103)&amp;"")</f>
        <v/>
      </c>
      <c r="L103">
        <f>IF($Z103="","",INDEX('Per Line'!$M$2:$M$1001,$Z103)&amp;"")</f>
        <v/>
      </c>
      <c r="M103">
        <f>IF($Z103="","",INDEX('Per Line'!$P$2:$P$1001,$Z103))</f>
        <v/>
      </c>
      <c r="N103" s="7">
        <f>IF($Z103="","",M103*X103/100)</f>
        <v/>
      </c>
      <c r="O103" s="7">
        <f>IF($Z103="","",SUMIFS('Per Line'!$Y$2:$Y$1001,'Per Line'!$D$2:$D$1001,$B103,'Per Line'!$AP$2:$AP$1001,1))</f>
        <v/>
      </c>
      <c r="P103">
        <f>IF($Z103="","",Settings!$C$7)</f>
        <v/>
      </c>
      <c r="Q103" s="7">
        <f>IF($Z103="","",SUMIFS('Per Line'!$Y$2:$Y$1001,'Per Line'!$D$2:$D$1001,$B103,'Per Line'!$AO$2:$AO$1001,0,'Per Line'!$AP$2:$AP$1001,0))</f>
        <v/>
      </c>
      <c r="R103" s="7">
        <f>IF($Z103="","",Q103*P103)</f>
        <v/>
      </c>
      <c r="S103">
        <f>IF($Z103="","",Settings!$C$6)</f>
        <v/>
      </c>
      <c r="T103" s="7">
        <f>IF($Z103="","",SUMIFS('Per Line'!$Y$2:$Y$1001,'Per Line'!$D$2:$D$1001,$B103,'Per Line'!$AO$2:$AO$1001,1,'Per Line'!$AP$2:$AP$1001,0))</f>
        <v/>
      </c>
      <c r="U103" s="7">
        <f>IF($Z103="","",T103*S103)</f>
        <v/>
      </c>
      <c r="V103" s="7">
        <f>IF($Z103="","",U103+R103)</f>
        <v/>
      </c>
      <c r="W103" s="7">
        <f>IF($Z103="","",X103-V103)</f>
        <v/>
      </c>
      <c r="X103" s="7">
        <f>IF($Z103="","",Q103+T103+O103)</f>
        <v/>
      </c>
      <c r="Y103" s="7">
        <f>IF($Z103="","",X103-V103-N103)</f>
        <v/>
      </c>
      <c r="Z103" s="13">
        <f>IF(ROWS($Z$2:$Z103)&lt;=MAX('Per Line'!$AN$2:$AN$1001),MATCH(ROWS($Z$2:$Z103),'Per Line'!$AN$2:$AN$1001,0),"")</f>
        <v/>
      </c>
    </row>
    <row r="104">
      <c r="A104" s="12" t="n"/>
      <c r="B104">
        <f>IF($Z104="","",INDEX('Per Line'!$D$2:$D$1001,$Z104)&amp;"")</f>
        <v/>
      </c>
      <c r="C104">
        <f>IF($Z104="","",INDEX('Per Line'!$B$2:$B$1001,$Z104)&amp;"")</f>
        <v/>
      </c>
      <c r="D104">
        <f>IF($Z104="","",INDEX('Per Line'!$A$2:$A$1001,$Z104))</f>
        <v/>
      </c>
      <c r="E104">
        <f>IF($Z104="","",INDEX('Per Line'!$E$2:$E$1001,$Z104)&amp;"")</f>
        <v/>
      </c>
      <c r="F104">
        <f>IF($Z104="","",INDEX('Per Line'!$F$2:$F$1001,$Z104)&amp;"")</f>
        <v/>
      </c>
      <c r="G104" s="11">
        <f>IF($Z104="","",INDEX('Per Line'!$G$2:$G$1001,$Z104))</f>
        <v/>
      </c>
      <c r="H104">
        <f>IF($Z104="","",INDEX('Per Line'!$I$2:$I$1001,$Z104)&amp;"")</f>
        <v/>
      </c>
      <c r="I104">
        <f>IF($Z104="","",INDEX('Per Line'!$J$2:$J$1001,$Z104)&amp;"")</f>
        <v/>
      </c>
      <c r="J104">
        <f>IF($Z104="","",INDEX('Per Line'!$K$2:$K$1001,$Z104)&amp;"")</f>
        <v/>
      </c>
      <c r="K104">
        <f>IF($Z104="","",INDEX('Per Line'!$L$2:$L$1001,$Z104)&amp;"")</f>
        <v/>
      </c>
      <c r="L104">
        <f>IF($Z104="","",INDEX('Per Line'!$M$2:$M$1001,$Z104)&amp;"")</f>
        <v/>
      </c>
      <c r="M104">
        <f>IF($Z104="","",INDEX('Per Line'!$P$2:$P$1001,$Z104))</f>
        <v/>
      </c>
      <c r="N104" s="7">
        <f>IF($Z104="","",M104*X104/100)</f>
        <v/>
      </c>
      <c r="O104" s="7">
        <f>IF($Z104="","",SUMIFS('Per Line'!$Y$2:$Y$1001,'Per Line'!$D$2:$D$1001,$B104,'Per Line'!$AP$2:$AP$1001,1))</f>
        <v/>
      </c>
      <c r="P104">
        <f>IF($Z104="","",Settings!$C$7)</f>
        <v/>
      </c>
      <c r="Q104" s="7">
        <f>IF($Z104="","",SUMIFS('Per Line'!$Y$2:$Y$1001,'Per Line'!$D$2:$D$1001,$B104,'Per Line'!$AO$2:$AO$1001,0,'Per Line'!$AP$2:$AP$1001,0))</f>
        <v/>
      </c>
      <c r="R104" s="7">
        <f>IF($Z104="","",Q104*P104)</f>
        <v/>
      </c>
      <c r="S104">
        <f>IF($Z104="","",Settings!$C$6)</f>
        <v/>
      </c>
      <c r="T104" s="7">
        <f>IF($Z104="","",SUMIFS('Per Line'!$Y$2:$Y$1001,'Per Line'!$D$2:$D$1001,$B104,'Per Line'!$AO$2:$AO$1001,1,'Per Line'!$AP$2:$AP$1001,0))</f>
        <v/>
      </c>
      <c r="U104" s="7">
        <f>IF($Z104="","",T104*S104)</f>
        <v/>
      </c>
      <c r="V104" s="7">
        <f>IF($Z104="","",U104+R104)</f>
        <v/>
      </c>
      <c r="W104" s="7">
        <f>IF($Z104="","",X104-V104)</f>
        <v/>
      </c>
      <c r="X104" s="7">
        <f>IF($Z104="","",Q104+T104+O104)</f>
        <v/>
      </c>
      <c r="Y104" s="7">
        <f>IF($Z104="","",X104-V104-N104)</f>
        <v/>
      </c>
      <c r="Z104" s="13">
        <f>IF(ROWS($Z$2:$Z104)&lt;=MAX('Per Line'!$AN$2:$AN$1001),MATCH(ROWS($Z$2:$Z104),'Per Line'!$AN$2:$AN$1001,0),"")</f>
        <v/>
      </c>
    </row>
    <row r="105">
      <c r="A105" s="12" t="n"/>
      <c r="B105">
        <f>IF($Z105="","",INDEX('Per Line'!$D$2:$D$1001,$Z105)&amp;"")</f>
        <v/>
      </c>
      <c r="C105">
        <f>IF($Z105="","",INDEX('Per Line'!$B$2:$B$1001,$Z105)&amp;"")</f>
        <v/>
      </c>
      <c r="D105">
        <f>IF($Z105="","",INDEX('Per Line'!$A$2:$A$1001,$Z105))</f>
        <v/>
      </c>
      <c r="E105">
        <f>IF($Z105="","",INDEX('Per Line'!$E$2:$E$1001,$Z105)&amp;"")</f>
        <v/>
      </c>
      <c r="F105">
        <f>IF($Z105="","",INDEX('Per Line'!$F$2:$F$1001,$Z105)&amp;"")</f>
        <v/>
      </c>
      <c r="G105" s="11">
        <f>IF($Z105="","",INDEX('Per Line'!$G$2:$G$1001,$Z105))</f>
        <v/>
      </c>
      <c r="H105">
        <f>IF($Z105="","",INDEX('Per Line'!$I$2:$I$1001,$Z105)&amp;"")</f>
        <v/>
      </c>
      <c r="I105">
        <f>IF($Z105="","",INDEX('Per Line'!$J$2:$J$1001,$Z105)&amp;"")</f>
        <v/>
      </c>
      <c r="J105">
        <f>IF($Z105="","",INDEX('Per Line'!$K$2:$K$1001,$Z105)&amp;"")</f>
        <v/>
      </c>
      <c r="K105">
        <f>IF($Z105="","",INDEX('Per Line'!$L$2:$L$1001,$Z105)&amp;"")</f>
        <v/>
      </c>
      <c r="L105">
        <f>IF($Z105="","",INDEX('Per Line'!$M$2:$M$1001,$Z105)&amp;"")</f>
        <v/>
      </c>
      <c r="M105">
        <f>IF($Z105="","",INDEX('Per Line'!$P$2:$P$1001,$Z105))</f>
        <v/>
      </c>
      <c r="N105" s="7">
        <f>IF($Z105="","",M105*X105/100)</f>
        <v/>
      </c>
      <c r="O105" s="7">
        <f>IF($Z105="","",SUMIFS('Per Line'!$Y$2:$Y$1001,'Per Line'!$D$2:$D$1001,$B105,'Per Line'!$AP$2:$AP$1001,1))</f>
        <v/>
      </c>
      <c r="P105">
        <f>IF($Z105="","",Settings!$C$7)</f>
        <v/>
      </c>
      <c r="Q105" s="7">
        <f>IF($Z105="","",SUMIFS('Per Line'!$Y$2:$Y$1001,'Per Line'!$D$2:$D$1001,$B105,'Per Line'!$AO$2:$AO$1001,0,'Per Line'!$AP$2:$AP$1001,0))</f>
        <v/>
      </c>
      <c r="R105" s="7">
        <f>IF($Z105="","",Q105*P105)</f>
        <v/>
      </c>
      <c r="S105">
        <f>IF($Z105="","",Settings!$C$6)</f>
        <v/>
      </c>
      <c r="T105" s="7">
        <f>IF($Z105="","",SUMIFS('Per Line'!$Y$2:$Y$1001,'Per Line'!$D$2:$D$1001,$B105,'Per Line'!$AO$2:$AO$1001,1,'Per Line'!$AP$2:$AP$1001,0))</f>
        <v/>
      </c>
      <c r="U105" s="7">
        <f>IF($Z105="","",T105*S105)</f>
        <v/>
      </c>
      <c r="V105" s="7">
        <f>IF($Z105="","",U105+R105)</f>
        <v/>
      </c>
      <c r="W105" s="7">
        <f>IF($Z105="","",X105-V105)</f>
        <v/>
      </c>
      <c r="X105" s="7">
        <f>IF($Z105="","",Q105+T105+O105)</f>
        <v/>
      </c>
      <c r="Y105" s="7">
        <f>IF($Z105="","",X105-V105-N105)</f>
        <v/>
      </c>
      <c r="Z105" s="13">
        <f>IF(ROWS($Z$2:$Z105)&lt;=MAX('Per Line'!$AN$2:$AN$1001),MATCH(ROWS($Z$2:$Z105),'Per Line'!$AN$2:$AN$1001,0),"")</f>
        <v/>
      </c>
    </row>
    <row r="106">
      <c r="A106" s="12" t="n"/>
      <c r="B106">
        <f>IF($Z106="","",INDEX('Per Line'!$D$2:$D$1001,$Z106)&amp;"")</f>
        <v/>
      </c>
      <c r="C106">
        <f>IF($Z106="","",INDEX('Per Line'!$B$2:$B$1001,$Z106)&amp;"")</f>
        <v/>
      </c>
      <c r="D106">
        <f>IF($Z106="","",INDEX('Per Line'!$A$2:$A$1001,$Z106))</f>
        <v/>
      </c>
      <c r="E106">
        <f>IF($Z106="","",INDEX('Per Line'!$E$2:$E$1001,$Z106)&amp;"")</f>
        <v/>
      </c>
      <c r="F106">
        <f>IF($Z106="","",INDEX('Per Line'!$F$2:$F$1001,$Z106)&amp;"")</f>
        <v/>
      </c>
      <c r="G106" s="11">
        <f>IF($Z106="","",INDEX('Per Line'!$G$2:$G$1001,$Z106))</f>
        <v/>
      </c>
      <c r="H106">
        <f>IF($Z106="","",INDEX('Per Line'!$I$2:$I$1001,$Z106)&amp;"")</f>
        <v/>
      </c>
      <c r="I106">
        <f>IF($Z106="","",INDEX('Per Line'!$J$2:$J$1001,$Z106)&amp;"")</f>
        <v/>
      </c>
      <c r="J106">
        <f>IF($Z106="","",INDEX('Per Line'!$K$2:$K$1001,$Z106)&amp;"")</f>
        <v/>
      </c>
      <c r="K106">
        <f>IF($Z106="","",INDEX('Per Line'!$L$2:$L$1001,$Z106)&amp;"")</f>
        <v/>
      </c>
      <c r="L106">
        <f>IF($Z106="","",INDEX('Per Line'!$M$2:$M$1001,$Z106)&amp;"")</f>
        <v/>
      </c>
      <c r="M106">
        <f>IF($Z106="","",INDEX('Per Line'!$P$2:$P$1001,$Z106))</f>
        <v/>
      </c>
      <c r="N106" s="7">
        <f>IF($Z106="","",M106*X106/100)</f>
        <v/>
      </c>
      <c r="O106" s="7">
        <f>IF($Z106="","",SUMIFS('Per Line'!$Y$2:$Y$1001,'Per Line'!$D$2:$D$1001,$B106,'Per Line'!$AP$2:$AP$1001,1))</f>
        <v/>
      </c>
      <c r="P106">
        <f>IF($Z106="","",Settings!$C$7)</f>
        <v/>
      </c>
      <c r="Q106" s="7">
        <f>IF($Z106="","",SUMIFS('Per Line'!$Y$2:$Y$1001,'Per Line'!$D$2:$D$1001,$B106,'Per Line'!$AO$2:$AO$1001,0,'Per Line'!$AP$2:$AP$1001,0))</f>
        <v/>
      </c>
      <c r="R106" s="7">
        <f>IF($Z106="","",Q106*P106)</f>
        <v/>
      </c>
      <c r="S106">
        <f>IF($Z106="","",Settings!$C$6)</f>
        <v/>
      </c>
      <c r="T106" s="7">
        <f>IF($Z106="","",SUMIFS('Per Line'!$Y$2:$Y$1001,'Per Line'!$D$2:$D$1001,$B106,'Per Line'!$AO$2:$AO$1001,1,'Per Line'!$AP$2:$AP$1001,0))</f>
        <v/>
      </c>
      <c r="U106" s="7">
        <f>IF($Z106="","",T106*S106)</f>
        <v/>
      </c>
      <c r="V106" s="7">
        <f>IF($Z106="","",U106+R106)</f>
        <v/>
      </c>
      <c r="W106" s="7">
        <f>IF($Z106="","",X106-V106)</f>
        <v/>
      </c>
      <c r="X106" s="7">
        <f>IF($Z106="","",Q106+T106+O106)</f>
        <v/>
      </c>
      <c r="Y106" s="7">
        <f>IF($Z106="","",X106-V106-N106)</f>
        <v/>
      </c>
      <c r="Z106" s="13">
        <f>IF(ROWS($Z$2:$Z106)&lt;=MAX('Per Line'!$AN$2:$AN$1001),MATCH(ROWS($Z$2:$Z106),'Per Line'!$AN$2:$AN$1001,0),"")</f>
        <v/>
      </c>
    </row>
    <row r="107">
      <c r="A107" s="12" t="n"/>
      <c r="B107">
        <f>IF($Z107="","",INDEX('Per Line'!$D$2:$D$1001,$Z107)&amp;"")</f>
        <v/>
      </c>
      <c r="C107">
        <f>IF($Z107="","",INDEX('Per Line'!$B$2:$B$1001,$Z107)&amp;"")</f>
        <v/>
      </c>
      <c r="D107">
        <f>IF($Z107="","",INDEX('Per Line'!$A$2:$A$1001,$Z107))</f>
        <v/>
      </c>
      <c r="E107">
        <f>IF($Z107="","",INDEX('Per Line'!$E$2:$E$1001,$Z107)&amp;"")</f>
        <v/>
      </c>
      <c r="F107">
        <f>IF($Z107="","",INDEX('Per Line'!$F$2:$F$1001,$Z107)&amp;"")</f>
        <v/>
      </c>
      <c r="G107" s="11">
        <f>IF($Z107="","",INDEX('Per Line'!$G$2:$G$1001,$Z107))</f>
        <v/>
      </c>
      <c r="H107">
        <f>IF($Z107="","",INDEX('Per Line'!$I$2:$I$1001,$Z107)&amp;"")</f>
        <v/>
      </c>
      <c r="I107">
        <f>IF($Z107="","",INDEX('Per Line'!$J$2:$J$1001,$Z107)&amp;"")</f>
        <v/>
      </c>
      <c r="J107">
        <f>IF($Z107="","",INDEX('Per Line'!$K$2:$K$1001,$Z107)&amp;"")</f>
        <v/>
      </c>
      <c r="K107">
        <f>IF($Z107="","",INDEX('Per Line'!$L$2:$L$1001,$Z107)&amp;"")</f>
        <v/>
      </c>
      <c r="L107">
        <f>IF($Z107="","",INDEX('Per Line'!$M$2:$M$1001,$Z107)&amp;"")</f>
        <v/>
      </c>
      <c r="M107">
        <f>IF($Z107="","",INDEX('Per Line'!$P$2:$P$1001,$Z107))</f>
        <v/>
      </c>
      <c r="N107" s="7">
        <f>IF($Z107="","",M107*X107/100)</f>
        <v/>
      </c>
      <c r="O107" s="7">
        <f>IF($Z107="","",SUMIFS('Per Line'!$Y$2:$Y$1001,'Per Line'!$D$2:$D$1001,$B107,'Per Line'!$AP$2:$AP$1001,1))</f>
        <v/>
      </c>
      <c r="P107">
        <f>IF($Z107="","",Settings!$C$7)</f>
        <v/>
      </c>
      <c r="Q107" s="7">
        <f>IF($Z107="","",SUMIFS('Per Line'!$Y$2:$Y$1001,'Per Line'!$D$2:$D$1001,$B107,'Per Line'!$AO$2:$AO$1001,0,'Per Line'!$AP$2:$AP$1001,0))</f>
        <v/>
      </c>
      <c r="R107" s="7">
        <f>IF($Z107="","",Q107*P107)</f>
        <v/>
      </c>
      <c r="S107">
        <f>IF($Z107="","",Settings!$C$6)</f>
        <v/>
      </c>
      <c r="T107" s="7">
        <f>IF($Z107="","",SUMIFS('Per Line'!$Y$2:$Y$1001,'Per Line'!$D$2:$D$1001,$B107,'Per Line'!$AO$2:$AO$1001,1,'Per Line'!$AP$2:$AP$1001,0))</f>
        <v/>
      </c>
      <c r="U107" s="7">
        <f>IF($Z107="","",T107*S107)</f>
        <v/>
      </c>
      <c r="V107" s="7">
        <f>IF($Z107="","",U107+R107)</f>
        <v/>
      </c>
      <c r="W107" s="7">
        <f>IF($Z107="","",X107-V107)</f>
        <v/>
      </c>
      <c r="X107" s="7">
        <f>IF($Z107="","",Q107+T107+O107)</f>
        <v/>
      </c>
      <c r="Y107" s="7">
        <f>IF($Z107="","",X107-V107-N107)</f>
        <v/>
      </c>
      <c r="Z107" s="13">
        <f>IF(ROWS($Z$2:$Z107)&lt;=MAX('Per Line'!$AN$2:$AN$1001),MATCH(ROWS($Z$2:$Z107),'Per Line'!$AN$2:$AN$1001,0),"")</f>
        <v/>
      </c>
    </row>
    <row r="108">
      <c r="A108" s="12" t="n"/>
      <c r="B108">
        <f>IF($Z108="","",INDEX('Per Line'!$D$2:$D$1001,$Z108)&amp;"")</f>
        <v/>
      </c>
      <c r="C108">
        <f>IF($Z108="","",INDEX('Per Line'!$B$2:$B$1001,$Z108)&amp;"")</f>
        <v/>
      </c>
      <c r="D108">
        <f>IF($Z108="","",INDEX('Per Line'!$A$2:$A$1001,$Z108))</f>
        <v/>
      </c>
      <c r="E108">
        <f>IF($Z108="","",INDEX('Per Line'!$E$2:$E$1001,$Z108)&amp;"")</f>
        <v/>
      </c>
      <c r="F108">
        <f>IF($Z108="","",INDEX('Per Line'!$F$2:$F$1001,$Z108)&amp;"")</f>
        <v/>
      </c>
      <c r="G108" s="11">
        <f>IF($Z108="","",INDEX('Per Line'!$G$2:$G$1001,$Z108))</f>
        <v/>
      </c>
      <c r="H108">
        <f>IF($Z108="","",INDEX('Per Line'!$I$2:$I$1001,$Z108)&amp;"")</f>
        <v/>
      </c>
      <c r="I108">
        <f>IF($Z108="","",INDEX('Per Line'!$J$2:$J$1001,$Z108)&amp;"")</f>
        <v/>
      </c>
      <c r="J108">
        <f>IF($Z108="","",INDEX('Per Line'!$K$2:$K$1001,$Z108)&amp;"")</f>
        <v/>
      </c>
      <c r="K108">
        <f>IF($Z108="","",INDEX('Per Line'!$L$2:$L$1001,$Z108)&amp;"")</f>
        <v/>
      </c>
      <c r="L108">
        <f>IF($Z108="","",INDEX('Per Line'!$M$2:$M$1001,$Z108)&amp;"")</f>
        <v/>
      </c>
      <c r="M108">
        <f>IF($Z108="","",INDEX('Per Line'!$P$2:$P$1001,$Z108))</f>
        <v/>
      </c>
      <c r="N108" s="7">
        <f>IF($Z108="","",M108*X108/100)</f>
        <v/>
      </c>
      <c r="O108" s="7">
        <f>IF($Z108="","",SUMIFS('Per Line'!$Y$2:$Y$1001,'Per Line'!$D$2:$D$1001,$B108,'Per Line'!$AP$2:$AP$1001,1))</f>
        <v/>
      </c>
      <c r="P108">
        <f>IF($Z108="","",Settings!$C$7)</f>
        <v/>
      </c>
      <c r="Q108" s="7">
        <f>IF($Z108="","",SUMIFS('Per Line'!$Y$2:$Y$1001,'Per Line'!$D$2:$D$1001,$B108,'Per Line'!$AO$2:$AO$1001,0,'Per Line'!$AP$2:$AP$1001,0))</f>
        <v/>
      </c>
      <c r="R108" s="7">
        <f>IF($Z108="","",Q108*P108)</f>
        <v/>
      </c>
      <c r="S108">
        <f>IF($Z108="","",Settings!$C$6)</f>
        <v/>
      </c>
      <c r="T108" s="7">
        <f>IF($Z108="","",SUMIFS('Per Line'!$Y$2:$Y$1001,'Per Line'!$D$2:$D$1001,$B108,'Per Line'!$AO$2:$AO$1001,1,'Per Line'!$AP$2:$AP$1001,0))</f>
        <v/>
      </c>
      <c r="U108" s="7">
        <f>IF($Z108="","",T108*S108)</f>
        <v/>
      </c>
      <c r="V108" s="7">
        <f>IF($Z108="","",U108+R108)</f>
        <v/>
      </c>
      <c r="W108" s="7">
        <f>IF($Z108="","",X108-V108)</f>
        <v/>
      </c>
      <c r="X108" s="7">
        <f>IF($Z108="","",Q108+T108+O108)</f>
        <v/>
      </c>
      <c r="Y108" s="7">
        <f>IF($Z108="","",X108-V108-N108)</f>
        <v/>
      </c>
      <c r="Z108" s="13">
        <f>IF(ROWS($Z$2:$Z108)&lt;=MAX('Per Line'!$AN$2:$AN$1001),MATCH(ROWS($Z$2:$Z108),'Per Line'!$AN$2:$AN$1001,0),"")</f>
        <v/>
      </c>
    </row>
    <row r="109">
      <c r="A109" s="12" t="n"/>
      <c r="B109">
        <f>IF($Z109="","",INDEX('Per Line'!$D$2:$D$1001,$Z109)&amp;"")</f>
        <v/>
      </c>
      <c r="C109">
        <f>IF($Z109="","",INDEX('Per Line'!$B$2:$B$1001,$Z109)&amp;"")</f>
        <v/>
      </c>
      <c r="D109">
        <f>IF($Z109="","",INDEX('Per Line'!$A$2:$A$1001,$Z109))</f>
        <v/>
      </c>
      <c r="E109">
        <f>IF($Z109="","",INDEX('Per Line'!$E$2:$E$1001,$Z109)&amp;"")</f>
        <v/>
      </c>
      <c r="F109">
        <f>IF($Z109="","",INDEX('Per Line'!$F$2:$F$1001,$Z109)&amp;"")</f>
        <v/>
      </c>
      <c r="G109" s="11">
        <f>IF($Z109="","",INDEX('Per Line'!$G$2:$G$1001,$Z109))</f>
        <v/>
      </c>
      <c r="H109">
        <f>IF($Z109="","",INDEX('Per Line'!$I$2:$I$1001,$Z109)&amp;"")</f>
        <v/>
      </c>
      <c r="I109">
        <f>IF($Z109="","",INDEX('Per Line'!$J$2:$J$1001,$Z109)&amp;"")</f>
        <v/>
      </c>
      <c r="J109">
        <f>IF($Z109="","",INDEX('Per Line'!$K$2:$K$1001,$Z109)&amp;"")</f>
        <v/>
      </c>
      <c r="K109">
        <f>IF($Z109="","",INDEX('Per Line'!$L$2:$L$1001,$Z109)&amp;"")</f>
        <v/>
      </c>
      <c r="L109">
        <f>IF($Z109="","",INDEX('Per Line'!$M$2:$M$1001,$Z109)&amp;"")</f>
        <v/>
      </c>
      <c r="M109">
        <f>IF($Z109="","",INDEX('Per Line'!$P$2:$P$1001,$Z109))</f>
        <v/>
      </c>
      <c r="N109" s="7">
        <f>IF($Z109="","",M109*X109/100)</f>
        <v/>
      </c>
      <c r="O109" s="7">
        <f>IF($Z109="","",SUMIFS('Per Line'!$Y$2:$Y$1001,'Per Line'!$D$2:$D$1001,$B109,'Per Line'!$AP$2:$AP$1001,1))</f>
        <v/>
      </c>
      <c r="P109">
        <f>IF($Z109="","",Settings!$C$7)</f>
        <v/>
      </c>
      <c r="Q109" s="7">
        <f>IF($Z109="","",SUMIFS('Per Line'!$Y$2:$Y$1001,'Per Line'!$D$2:$D$1001,$B109,'Per Line'!$AO$2:$AO$1001,0,'Per Line'!$AP$2:$AP$1001,0))</f>
        <v/>
      </c>
      <c r="R109" s="7">
        <f>IF($Z109="","",Q109*P109)</f>
        <v/>
      </c>
      <c r="S109">
        <f>IF($Z109="","",Settings!$C$6)</f>
        <v/>
      </c>
      <c r="T109" s="7">
        <f>IF($Z109="","",SUMIFS('Per Line'!$Y$2:$Y$1001,'Per Line'!$D$2:$D$1001,$B109,'Per Line'!$AO$2:$AO$1001,1,'Per Line'!$AP$2:$AP$1001,0))</f>
        <v/>
      </c>
      <c r="U109" s="7">
        <f>IF($Z109="","",T109*S109)</f>
        <v/>
      </c>
      <c r="V109" s="7">
        <f>IF($Z109="","",U109+R109)</f>
        <v/>
      </c>
      <c r="W109" s="7">
        <f>IF($Z109="","",X109-V109)</f>
        <v/>
      </c>
      <c r="X109" s="7">
        <f>IF($Z109="","",Q109+T109+O109)</f>
        <v/>
      </c>
      <c r="Y109" s="7">
        <f>IF($Z109="","",X109-V109-N109)</f>
        <v/>
      </c>
      <c r="Z109" s="13">
        <f>IF(ROWS($Z$2:$Z109)&lt;=MAX('Per Line'!$AN$2:$AN$1001),MATCH(ROWS($Z$2:$Z109),'Per Line'!$AN$2:$AN$1001,0),"")</f>
        <v/>
      </c>
    </row>
    <row r="110">
      <c r="A110" s="12" t="n"/>
      <c r="B110">
        <f>IF($Z110="","",INDEX('Per Line'!$D$2:$D$1001,$Z110)&amp;"")</f>
        <v/>
      </c>
      <c r="C110">
        <f>IF($Z110="","",INDEX('Per Line'!$B$2:$B$1001,$Z110)&amp;"")</f>
        <v/>
      </c>
      <c r="D110">
        <f>IF($Z110="","",INDEX('Per Line'!$A$2:$A$1001,$Z110))</f>
        <v/>
      </c>
      <c r="E110">
        <f>IF($Z110="","",INDEX('Per Line'!$E$2:$E$1001,$Z110)&amp;"")</f>
        <v/>
      </c>
      <c r="F110">
        <f>IF($Z110="","",INDEX('Per Line'!$F$2:$F$1001,$Z110)&amp;"")</f>
        <v/>
      </c>
      <c r="G110" s="11">
        <f>IF($Z110="","",INDEX('Per Line'!$G$2:$G$1001,$Z110))</f>
        <v/>
      </c>
      <c r="H110">
        <f>IF($Z110="","",INDEX('Per Line'!$I$2:$I$1001,$Z110)&amp;"")</f>
        <v/>
      </c>
      <c r="I110">
        <f>IF($Z110="","",INDEX('Per Line'!$J$2:$J$1001,$Z110)&amp;"")</f>
        <v/>
      </c>
      <c r="J110">
        <f>IF($Z110="","",INDEX('Per Line'!$K$2:$K$1001,$Z110)&amp;"")</f>
        <v/>
      </c>
      <c r="K110">
        <f>IF($Z110="","",INDEX('Per Line'!$L$2:$L$1001,$Z110)&amp;"")</f>
        <v/>
      </c>
      <c r="L110">
        <f>IF($Z110="","",INDEX('Per Line'!$M$2:$M$1001,$Z110)&amp;"")</f>
        <v/>
      </c>
      <c r="M110">
        <f>IF($Z110="","",INDEX('Per Line'!$P$2:$P$1001,$Z110))</f>
        <v/>
      </c>
      <c r="N110" s="7">
        <f>IF($Z110="","",M110*X110/100)</f>
        <v/>
      </c>
      <c r="O110" s="7">
        <f>IF($Z110="","",SUMIFS('Per Line'!$Y$2:$Y$1001,'Per Line'!$D$2:$D$1001,$B110,'Per Line'!$AP$2:$AP$1001,1))</f>
        <v/>
      </c>
      <c r="P110">
        <f>IF($Z110="","",Settings!$C$7)</f>
        <v/>
      </c>
      <c r="Q110" s="7">
        <f>IF($Z110="","",SUMIFS('Per Line'!$Y$2:$Y$1001,'Per Line'!$D$2:$D$1001,$B110,'Per Line'!$AO$2:$AO$1001,0,'Per Line'!$AP$2:$AP$1001,0))</f>
        <v/>
      </c>
      <c r="R110" s="7">
        <f>IF($Z110="","",Q110*P110)</f>
        <v/>
      </c>
      <c r="S110">
        <f>IF($Z110="","",Settings!$C$6)</f>
        <v/>
      </c>
      <c r="T110" s="7">
        <f>IF($Z110="","",SUMIFS('Per Line'!$Y$2:$Y$1001,'Per Line'!$D$2:$D$1001,$B110,'Per Line'!$AO$2:$AO$1001,1,'Per Line'!$AP$2:$AP$1001,0))</f>
        <v/>
      </c>
      <c r="U110" s="7">
        <f>IF($Z110="","",T110*S110)</f>
        <v/>
      </c>
      <c r="V110" s="7">
        <f>IF($Z110="","",U110+R110)</f>
        <v/>
      </c>
      <c r="W110" s="7">
        <f>IF($Z110="","",X110-V110)</f>
        <v/>
      </c>
      <c r="X110" s="7">
        <f>IF($Z110="","",Q110+T110+O110)</f>
        <v/>
      </c>
      <c r="Y110" s="7">
        <f>IF($Z110="","",X110-V110-N110)</f>
        <v/>
      </c>
      <c r="Z110" s="13">
        <f>IF(ROWS($Z$2:$Z110)&lt;=MAX('Per Line'!$AN$2:$AN$1001),MATCH(ROWS($Z$2:$Z110),'Per Line'!$AN$2:$AN$1001,0),"")</f>
        <v/>
      </c>
    </row>
    <row r="111">
      <c r="A111" s="12" t="n"/>
      <c r="B111">
        <f>IF($Z111="","",INDEX('Per Line'!$D$2:$D$1001,$Z111)&amp;"")</f>
        <v/>
      </c>
      <c r="C111">
        <f>IF($Z111="","",INDEX('Per Line'!$B$2:$B$1001,$Z111)&amp;"")</f>
        <v/>
      </c>
      <c r="D111">
        <f>IF($Z111="","",INDEX('Per Line'!$A$2:$A$1001,$Z111))</f>
        <v/>
      </c>
      <c r="E111">
        <f>IF($Z111="","",INDEX('Per Line'!$E$2:$E$1001,$Z111)&amp;"")</f>
        <v/>
      </c>
      <c r="F111">
        <f>IF($Z111="","",INDEX('Per Line'!$F$2:$F$1001,$Z111)&amp;"")</f>
        <v/>
      </c>
      <c r="G111" s="11">
        <f>IF($Z111="","",INDEX('Per Line'!$G$2:$G$1001,$Z111))</f>
        <v/>
      </c>
      <c r="H111">
        <f>IF($Z111="","",INDEX('Per Line'!$I$2:$I$1001,$Z111)&amp;"")</f>
        <v/>
      </c>
      <c r="I111">
        <f>IF($Z111="","",INDEX('Per Line'!$J$2:$J$1001,$Z111)&amp;"")</f>
        <v/>
      </c>
      <c r="J111">
        <f>IF($Z111="","",INDEX('Per Line'!$K$2:$K$1001,$Z111)&amp;"")</f>
        <v/>
      </c>
      <c r="K111">
        <f>IF($Z111="","",INDEX('Per Line'!$L$2:$L$1001,$Z111)&amp;"")</f>
        <v/>
      </c>
      <c r="L111">
        <f>IF($Z111="","",INDEX('Per Line'!$M$2:$M$1001,$Z111)&amp;"")</f>
        <v/>
      </c>
      <c r="M111">
        <f>IF($Z111="","",INDEX('Per Line'!$P$2:$P$1001,$Z111))</f>
        <v/>
      </c>
      <c r="N111" s="7">
        <f>IF($Z111="","",M111*X111/100)</f>
        <v/>
      </c>
      <c r="O111" s="7">
        <f>IF($Z111="","",SUMIFS('Per Line'!$Y$2:$Y$1001,'Per Line'!$D$2:$D$1001,$B111,'Per Line'!$AP$2:$AP$1001,1))</f>
        <v/>
      </c>
      <c r="P111">
        <f>IF($Z111="","",Settings!$C$7)</f>
        <v/>
      </c>
      <c r="Q111" s="7">
        <f>IF($Z111="","",SUMIFS('Per Line'!$Y$2:$Y$1001,'Per Line'!$D$2:$D$1001,$B111,'Per Line'!$AO$2:$AO$1001,0,'Per Line'!$AP$2:$AP$1001,0))</f>
        <v/>
      </c>
      <c r="R111" s="7">
        <f>IF($Z111="","",Q111*P111)</f>
        <v/>
      </c>
      <c r="S111">
        <f>IF($Z111="","",Settings!$C$6)</f>
        <v/>
      </c>
      <c r="T111" s="7">
        <f>IF($Z111="","",SUMIFS('Per Line'!$Y$2:$Y$1001,'Per Line'!$D$2:$D$1001,$B111,'Per Line'!$AO$2:$AO$1001,1,'Per Line'!$AP$2:$AP$1001,0))</f>
        <v/>
      </c>
      <c r="U111" s="7">
        <f>IF($Z111="","",T111*S111)</f>
        <v/>
      </c>
      <c r="V111" s="7">
        <f>IF($Z111="","",U111+R111)</f>
        <v/>
      </c>
      <c r="W111" s="7">
        <f>IF($Z111="","",X111-V111)</f>
        <v/>
      </c>
      <c r="X111" s="7">
        <f>IF($Z111="","",Q111+T111+O111)</f>
        <v/>
      </c>
      <c r="Y111" s="7">
        <f>IF($Z111="","",X111-V111-N111)</f>
        <v/>
      </c>
      <c r="Z111" s="13">
        <f>IF(ROWS($Z$2:$Z111)&lt;=MAX('Per Line'!$AN$2:$AN$1001),MATCH(ROWS($Z$2:$Z111),'Per Line'!$AN$2:$AN$1001,0),"")</f>
        <v/>
      </c>
    </row>
    <row r="112">
      <c r="A112" s="12" t="n"/>
      <c r="B112">
        <f>IF($Z112="","",INDEX('Per Line'!$D$2:$D$1001,$Z112)&amp;"")</f>
        <v/>
      </c>
      <c r="C112">
        <f>IF($Z112="","",INDEX('Per Line'!$B$2:$B$1001,$Z112)&amp;"")</f>
        <v/>
      </c>
      <c r="D112">
        <f>IF($Z112="","",INDEX('Per Line'!$A$2:$A$1001,$Z112))</f>
        <v/>
      </c>
      <c r="E112">
        <f>IF($Z112="","",INDEX('Per Line'!$E$2:$E$1001,$Z112)&amp;"")</f>
        <v/>
      </c>
      <c r="F112">
        <f>IF($Z112="","",INDEX('Per Line'!$F$2:$F$1001,$Z112)&amp;"")</f>
        <v/>
      </c>
      <c r="G112" s="11">
        <f>IF($Z112="","",INDEX('Per Line'!$G$2:$G$1001,$Z112))</f>
        <v/>
      </c>
      <c r="H112">
        <f>IF($Z112="","",INDEX('Per Line'!$I$2:$I$1001,$Z112)&amp;"")</f>
        <v/>
      </c>
      <c r="I112">
        <f>IF($Z112="","",INDEX('Per Line'!$J$2:$J$1001,$Z112)&amp;"")</f>
        <v/>
      </c>
      <c r="J112">
        <f>IF($Z112="","",INDEX('Per Line'!$K$2:$K$1001,$Z112)&amp;"")</f>
        <v/>
      </c>
      <c r="K112">
        <f>IF($Z112="","",INDEX('Per Line'!$L$2:$L$1001,$Z112)&amp;"")</f>
        <v/>
      </c>
      <c r="L112">
        <f>IF($Z112="","",INDEX('Per Line'!$M$2:$M$1001,$Z112)&amp;"")</f>
        <v/>
      </c>
      <c r="M112">
        <f>IF($Z112="","",INDEX('Per Line'!$P$2:$P$1001,$Z112))</f>
        <v/>
      </c>
      <c r="N112" s="7">
        <f>IF($Z112="","",M112*X112/100)</f>
        <v/>
      </c>
      <c r="O112" s="7">
        <f>IF($Z112="","",SUMIFS('Per Line'!$Y$2:$Y$1001,'Per Line'!$D$2:$D$1001,$B112,'Per Line'!$AP$2:$AP$1001,1))</f>
        <v/>
      </c>
      <c r="P112">
        <f>IF($Z112="","",Settings!$C$7)</f>
        <v/>
      </c>
      <c r="Q112" s="7">
        <f>IF($Z112="","",SUMIFS('Per Line'!$Y$2:$Y$1001,'Per Line'!$D$2:$D$1001,$B112,'Per Line'!$AO$2:$AO$1001,0,'Per Line'!$AP$2:$AP$1001,0))</f>
        <v/>
      </c>
      <c r="R112" s="7">
        <f>IF($Z112="","",Q112*P112)</f>
        <v/>
      </c>
      <c r="S112">
        <f>IF($Z112="","",Settings!$C$6)</f>
        <v/>
      </c>
      <c r="T112" s="7">
        <f>IF($Z112="","",SUMIFS('Per Line'!$Y$2:$Y$1001,'Per Line'!$D$2:$D$1001,$B112,'Per Line'!$AO$2:$AO$1001,1,'Per Line'!$AP$2:$AP$1001,0))</f>
        <v/>
      </c>
      <c r="U112" s="7">
        <f>IF($Z112="","",T112*S112)</f>
        <v/>
      </c>
      <c r="V112" s="7">
        <f>IF($Z112="","",U112+R112)</f>
        <v/>
      </c>
      <c r="W112" s="7">
        <f>IF($Z112="","",X112-V112)</f>
        <v/>
      </c>
      <c r="X112" s="7">
        <f>IF($Z112="","",Q112+T112+O112)</f>
        <v/>
      </c>
      <c r="Y112" s="7">
        <f>IF($Z112="","",X112-V112-N112)</f>
        <v/>
      </c>
      <c r="Z112" s="13">
        <f>IF(ROWS($Z$2:$Z112)&lt;=MAX('Per Line'!$AN$2:$AN$1001),MATCH(ROWS($Z$2:$Z112),'Per Line'!$AN$2:$AN$1001,0),"")</f>
        <v/>
      </c>
    </row>
    <row r="113">
      <c r="A113" s="12" t="n"/>
      <c r="B113">
        <f>IF($Z113="","",INDEX('Per Line'!$D$2:$D$1001,$Z113)&amp;"")</f>
        <v/>
      </c>
      <c r="C113">
        <f>IF($Z113="","",INDEX('Per Line'!$B$2:$B$1001,$Z113)&amp;"")</f>
        <v/>
      </c>
      <c r="D113">
        <f>IF($Z113="","",INDEX('Per Line'!$A$2:$A$1001,$Z113))</f>
        <v/>
      </c>
      <c r="E113">
        <f>IF($Z113="","",INDEX('Per Line'!$E$2:$E$1001,$Z113)&amp;"")</f>
        <v/>
      </c>
      <c r="F113">
        <f>IF($Z113="","",INDEX('Per Line'!$F$2:$F$1001,$Z113)&amp;"")</f>
        <v/>
      </c>
      <c r="G113" s="11">
        <f>IF($Z113="","",INDEX('Per Line'!$G$2:$G$1001,$Z113))</f>
        <v/>
      </c>
      <c r="H113">
        <f>IF($Z113="","",INDEX('Per Line'!$I$2:$I$1001,$Z113)&amp;"")</f>
        <v/>
      </c>
      <c r="I113">
        <f>IF($Z113="","",INDEX('Per Line'!$J$2:$J$1001,$Z113)&amp;"")</f>
        <v/>
      </c>
      <c r="J113">
        <f>IF($Z113="","",INDEX('Per Line'!$K$2:$K$1001,$Z113)&amp;"")</f>
        <v/>
      </c>
      <c r="K113">
        <f>IF($Z113="","",INDEX('Per Line'!$L$2:$L$1001,$Z113)&amp;"")</f>
        <v/>
      </c>
      <c r="L113">
        <f>IF($Z113="","",INDEX('Per Line'!$M$2:$M$1001,$Z113)&amp;"")</f>
        <v/>
      </c>
      <c r="M113">
        <f>IF($Z113="","",INDEX('Per Line'!$P$2:$P$1001,$Z113))</f>
        <v/>
      </c>
      <c r="N113" s="7">
        <f>IF($Z113="","",M113*X113/100)</f>
        <v/>
      </c>
      <c r="O113" s="7">
        <f>IF($Z113="","",SUMIFS('Per Line'!$Y$2:$Y$1001,'Per Line'!$D$2:$D$1001,$B113,'Per Line'!$AP$2:$AP$1001,1))</f>
        <v/>
      </c>
      <c r="P113">
        <f>IF($Z113="","",Settings!$C$7)</f>
        <v/>
      </c>
      <c r="Q113" s="7">
        <f>IF($Z113="","",SUMIFS('Per Line'!$Y$2:$Y$1001,'Per Line'!$D$2:$D$1001,$B113,'Per Line'!$AO$2:$AO$1001,0,'Per Line'!$AP$2:$AP$1001,0))</f>
        <v/>
      </c>
      <c r="R113" s="7">
        <f>IF($Z113="","",Q113*P113)</f>
        <v/>
      </c>
      <c r="S113">
        <f>IF($Z113="","",Settings!$C$6)</f>
        <v/>
      </c>
      <c r="T113" s="7">
        <f>IF($Z113="","",SUMIFS('Per Line'!$Y$2:$Y$1001,'Per Line'!$D$2:$D$1001,$B113,'Per Line'!$AO$2:$AO$1001,1,'Per Line'!$AP$2:$AP$1001,0))</f>
        <v/>
      </c>
      <c r="U113" s="7">
        <f>IF($Z113="","",T113*S113)</f>
        <v/>
      </c>
      <c r="V113" s="7">
        <f>IF($Z113="","",U113+R113)</f>
        <v/>
      </c>
      <c r="W113" s="7">
        <f>IF($Z113="","",X113-V113)</f>
        <v/>
      </c>
      <c r="X113" s="7">
        <f>IF($Z113="","",Q113+T113+O113)</f>
        <v/>
      </c>
      <c r="Y113" s="7">
        <f>IF($Z113="","",X113-V113-N113)</f>
        <v/>
      </c>
      <c r="Z113" s="13">
        <f>IF(ROWS($Z$2:$Z113)&lt;=MAX('Per Line'!$AN$2:$AN$1001),MATCH(ROWS($Z$2:$Z113),'Per Line'!$AN$2:$AN$1001,0),"")</f>
        <v/>
      </c>
    </row>
    <row r="114">
      <c r="A114" s="12" t="n"/>
      <c r="B114">
        <f>IF($Z114="","",INDEX('Per Line'!$D$2:$D$1001,$Z114)&amp;"")</f>
        <v/>
      </c>
      <c r="C114">
        <f>IF($Z114="","",INDEX('Per Line'!$B$2:$B$1001,$Z114)&amp;"")</f>
        <v/>
      </c>
      <c r="D114">
        <f>IF($Z114="","",INDEX('Per Line'!$A$2:$A$1001,$Z114))</f>
        <v/>
      </c>
      <c r="E114">
        <f>IF($Z114="","",INDEX('Per Line'!$E$2:$E$1001,$Z114)&amp;"")</f>
        <v/>
      </c>
      <c r="F114">
        <f>IF($Z114="","",INDEX('Per Line'!$F$2:$F$1001,$Z114)&amp;"")</f>
        <v/>
      </c>
      <c r="G114" s="11">
        <f>IF($Z114="","",INDEX('Per Line'!$G$2:$G$1001,$Z114))</f>
        <v/>
      </c>
      <c r="H114">
        <f>IF($Z114="","",INDEX('Per Line'!$I$2:$I$1001,$Z114)&amp;"")</f>
        <v/>
      </c>
      <c r="I114">
        <f>IF($Z114="","",INDEX('Per Line'!$J$2:$J$1001,$Z114)&amp;"")</f>
        <v/>
      </c>
      <c r="J114">
        <f>IF($Z114="","",INDEX('Per Line'!$K$2:$K$1001,$Z114)&amp;"")</f>
        <v/>
      </c>
      <c r="K114">
        <f>IF($Z114="","",INDEX('Per Line'!$L$2:$L$1001,$Z114)&amp;"")</f>
        <v/>
      </c>
      <c r="L114">
        <f>IF($Z114="","",INDEX('Per Line'!$M$2:$M$1001,$Z114)&amp;"")</f>
        <v/>
      </c>
      <c r="M114">
        <f>IF($Z114="","",INDEX('Per Line'!$P$2:$P$1001,$Z114))</f>
        <v/>
      </c>
      <c r="N114" s="7">
        <f>IF($Z114="","",M114*X114/100)</f>
        <v/>
      </c>
      <c r="O114" s="7">
        <f>IF($Z114="","",SUMIFS('Per Line'!$Y$2:$Y$1001,'Per Line'!$D$2:$D$1001,$B114,'Per Line'!$AP$2:$AP$1001,1))</f>
        <v/>
      </c>
      <c r="P114">
        <f>IF($Z114="","",Settings!$C$7)</f>
        <v/>
      </c>
      <c r="Q114" s="7">
        <f>IF($Z114="","",SUMIFS('Per Line'!$Y$2:$Y$1001,'Per Line'!$D$2:$D$1001,$B114,'Per Line'!$AO$2:$AO$1001,0,'Per Line'!$AP$2:$AP$1001,0))</f>
        <v/>
      </c>
      <c r="R114" s="7">
        <f>IF($Z114="","",Q114*P114)</f>
        <v/>
      </c>
      <c r="S114">
        <f>IF($Z114="","",Settings!$C$6)</f>
        <v/>
      </c>
      <c r="T114" s="7">
        <f>IF($Z114="","",SUMIFS('Per Line'!$Y$2:$Y$1001,'Per Line'!$D$2:$D$1001,$B114,'Per Line'!$AO$2:$AO$1001,1,'Per Line'!$AP$2:$AP$1001,0))</f>
        <v/>
      </c>
      <c r="U114" s="7">
        <f>IF($Z114="","",T114*S114)</f>
        <v/>
      </c>
      <c r="V114" s="7">
        <f>IF($Z114="","",U114+R114)</f>
        <v/>
      </c>
      <c r="W114" s="7">
        <f>IF($Z114="","",X114-V114)</f>
        <v/>
      </c>
      <c r="X114" s="7">
        <f>IF($Z114="","",Q114+T114+O114)</f>
        <v/>
      </c>
      <c r="Y114" s="7">
        <f>IF($Z114="","",X114-V114-N114)</f>
        <v/>
      </c>
      <c r="Z114" s="13">
        <f>IF(ROWS($Z$2:$Z114)&lt;=MAX('Per Line'!$AN$2:$AN$1001),MATCH(ROWS($Z$2:$Z114),'Per Line'!$AN$2:$AN$1001,0),"")</f>
        <v/>
      </c>
    </row>
    <row r="115">
      <c r="A115" s="12" t="n"/>
      <c r="B115">
        <f>IF($Z115="","",INDEX('Per Line'!$D$2:$D$1001,$Z115)&amp;"")</f>
        <v/>
      </c>
      <c r="C115">
        <f>IF($Z115="","",INDEX('Per Line'!$B$2:$B$1001,$Z115)&amp;"")</f>
        <v/>
      </c>
      <c r="D115">
        <f>IF($Z115="","",INDEX('Per Line'!$A$2:$A$1001,$Z115))</f>
        <v/>
      </c>
      <c r="E115">
        <f>IF($Z115="","",INDEX('Per Line'!$E$2:$E$1001,$Z115)&amp;"")</f>
        <v/>
      </c>
      <c r="F115">
        <f>IF($Z115="","",INDEX('Per Line'!$F$2:$F$1001,$Z115)&amp;"")</f>
        <v/>
      </c>
      <c r="G115" s="11">
        <f>IF($Z115="","",INDEX('Per Line'!$G$2:$G$1001,$Z115))</f>
        <v/>
      </c>
      <c r="H115">
        <f>IF($Z115="","",INDEX('Per Line'!$I$2:$I$1001,$Z115)&amp;"")</f>
        <v/>
      </c>
      <c r="I115">
        <f>IF($Z115="","",INDEX('Per Line'!$J$2:$J$1001,$Z115)&amp;"")</f>
        <v/>
      </c>
      <c r="J115">
        <f>IF($Z115="","",INDEX('Per Line'!$K$2:$K$1001,$Z115)&amp;"")</f>
        <v/>
      </c>
      <c r="K115">
        <f>IF($Z115="","",INDEX('Per Line'!$L$2:$L$1001,$Z115)&amp;"")</f>
        <v/>
      </c>
      <c r="L115">
        <f>IF($Z115="","",INDEX('Per Line'!$M$2:$M$1001,$Z115)&amp;"")</f>
        <v/>
      </c>
      <c r="M115">
        <f>IF($Z115="","",INDEX('Per Line'!$P$2:$P$1001,$Z115))</f>
        <v/>
      </c>
      <c r="N115" s="7">
        <f>IF($Z115="","",M115*X115/100)</f>
        <v/>
      </c>
      <c r="O115" s="7">
        <f>IF($Z115="","",SUMIFS('Per Line'!$Y$2:$Y$1001,'Per Line'!$D$2:$D$1001,$B115,'Per Line'!$AP$2:$AP$1001,1))</f>
        <v/>
      </c>
      <c r="P115">
        <f>IF($Z115="","",Settings!$C$7)</f>
        <v/>
      </c>
      <c r="Q115" s="7">
        <f>IF($Z115="","",SUMIFS('Per Line'!$Y$2:$Y$1001,'Per Line'!$D$2:$D$1001,$B115,'Per Line'!$AO$2:$AO$1001,0,'Per Line'!$AP$2:$AP$1001,0))</f>
        <v/>
      </c>
      <c r="R115" s="7">
        <f>IF($Z115="","",Q115*P115)</f>
        <v/>
      </c>
      <c r="S115">
        <f>IF($Z115="","",Settings!$C$6)</f>
        <v/>
      </c>
      <c r="T115" s="7">
        <f>IF($Z115="","",SUMIFS('Per Line'!$Y$2:$Y$1001,'Per Line'!$D$2:$D$1001,$B115,'Per Line'!$AO$2:$AO$1001,1,'Per Line'!$AP$2:$AP$1001,0))</f>
        <v/>
      </c>
      <c r="U115" s="7">
        <f>IF($Z115="","",T115*S115)</f>
        <v/>
      </c>
      <c r="V115" s="7">
        <f>IF($Z115="","",U115+R115)</f>
        <v/>
      </c>
      <c r="W115" s="7">
        <f>IF($Z115="","",X115-V115)</f>
        <v/>
      </c>
      <c r="X115" s="7">
        <f>IF($Z115="","",Q115+T115+O115)</f>
        <v/>
      </c>
      <c r="Y115" s="7">
        <f>IF($Z115="","",X115-V115-N115)</f>
        <v/>
      </c>
      <c r="Z115" s="13">
        <f>IF(ROWS($Z$2:$Z115)&lt;=MAX('Per Line'!$AN$2:$AN$1001),MATCH(ROWS($Z$2:$Z115),'Per Line'!$AN$2:$AN$1001,0),"")</f>
        <v/>
      </c>
    </row>
    <row r="116">
      <c r="A116" s="12" t="n"/>
      <c r="B116">
        <f>IF($Z116="","",INDEX('Per Line'!$D$2:$D$1001,$Z116)&amp;"")</f>
        <v/>
      </c>
      <c r="C116">
        <f>IF($Z116="","",INDEX('Per Line'!$B$2:$B$1001,$Z116)&amp;"")</f>
        <v/>
      </c>
      <c r="D116">
        <f>IF($Z116="","",INDEX('Per Line'!$A$2:$A$1001,$Z116))</f>
        <v/>
      </c>
      <c r="E116">
        <f>IF($Z116="","",INDEX('Per Line'!$E$2:$E$1001,$Z116)&amp;"")</f>
        <v/>
      </c>
      <c r="F116">
        <f>IF($Z116="","",INDEX('Per Line'!$F$2:$F$1001,$Z116)&amp;"")</f>
        <v/>
      </c>
      <c r="G116" s="11">
        <f>IF($Z116="","",INDEX('Per Line'!$G$2:$G$1001,$Z116))</f>
        <v/>
      </c>
      <c r="H116">
        <f>IF($Z116="","",INDEX('Per Line'!$I$2:$I$1001,$Z116)&amp;"")</f>
        <v/>
      </c>
      <c r="I116">
        <f>IF($Z116="","",INDEX('Per Line'!$J$2:$J$1001,$Z116)&amp;"")</f>
        <v/>
      </c>
      <c r="J116">
        <f>IF($Z116="","",INDEX('Per Line'!$K$2:$K$1001,$Z116)&amp;"")</f>
        <v/>
      </c>
      <c r="K116">
        <f>IF($Z116="","",INDEX('Per Line'!$L$2:$L$1001,$Z116)&amp;"")</f>
        <v/>
      </c>
      <c r="L116">
        <f>IF($Z116="","",INDEX('Per Line'!$M$2:$M$1001,$Z116)&amp;"")</f>
        <v/>
      </c>
      <c r="M116">
        <f>IF($Z116="","",INDEX('Per Line'!$P$2:$P$1001,$Z116))</f>
        <v/>
      </c>
      <c r="N116" s="7">
        <f>IF($Z116="","",M116*X116/100)</f>
        <v/>
      </c>
      <c r="O116" s="7">
        <f>IF($Z116="","",SUMIFS('Per Line'!$Y$2:$Y$1001,'Per Line'!$D$2:$D$1001,$B116,'Per Line'!$AP$2:$AP$1001,1))</f>
        <v/>
      </c>
      <c r="P116">
        <f>IF($Z116="","",Settings!$C$7)</f>
        <v/>
      </c>
      <c r="Q116" s="7">
        <f>IF($Z116="","",SUMIFS('Per Line'!$Y$2:$Y$1001,'Per Line'!$D$2:$D$1001,$B116,'Per Line'!$AO$2:$AO$1001,0,'Per Line'!$AP$2:$AP$1001,0))</f>
        <v/>
      </c>
      <c r="R116" s="7">
        <f>IF($Z116="","",Q116*P116)</f>
        <v/>
      </c>
      <c r="S116">
        <f>IF($Z116="","",Settings!$C$6)</f>
        <v/>
      </c>
      <c r="T116" s="7">
        <f>IF($Z116="","",SUMIFS('Per Line'!$Y$2:$Y$1001,'Per Line'!$D$2:$D$1001,$B116,'Per Line'!$AO$2:$AO$1001,1,'Per Line'!$AP$2:$AP$1001,0))</f>
        <v/>
      </c>
      <c r="U116" s="7">
        <f>IF($Z116="","",T116*S116)</f>
        <v/>
      </c>
      <c r="V116" s="7">
        <f>IF($Z116="","",U116+R116)</f>
        <v/>
      </c>
      <c r="W116" s="7">
        <f>IF($Z116="","",X116-V116)</f>
        <v/>
      </c>
      <c r="X116" s="7">
        <f>IF($Z116="","",Q116+T116+O116)</f>
        <v/>
      </c>
      <c r="Y116" s="7">
        <f>IF($Z116="","",X116-V116-N116)</f>
        <v/>
      </c>
      <c r="Z116" s="13">
        <f>IF(ROWS($Z$2:$Z116)&lt;=MAX('Per Line'!$AN$2:$AN$1001),MATCH(ROWS($Z$2:$Z116),'Per Line'!$AN$2:$AN$1001,0),"")</f>
        <v/>
      </c>
    </row>
    <row r="117">
      <c r="A117" s="12" t="n"/>
      <c r="B117">
        <f>IF($Z117="","",INDEX('Per Line'!$D$2:$D$1001,$Z117)&amp;"")</f>
        <v/>
      </c>
      <c r="C117">
        <f>IF($Z117="","",INDEX('Per Line'!$B$2:$B$1001,$Z117)&amp;"")</f>
        <v/>
      </c>
      <c r="D117">
        <f>IF($Z117="","",INDEX('Per Line'!$A$2:$A$1001,$Z117))</f>
        <v/>
      </c>
      <c r="E117">
        <f>IF($Z117="","",INDEX('Per Line'!$E$2:$E$1001,$Z117)&amp;"")</f>
        <v/>
      </c>
      <c r="F117">
        <f>IF($Z117="","",INDEX('Per Line'!$F$2:$F$1001,$Z117)&amp;"")</f>
        <v/>
      </c>
      <c r="G117" s="11">
        <f>IF($Z117="","",INDEX('Per Line'!$G$2:$G$1001,$Z117))</f>
        <v/>
      </c>
      <c r="H117">
        <f>IF($Z117="","",INDEX('Per Line'!$I$2:$I$1001,$Z117)&amp;"")</f>
        <v/>
      </c>
      <c r="I117">
        <f>IF($Z117="","",INDEX('Per Line'!$J$2:$J$1001,$Z117)&amp;"")</f>
        <v/>
      </c>
      <c r="J117">
        <f>IF($Z117="","",INDEX('Per Line'!$K$2:$K$1001,$Z117)&amp;"")</f>
        <v/>
      </c>
      <c r="K117">
        <f>IF($Z117="","",INDEX('Per Line'!$L$2:$L$1001,$Z117)&amp;"")</f>
        <v/>
      </c>
      <c r="L117">
        <f>IF($Z117="","",INDEX('Per Line'!$M$2:$M$1001,$Z117)&amp;"")</f>
        <v/>
      </c>
      <c r="M117">
        <f>IF($Z117="","",INDEX('Per Line'!$P$2:$P$1001,$Z117))</f>
        <v/>
      </c>
      <c r="N117" s="7">
        <f>IF($Z117="","",M117*X117/100)</f>
        <v/>
      </c>
      <c r="O117" s="7">
        <f>IF($Z117="","",SUMIFS('Per Line'!$Y$2:$Y$1001,'Per Line'!$D$2:$D$1001,$B117,'Per Line'!$AP$2:$AP$1001,1))</f>
        <v/>
      </c>
      <c r="P117">
        <f>IF($Z117="","",Settings!$C$7)</f>
        <v/>
      </c>
      <c r="Q117" s="7">
        <f>IF($Z117="","",SUMIFS('Per Line'!$Y$2:$Y$1001,'Per Line'!$D$2:$D$1001,$B117,'Per Line'!$AO$2:$AO$1001,0,'Per Line'!$AP$2:$AP$1001,0))</f>
        <v/>
      </c>
      <c r="R117" s="7">
        <f>IF($Z117="","",Q117*P117)</f>
        <v/>
      </c>
      <c r="S117">
        <f>IF($Z117="","",Settings!$C$6)</f>
        <v/>
      </c>
      <c r="T117" s="7">
        <f>IF($Z117="","",SUMIFS('Per Line'!$Y$2:$Y$1001,'Per Line'!$D$2:$D$1001,$B117,'Per Line'!$AO$2:$AO$1001,1,'Per Line'!$AP$2:$AP$1001,0))</f>
        <v/>
      </c>
      <c r="U117" s="7">
        <f>IF($Z117="","",T117*S117)</f>
        <v/>
      </c>
      <c r="V117" s="7">
        <f>IF($Z117="","",U117+R117)</f>
        <v/>
      </c>
      <c r="W117" s="7">
        <f>IF($Z117="","",X117-V117)</f>
        <v/>
      </c>
      <c r="X117" s="7">
        <f>IF($Z117="","",Q117+T117+O117)</f>
        <v/>
      </c>
      <c r="Y117" s="7">
        <f>IF($Z117="","",X117-V117-N117)</f>
        <v/>
      </c>
      <c r="Z117" s="13">
        <f>IF(ROWS($Z$2:$Z117)&lt;=MAX('Per Line'!$AN$2:$AN$1001),MATCH(ROWS($Z$2:$Z117),'Per Line'!$AN$2:$AN$1001,0),"")</f>
        <v/>
      </c>
    </row>
    <row r="118">
      <c r="A118" s="12" t="n"/>
      <c r="B118">
        <f>IF($Z118="","",INDEX('Per Line'!$D$2:$D$1001,$Z118)&amp;"")</f>
        <v/>
      </c>
      <c r="C118">
        <f>IF($Z118="","",INDEX('Per Line'!$B$2:$B$1001,$Z118)&amp;"")</f>
        <v/>
      </c>
      <c r="D118">
        <f>IF($Z118="","",INDEX('Per Line'!$A$2:$A$1001,$Z118))</f>
        <v/>
      </c>
      <c r="E118">
        <f>IF($Z118="","",INDEX('Per Line'!$E$2:$E$1001,$Z118)&amp;"")</f>
        <v/>
      </c>
      <c r="F118">
        <f>IF($Z118="","",INDEX('Per Line'!$F$2:$F$1001,$Z118)&amp;"")</f>
        <v/>
      </c>
      <c r="G118" s="11">
        <f>IF($Z118="","",INDEX('Per Line'!$G$2:$G$1001,$Z118))</f>
        <v/>
      </c>
      <c r="H118">
        <f>IF($Z118="","",INDEX('Per Line'!$I$2:$I$1001,$Z118)&amp;"")</f>
        <v/>
      </c>
      <c r="I118">
        <f>IF($Z118="","",INDEX('Per Line'!$J$2:$J$1001,$Z118)&amp;"")</f>
        <v/>
      </c>
      <c r="J118">
        <f>IF($Z118="","",INDEX('Per Line'!$K$2:$K$1001,$Z118)&amp;"")</f>
        <v/>
      </c>
      <c r="K118">
        <f>IF($Z118="","",INDEX('Per Line'!$L$2:$L$1001,$Z118)&amp;"")</f>
        <v/>
      </c>
      <c r="L118">
        <f>IF($Z118="","",INDEX('Per Line'!$M$2:$M$1001,$Z118)&amp;"")</f>
        <v/>
      </c>
      <c r="M118">
        <f>IF($Z118="","",INDEX('Per Line'!$P$2:$P$1001,$Z118))</f>
        <v/>
      </c>
      <c r="N118" s="7">
        <f>IF($Z118="","",M118*X118/100)</f>
        <v/>
      </c>
      <c r="O118" s="7">
        <f>IF($Z118="","",SUMIFS('Per Line'!$Y$2:$Y$1001,'Per Line'!$D$2:$D$1001,$B118,'Per Line'!$AP$2:$AP$1001,1))</f>
        <v/>
      </c>
      <c r="P118">
        <f>IF($Z118="","",Settings!$C$7)</f>
        <v/>
      </c>
      <c r="Q118" s="7">
        <f>IF($Z118="","",SUMIFS('Per Line'!$Y$2:$Y$1001,'Per Line'!$D$2:$D$1001,$B118,'Per Line'!$AO$2:$AO$1001,0,'Per Line'!$AP$2:$AP$1001,0))</f>
        <v/>
      </c>
      <c r="R118" s="7">
        <f>IF($Z118="","",Q118*P118)</f>
        <v/>
      </c>
      <c r="S118">
        <f>IF($Z118="","",Settings!$C$6)</f>
        <v/>
      </c>
      <c r="T118" s="7">
        <f>IF($Z118="","",SUMIFS('Per Line'!$Y$2:$Y$1001,'Per Line'!$D$2:$D$1001,$B118,'Per Line'!$AO$2:$AO$1001,1,'Per Line'!$AP$2:$AP$1001,0))</f>
        <v/>
      </c>
      <c r="U118" s="7">
        <f>IF($Z118="","",T118*S118)</f>
        <v/>
      </c>
      <c r="V118" s="7">
        <f>IF($Z118="","",U118+R118)</f>
        <v/>
      </c>
      <c r="W118" s="7">
        <f>IF($Z118="","",X118-V118)</f>
        <v/>
      </c>
      <c r="X118" s="7">
        <f>IF($Z118="","",Q118+T118+O118)</f>
        <v/>
      </c>
      <c r="Y118" s="7">
        <f>IF($Z118="","",X118-V118-N118)</f>
        <v/>
      </c>
      <c r="Z118" s="13">
        <f>IF(ROWS($Z$2:$Z118)&lt;=MAX('Per Line'!$AN$2:$AN$1001),MATCH(ROWS($Z$2:$Z118),'Per Line'!$AN$2:$AN$1001,0),"")</f>
        <v/>
      </c>
    </row>
    <row r="119">
      <c r="A119" s="12" t="n"/>
      <c r="B119">
        <f>IF($Z119="","",INDEX('Per Line'!$D$2:$D$1001,$Z119)&amp;"")</f>
        <v/>
      </c>
      <c r="C119">
        <f>IF($Z119="","",INDEX('Per Line'!$B$2:$B$1001,$Z119)&amp;"")</f>
        <v/>
      </c>
      <c r="D119">
        <f>IF($Z119="","",INDEX('Per Line'!$A$2:$A$1001,$Z119))</f>
        <v/>
      </c>
      <c r="E119">
        <f>IF($Z119="","",INDEX('Per Line'!$E$2:$E$1001,$Z119)&amp;"")</f>
        <v/>
      </c>
      <c r="F119">
        <f>IF($Z119="","",INDEX('Per Line'!$F$2:$F$1001,$Z119)&amp;"")</f>
        <v/>
      </c>
      <c r="G119" s="11">
        <f>IF($Z119="","",INDEX('Per Line'!$G$2:$G$1001,$Z119))</f>
        <v/>
      </c>
      <c r="H119">
        <f>IF($Z119="","",INDEX('Per Line'!$I$2:$I$1001,$Z119)&amp;"")</f>
        <v/>
      </c>
      <c r="I119">
        <f>IF($Z119="","",INDEX('Per Line'!$J$2:$J$1001,$Z119)&amp;"")</f>
        <v/>
      </c>
      <c r="J119">
        <f>IF($Z119="","",INDEX('Per Line'!$K$2:$K$1001,$Z119)&amp;"")</f>
        <v/>
      </c>
      <c r="K119">
        <f>IF($Z119="","",INDEX('Per Line'!$L$2:$L$1001,$Z119)&amp;"")</f>
        <v/>
      </c>
      <c r="L119">
        <f>IF($Z119="","",INDEX('Per Line'!$M$2:$M$1001,$Z119)&amp;"")</f>
        <v/>
      </c>
      <c r="M119">
        <f>IF($Z119="","",INDEX('Per Line'!$P$2:$P$1001,$Z119))</f>
        <v/>
      </c>
      <c r="N119" s="7">
        <f>IF($Z119="","",M119*X119/100)</f>
        <v/>
      </c>
      <c r="O119" s="7">
        <f>IF($Z119="","",SUMIFS('Per Line'!$Y$2:$Y$1001,'Per Line'!$D$2:$D$1001,$B119,'Per Line'!$AP$2:$AP$1001,1))</f>
        <v/>
      </c>
      <c r="P119">
        <f>IF($Z119="","",Settings!$C$7)</f>
        <v/>
      </c>
      <c r="Q119" s="7">
        <f>IF($Z119="","",SUMIFS('Per Line'!$Y$2:$Y$1001,'Per Line'!$D$2:$D$1001,$B119,'Per Line'!$AO$2:$AO$1001,0,'Per Line'!$AP$2:$AP$1001,0))</f>
        <v/>
      </c>
      <c r="R119" s="7">
        <f>IF($Z119="","",Q119*P119)</f>
        <v/>
      </c>
      <c r="S119">
        <f>IF($Z119="","",Settings!$C$6)</f>
        <v/>
      </c>
      <c r="T119" s="7">
        <f>IF($Z119="","",SUMIFS('Per Line'!$Y$2:$Y$1001,'Per Line'!$D$2:$D$1001,$B119,'Per Line'!$AO$2:$AO$1001,1,'Per Line'!$AP$2:$AP$1001,0))</f>
        <v/>
      </c>
      <c r="U119" s="7">
        <f>IF($Z119="","",T119*S119)</f>
        <v/>
      </c>
      <c r="V119" s="7">
        <f>IF($Z119="","",U119+R119)</f>
        <v/>
      </c>
      <c r="W119" s="7">
        <f>IF($Z119="","",X119-V119)</f>
        <v/>
      </c>
      <c r="X119" s="7">
        <f>IF($Z119="","",Q119+T119+O119)</f>
        <v/>
      </c>
      <c r="Y119" s="7">
        <f>IF($Z119="","",X119-V119-N119)</f>
        <v/>
      </c>
      <c r="Z119" s="13">
        <f>IF(ROWS($Z$2:$Z119)&lt;=MAX('Per Line'!$AN$2:$AN$1001),MATCH(ROWS($Z$2:$Z119),'Per Line'!$AN$2:$AN$1001,0),"")</f>
        <v/>
      </c>
    </row>
    <row r="120">
      <c r="A120" s="12" t="n"/>
      <c r="B120">
        <f>IF($Z120="","",INDEX('Per Line'!$D$2:$D$1001,$Z120)&amp;"")</f>
        <v/>
      </c>
      <c r="C120">
        <f>IF($Z120="","",INDEX('Per Line'!$B$2:$B$1001,$Z120)&amp;"")</f>
        <v/>
      </c>
      <c r="D120">
        <f>IF($Z120="","",INDEX('Per Line'!$A$2:$A$1001,$Z120))</f>
        <v/>
      </c>
      <c r="E120">
        <f>IF($Z120="","",INDEX('Per Line'!$E$2:$E$1001,$Z120)&amp;"")</f>
        <v/>
      </c>
      <c r="F120">
        <f>IF($Z120="","",INDEX('Per Line'!$F$2:$F$1001,$Z120)&amp;"")</f>
        <v/>
      </c>
      <c r="G120" s="11">
        <f>IF($Z120="","",INDEX('Per Line'!$G$2:$G$1001,$Z120))</f>
        <v/>
      </c>
      <c r="H120">
        <f>IF($Z120="","",INDEX('Per Line'!$I$2:$I$1001,$Z120)&amp;"")</f>
        <v/>
      </c>
      <c r="I120">
        <f>IF($Z120="","",INDEX('Per Line'!$J$2:$J$1001,$Z120)&amp;"")</f>
        <v/>
      </c>
      <c r="J120">
        <f>IF($Z120="","",INDEX('Per Line'!$K$2:$K$1001,$Z120)&amp;"")</f>
        <v/>
      </c>
      <c r="K120">
        <f>IF($Z120="","",INDEX('Per Line'!$L$2:$L$1001,$Z120)&amp;"")</f>
        <v/>
      </c>
      <c r="L120">
        <f>IF($Z120="","",INDEX('Per Line'!$M$2:$M$1001,$Z120)&amp;"")</f>
        <v/>
      </c>
      <c r="M120">
        <f>IF($Z120="","",INDEX('Per Line'!$P$2:$P$1001,$Z120))</f>
        <v/>
      </c>
      <c r="N120" s="7">
        <f>IF($Z120="","",M120*X120/100)</f>
        <v/>
      </c>
      <c r="O120" s="7">
        <f>IF($Z120="","",SUMIFS('Per Line'!$Y$2:$Y$1001,'Per Line'!$D$2:$D$1001,$B120,'Per Line'!$AP$2:$AP$1001,1))</f>
        <v/>
      </c>
      <c r="P120">
        <f>IF($Z120="","",Settings!$C$7)</f>
        <v/>
      </c>
      <c r="Q120" s="7">
        <f>IF($Z120="","",SUMIFS('Per Line'!$Y$2:$Y$1001,'Per Line'!$D$2:$D$1001,$B120,'Per Line'!$AO$2:$AO$1001,0,'Per Line'!$AP$2:$AP$1001,0))</f>
        <v/>
      </c>
      <c r="R120" s="7">
        <f>IF($Z120="","",Q120*P120)</f>
        <v/>
      </c>
      <c r="S120">
        <f>IF($Z120="","",Settings!$C$6)</f>
        <v/>
      </c>
      <c r="T120" s="7">
        <f>IF($Z120="","",SUMIFS('Per Line'!$Y$2:$Y$1001,'Per Line'!$D$2:$D$1001,$B120,'Per Line'!$AO$2:$AO$1001,1,'Per Line'!$AP$2:$AP$1001,0))</f>
        <v/>
      </c>
      <c r="U120" s="7">
        <f>IF($Z120="","",T120*S120)</f>
        <v/>
      </c>
      <c r="V120" s="7">
        <f>IF($Z120="","",U120+R120)</f>
        <v/>
      </c>
      <c r="W120" s="7">
        <f>IF($Z120="","",X120-V120)</f>
        <v/>
      </c>
      <c r="X120" s="7">
        <f>IF($Z120="","",Q120+T120+O120)</f>
        <v/>
      </c>
      <c r="Y120" s="7">
        <f>IF($Z120="","",X120-V120-N120)</f>
        <v/>
      </c>
      <c r="Z120" s="13">
        <f>IF(ROWS($Z$2:$Z120)&lt;=MAX('Per Line'!$AN$2:$AN$1001),MATCH(ROWS($Z$2:$Z120),'Per Line'!$AN$2:$AN$1001,0),"")</f>
        <v/>
      </c>
    </row>
    <row r="121">
      <c r="A121" s="12" t="n"/>
      <c r="B121">
        <f>IF($Z121="","",INDEX('Per Line'!$D$2:$D$1001,$Z121)&amp;"")</f>
        <v/>
      </c>
      <c r="C121">
        <f>IF($Z121="","",INDEX('Per Line'!$B$2:$B$1001,$Z121)&amp;"")</f>
        <v/>
      </c>
      <c r="D121">
        <f>IF($Z121="","",INDEX('Per Line'!$A$2:$A$1001,$Z121))</f>
        <v/>
      </c>
      <c r="E121">
        <f>IF($Z121="","",INDEX('Per Line'!$E$2:$E$1001,$Z121)&amp;"")</f>
        <v/>
      </c>
      <c r="F121">
        <f>IF($Z121="","",INDEX('Per Line'!$F$2:$F$1001,$Z121)&amp;"")</f>
        <v/>
      </c>
      <c r="G121" s="11">
        <f>IF($Z121="","",INDEX('Per Line'!$G$2:$G$1001,$Z121))</f>
        <v/>
      </c>
      <c r="H121">
        <f>IF($Z121="","",INDEX('Per Line'!$I$2:$I$1001,$Z121)&amp;"")</f>
        <v/>
      </c>
      <c r="I121">
        <f>IF($Z121="","",INDEX('Per Line'!$J$2:$J$1001,$Z121)&amp;"")</f>
        <v/>
      </c>
      <c r="J121">
        <f>IF($Z121="","",INDEX('Per Line'!$K$2:$K$1001,$Z121)&amp;"")</f>
        <v/>
      </c>
      <c r="K121">
        <f>IF($Z121="","",INDEX('Per Line'!$L$2:$L$1001,$Z121)&amp;"")</f>
        <v/>
      </c>
      <c r="L121">
        <f>IF($Z121="","",INDEX('Per Line'!$M$2:$M$1001,$Z121)&amp;"")</f>
        <v/>
      </c>
      <c r="M121">
        <f>IF($Z121="","",INDEX('Per Line'!$P$2:$P$1001,$Z121))</f>
        <v/>
      </c>
      <c r="N121" s="7">
        <f>IF($Z121="","",M121*X121/100)</f>
        <v/>
      </c>
      <c r="O121" s="7">
        <f>IF($Z121="","",SUMIFS('Per Line'!$Y$2:$Y$1001,'Per Line'!$D$2:$D$1001,$B121,'Per Line'!$AP$2:$AP$1001,1))</f>
        <v/>
      </c>
      <c r="P121">
        <f>IF($Z121="","",Settings!$C$7)</f>
        <v/>
      </c>
      <c r="Q121" s="7">
        <f>IF($Z121="","",SUMIFS('Per Line'!$Y$2:$Y$1001,'Per Line'!$D$2:$D$1001,$B121,'Per Line'!$AO$2:$AO$1001,0,'Per Line'!$AP$2:$AP$1001,0))</f>
        <v/>
      </c>
      <c r="R121" s="7">
        <f>IF($Z121="","",Q121*P121)</f>
        <v/>
      </c>
      <c r="S121">
        <f>IF($Z121="","",Settings!$C$6)</f>
        <v/>
      </c>
      <c r="T121" s="7">
        <f>IF($Z121="","",SUMIFS('Per Line'!$Y$2:$Y$1001,'Per Line'!$D$2:$D$1001,$B121,'Per Line'!$AO$2:$AO$1001,1,'Per Line'!$AP$2:$AP$1001,0))</f>
        <v/>
      </c>
      <c r="U121" s="7">
        <f>IF($Z121="","",T121*S121)</f>
        <v/>
      </c>
      <c r="V121" s="7">
        <f>IF($Z121="","",U121+R121)</f>
        <v/>
      </c>
      <c r="W121" s="7">
        <f>IF($Z121="","",X121-V121)</f>
        <v/>
      </c>
      <c r="X121" s="7">
        <f>IF($Z121="","",Q121+T121+O121)</f>
        <v/>
      </c>
      <c r="Y121" s="7">
        <f>IF($Z121="","",X121-V121-N121)</f>
        <v/>
      </c>
      <c r="Z121" s="13">
        <f>IF(ROWS($Z$2:$Z121)&lt;=MAX('Per Line'!$AN$2:$AN$1001),MATCH(ROWS($Z$2:$Z121),'Per Line'!$AN$2:$AN$1001,0),"")</f>
        <v/>
      </c>
    </row>
    <row r="122">
      <c r="A122" s="12" t="n"/>
      <c r="B122">
        <f>IF($Z122="","",INDEX('Per Line'!$D$2:$D$1001,$Z122)&amp;"")</f>
        <v/>
      </c>
      <c r="C122">
        <f>IF($Z122="","",INDEX('Per Line'!$B$2:$B$1001,$Z122)&amp;"")</f>
        <v/>
      </c>
      <c r="D122">
        <f>IF($Z122="","",INDEX('Per Line'!$A$2:$A$1001,$Z122))</f>
        <v/>
      </c>
      <c r="E122">
        <f>IF($Z122="","",INDEX('Per Line'!$E$2:$E$1001,$Z122)&amp;"")</f>
        <v/>
      </c>
      <c r="F122">
        <f>IF($Z122="","",INDEX('Per Line'!$F$2:$F$1001,$Z122)&amp;"")</f>
        <v/>
      </c>
      <c r="G122" s="11">
        <f>IF($Z122="","",INDEX('Per Line'!$G$2:$G$1001,$Z122))</f>
        <v/>
      </c>
      <c r="H122">
        <f>IF($Z122="","",INDEX('Per Line'!$I$2:$I$1001,$Z122)&amp;"")</f>
        <v/>
      </c>
      <c r="I122">
        <f>IF($Z122="","",INDEX('Per Line'!$J$2:$J$1001,$Z122)&amp;"")</f>
        <v/>
      </c>
      <c r="J122">
        <f>IF($Z122="","",INDEX('Per Line'!$K$2:$K$1001,$Z122)&amp;"")</f>
        <v/>
      </c>
      <c r="K122">
        <f>IF($Z122="","",INDEX('Per Line'!$L$2:$L$1001,$Z122)&amp;"")</f>
        <v/>
      </c>
      <c r="L122">
        <f>IF($Z122="","",INDEX('Per Line'!$M$2:$M$1001,$Z122)&amp;"")</f>
        <v/>
      </c>
      <c r="M122">
        <f>IF($Z122="","",INDEX('Per Line'!$P$2:$P$1001,$Z122))</f>
        <v/>
      </c>
      <c r="N122" s="7">
        <f>IF($Z122="","",M122*X122/100)</f>
        <v/>
      </c>
      <c r="O122" s="7">
        <f>IF($Z122="","",SUMIFS('Per Line'!$Y$2:$Y$1001,'Per Line'!$D$2:$D$1001,$B122,'Per Line'!$AP$2:$AP$1001,1))</f>
        <v/>
      </c>
      <c r="P122">
        <f>IF($Z122="","",Settings!$C$7)</f>
        <v/>
      </c>
      <c r="Q122" s="7">
        <f>IF($Z122="","",SUMIFS('Per Line'!$Y$2:$Y$1001,'Per Line'!$D$2:$D$1001,$B122,'Per Line'!$AO$2:$AO$1001,0,'Per Line'!$AP$2:$AP$1001,0))</f>
        <v/>
      </c>
      <c r="R122" s="7">
        <f>IF($Z122="","",Q122*P122)</f>
        <v/>
      </c>
      <c r="S122">
        <f>IF($Z122="","",Settings!$C$6)</f>
        <v/>
      </c>
      <c r="T122" s="7">
        <f>IF($Z122="","",SUMIFS('Per Line'!$Y$2:$Y$1001,'Per Line'!$D$2:$D$1001,$B122,'Per Line'!$AO$2:$AO$1001,1,'Per Line'!$AP$2:$AP$1001,0))</f>
        <v/>
      </c>
      <c r="U122" s="7">
        <f>IF($Z122="","",T122*S122)</f>
        <v/>
      </c>
      <c r="V122" s="7">
        <f>IF($Z122="","",U122+R122)</f>
        <v/>
      </c>
      <c r="W122" s="7">
        <f>IF($Z122="","",X122-V122)</f>
        <v/>
      </c>
      <c r="X122" s="7">
        <f>IF($Z122="","",Q122+T122+O122)</f>
        <v/>
      </c>
      <c r="Y122" s="7">
        <f>IF($Z122="","",X122-V122-N122)</f>
        <v/>
      </c>
      <c r="Z122" s="13">
        <f>IF(ROWS($Z$2:$Z122)&lt;=MAX('Per Line'!$AN$2:$AN$1001),MATCH(ROWS($Z$2:$Z122),'Per Line'!$AN$2:$AN$1001,0),"")</f>
        <v/>
      </c>
    </row>
    <row r="123">
      <c r="A123" s="12" t="n"/>
      <c r="B123">
        <f>IF($Z123="","",INDEX('Per Line'!$D$2:$D$1001,$Z123)&amp;"")</f>
        <v/>
      </c>
      <c r="C123">
        <f>IF($Z123="","",INDEX('Per Line'!$B$2:$B$1001,$Z123)&amp;"")</f>
        <v/>
      </c>
      <c r="D123">
        <f>IF($Z123="","",INDEX('Per Line'!$A$2:$A$1001,$Z123))</f>
        <v/>
      </c>
      <c r="E123">
        <f>IF($Z123="","",INDEX('Per Line'!$E$2:$E$1001,$Z123)&amp;"")</f>
        <v/>
      </c>
      <c r="F123">
        <f>IF($Z123="","",INDEX('Per Line'!$F$2:$F$1001,$Z123)&amp;"")</f>
        <v/>
      </c>
      <c r="G123" s="11">
        <f>IF($Z123="","",INDEX('Per Line'!$G$2:$G$1001,$Z123))</f>
        <v/>
      </c>
      <c r="H123">
        <f>IF($Z123="","",INDEX('Per Line'!$I$2:$I$1001,$Z123)&amp;"")</f>
        <v/>
      </c>
      <c r="I123">
        <f>IF($Z123="","",INDEX('Per Line'!$J$2:$J$1001,$Z123)&amp;"")</f>
        <v/>
      </c>
      <c r="J123">
        <f>IF($Z123="","",INDEX('Per Line'!$K$2:$K$1001,$Z123)&amp;"")</f>
        <v/>
      </c>
      <c r="K123">
        <f>IF($Z123="","",INDEX('Per Line'!$L$2:$L$1001,$Z123)&amp;"")</f>
        <v/>
      </c>
      <c r="L123">
        <f>IF($Z123="","",INDEX('Per Line'!$M$2:$M$1001,$Z123)&amp;"")</f>
        <v/>
      </c>
      <c r="M123">
        <f>IF($Z123="","",INDEX('Per Line'!$P$2:$P$1001,$Z123))</f>
        <v/>
      </c>
      <c r="N123" s="7">
        <f>IF($Z123="","",M123*X123/100)</f>
        <v/>
      </c>
      <c r="O123" s="7">
        <f>IF($Z123="","",SUMIFS('Per Line'!$Y$2:$Y$1001,'Per Line'!$D$2:$D$1001,$B123,'Per Line'!$AP$2:$AP$1001,1))</f>
        <v/>
      </c>
      <c r="P123">
        <f>IF($Z123="","",Settings!$C$7)</f>
        <v/>
      </c>
      <c r="Q123" s="7">
        <f>IF($Z123="","",SUMIFS('Per Line'!$Y$2:$Y$1001,'Per Line'!$D$2:$D$1001,$B123,'Per Line'!$AO$2:$AO$1001,0,'Per Line'!$AP$2:$AP$1001,0))</f>
        <v/>
      </c>
      <c r="R123" s="7">
        <f>IF($Z123="","",Q123*P123)</f>
        <v/>
      </c>
      <c r="S123">
        <f>IF($Z123="","",Settings!$C$6)</f>
        <v/>
      </c>
      <c r="T123" s="7">
        <f>IF($Z123="","",SUMIFS('Per Line'!$Y$2:$Y$1001,'Per Line'!$D$2:$D$1001,$B123,'Per Line'!$AO$2:$AO$1001,1,'Per Line'!$AP$2:$AP$1001,0))</f>
        <v/>
      </c>
      <c r="U123" s="7">
        <f>IF($Z123="","",T123*S123)</f>
        <v/>
      </c>
      <c r="V123" s="7">
        <f>IF($Z123="","",U123+R123)</f>
        <v/>
      </c>
      <c r="W123" s="7">
        <f>IF($Z123="","",X123-V123)</f>
        <v/>
      </c>
      <c r="X123" s="7">
        <f>IF($Z123="","",Q123+T123+O123)</f>
        <v/>
      </c>
      <c r="Y123" s="7">
        <f>IF($Z123="","",X123-V123-N123)</f>
        <v/>
      </c>
      <c r="Z123" s="13">
        <f>IF(ROWS($Z$2:$Z123)&lt;=MAX('Per Line'!$AN$2:$AN$1001),MATCH(ROWS($Z$2:$Z123),'Per Line'!$AN$2:$AN$1001,0),"")</f>
        <v/>
      </c>
    </row>
    <row r="124">
      <c r="A124" s="12" t="n"/>
      <c r="B124">
        <f>IF($Z124="","",INDEX('Per Line'!$D$2:$D$1001,$Z124)&amp;"")</f>
        <v/>
      </c>
      <c r="C124">
        <f>IF($Z124="","",INDEX('Per Line'!$B$2:$B$1001,$Z124)&amp;"")</f>
        <v/>
      </c>
      <c r="D124">
        <f>IF($Z124="","",INDEX('Per Line'!$A$2:$A$1001,$Z124))</f>
        <v/>
      </c>
      <c r="E124">
        <f>IF($Z124="","",INDEX('Per Line'!$E$2:$E$1001,$Z124)&amp;"")</f>
        <v/>
      </c>
      <c r="F124">
        <f>IF($Z124="","",INDEX('Per Line'!$F$2:$F$1001,$Z124)&amp;"")</f>
        <v/>
      </c>
      <c r="G124" s="11">
        <f>IF($Z124="","",INDEX('Per Line'!$G$2:$G$1001,$Z124))</f>
        <v/>
      </c>
      <c r="H124">
        <f>IF($Z124="","",INDEX('Per Line'!$I$2:$I$1001,$Z124)&amp;"")</f>
        <v/>
      </c>
      <c r="I124">
        <f>IF($Z124="","",INDEX('Per Line'!$J$2:$J$1001,$Z124)&amp;"")</f>
        <v/>
      </c>
      <c r="J124">
        <f>IF($Z124="","",INDEX('Per Line'!$K$2:$K$1001,$Z124)&amp;"")</f>
        <v/>
      </c>
      <c r="K124">
        <f>IF($Z124="","",INDEX('Per Line'!$L$2:$L$1001,$Z124)&amp;"")</f>
        <v/>
      </c>
      <c r="L124">
        <f>IF($Z124="","",INDEX('Per Line'!$M$2:$M$1001,$Z124)&amp;"")</f>
        <v/>
      </c>
      <c r="M124">
        <f>IF($Z124="","",INDEX('Per Line'!$P$2:$P$1001,$Z124))</f>
        <v/>
      </c>
      <c r="N124" s="7">
        <f>IF($Z124="","",M124*X124/100)</f>
        <v/>
      </c>
      <c r="O124" s="7">
        <f>IF($Z124="","",SUMIFS('Per Line'!$Y$2:$Y$1001,'Per Line'!$D$2:$D$1001,$B124,'Per Line'!$AP$2:$AP$1001,1))</f>
        <v/>
      </c>
      <c r="P124">
        <f>IF($Z124="","",Settings!$C$7)</f>
        <v/>
      </c>
      <c r="Q124" s="7">
        <f>IF($Z124="","",SUMIFS('Per Line'!$Y$2:$Y$1001,'Per Line'!$D$2:$D$1001,$B124,'Per Line'!$AO$2:$AO$1001,0,'Per Line'!$AP$2:$AP$1001,0))</f>
        <v/>
      </c>
      <c r="R124" s="7">
        <f>IF($Z124="","",Q124*P124)</f>
        <v/>
      </c>
      <c r="S124">
        <f>IF($Z124="","",Settings!$C$6)</f>
        <v/>
      </c>
      <c r="T124" s="7">
        <f>IF($Z124="","",SUMIFS('Per Line'!$Y$2:$Y$1001,'Per Line'!$D$2:$D$1001,$B124,'Per Line'!$AO$2:$AO$1001,1,'Per Line'!$AP$2:$AP$1001,0))</f>
        <v/>
      </c>
      <c r="U124" s="7">
        <f>IF($Z124="","",T124*S124)</f>
        <v/>
      </c>
      <c r="V124" s="7">
        <f>IF($Z124="","",U124+R124)</f>
        <v/>
      </c>
      <c r="W124" s="7">
        <f>IF($Z124="","",X124-V124)</f>
        <v/>
      </c>
      <c r="X124" s="7">
        <f>IF($Z124="","",Q124+T124+O124)</f>
        <v/>
      </c>
      <c r="Y124" s="7">
        <f>IF($Z124="","",X124-V124-N124)</f>
        <v/>
      </c>
      <c r="Z124" s="13">
        <f>IF(ROWS($Z$2:$Z124)&lt;=MAX('Per Line'!$AN$2:$AN$1001),MATCH(ROWS($Z$2:$Z124),'Per Line'!$AN$2:$AN$1001,0),"")</f>
        <v/>
      </c>
    </row>
    <row r="125">
      <c r="A125" s="12" t="n"/>
      <c r="B125">
        <f>IF($Z125="","",INDEX('Per Line'!$D$2:$D$1001,$Z125)&amp;"")</f>
        <v/>
      </c>
      <c r="C125">
        <f>IF($Z125="","",INDEX('Per Line'!$B$2:$B$1001,$Z125)&amp;"")</f>
        <v/>
      </c>
      <c r="D125">
        <f>IF($Z125="","",INDEX('Per Line'!$A$2:$A$1001,$Z125))</f>
        <v/>
      </c>
      <c r="E125">
        <f>IF($Z125="","",INDEX('Per Line'!$E$2:$E$1001,$Z125)&amp;"")</f>
        <v/>
      </c>
      <c r="F125">
        <f>IF($Z125="","",INDEX('Per Line'!$F$2:$F$1001,$Z125)&amp;"")</f>
        <v/>
      </c>
      <c r="G125" s="11">
        <f>IF($Z125="","",INDEX('Per Line'!$G$2:$G$1001,$Z125))</f>
        <v/>
      </c>
      <c r="H125">
        <f>IF($Z125="","",INDEX('Per Line'!$I$2:$I$1001,$Z125)&amp;"")</f>
        <v/>
      </c>
      <c r="I125">
        <f>IF($Z125="","",INDEX('Per Line'!$J$2:$J$1001,$Z125)&amp;"")</f>
        <v/>
      </c>
      <c r="J125">
        <f>IF($Z125="","",INDEX('Per Line'!$K$2:$K$1001,$Z125)&amp;"")</f>
        <v/>
      </c>
      <c r="K125">
        <f>IF($Z125="","",INDEX('Per Line'!$L$2:$L$1001,$Z125)&amp;"")</f>
        <v/>
      </c>
      <c r="L125">
        <f>IF($Z125="","",INDEX('Per Line'!$M$2:$M$1001,$Z125)&amp;"")</f>
        <v/>
      </c>
      <c r="M125">
        <f>IF($Z125="","",INDEX('Per Line'!$P$2:$P$1001,$Z125))</f>
        <v/>
      </c>
      <c r="N125" s="7">
        <f>IF($Z125="","",M125*X125/100)</f>
        <v/>
      </c>
      <c r="O125" s="7">
        <f>IF($Z125="","",SUMIFS('Per Line'!$Y$2:$Y$1001,'Per Line'!$D$2:$D$1001,$B125,'Per Line'!$AP$2:$AP$1001,1))</f>
        <v/>
      </c>
      <c r="P125">
        <f>IF($Z125="","",Settings!$C$7)</f>
        <v/>
      </c>
      <c r="Q125" s="7">
        <f>IF($Z125="","",SUMIFS('Per Line'!$Y$2:$Y$1001,'Per Line'!$D$2:$D$1001,$B125,'Per Line'!$AO$2:$AO$1001,0,'Per Line'!$AP$2:$AP$1001,0))</f>
        <v/>
      </c>
      <c r="R125" s="7">
        <f>IF($Z125="","",Q125*P125)</f>
        <v/>
      </c>
      <c r="S125">
        <f>IF($Z125="","",Settings!$C$6)</f>
        <v/>
      </c>
      <c r="T125" s="7">
        <f>IF($Z125="","",SUMIFS('Per Line'!$Y$2:$Y$1001,'Per Line'!$D$2:$D$1001,$B125,'Per Line'!$AO$2:$AO$1001,1,'Per Line'!$AP$2:$AP$1001,0))</f>
        <v/>
      </c>
      <c r="U125" s="7">
        <f>IF($Z125="","",T125*S125)</f>
        <v/>
      </c>
      <c r="V125" s="7">
        <f>IF($Z125="","",U125+R125)</f>
        <v/>
      </c>
      <c r="W125" s="7">
        <f>IF($Z125="","",X125-V125)</f>
        <v/>
      </c>
      <c r="X125" s="7">
        <f>IF($Z125="","",Q125+T125+O125)</f>
        <v/>
      </c>
      <c r="Y125" s="7">
        <f>IF($Z125="","",X125-V125-N125)</f>
        <v/>
      </c>
      <c r="Z125" s="13">
        <f>IF(ROWS($Z$2:$Z125)&lt;=MAX('Per Line'!$AN$2:$AN$1001),MATCH(ROWS($Z$2:$Z125),'Per Line'!$AN$2:$AN$1001,0),"")</f>
        <v/>
      </c>
    </row>
    <row r="126">
      <c r="A126" s="12" t="n"/>
      <c r="B126">
        <f>IF($Z126="","",INDEX('Per Line'!$D$2:$D$1001,$Z126)&amp;"")</f>
        <v/>
      </c>
      <c r="C126">
        <f>IF($Z126="","",INDEX('Per Line'!$B$2:$B$1001,$Z126)&amp;"")</f>
        <v/>
      </c>
      <c r="D126">
        <f>IF($Z126="","",INDEX('Per Line'!$A$2:$A$1001,$Z126))</f>
        <v/>
      </c>
      <c r="E126">
        <f>IF($Z126="","",INDEX('Per Line'!$E$2:$E$1001,$Z126)&amp;"")</f>
        <v/>
      </c>
      <c r="F126">
        <f>IF($Z126="","",INDEX('Per Line'!$F$2:$F$1001,$Z126)&amp;"")</f>
        <v/>
      </c>
      <c r="G126" s="11">
        <f>IF($Z126="","",INDEX('Per Line'!$G$2:$G$1001,$Z126))</f>
        <v/>
      </c>
      <c r="H126">
        <f>IF($Z126="","",INDEX('Per Line'!$I$2:$I$1001,$Z126)&amp;"")</f>
        <v/>
      </c>
      <c r="I126">
        <f>IF($Z126="","",INDEX('Per Line'!$J$2:$J$1001,$Z126)&amp;"")</f>
        <v/>
      </c>
      <c r="J126">
        <f>IF($Z126="","",INDEX('Per Line'!$K$2:$K$1001,$Z126)&amp;"")</f>
        <v/>
      </c>
      <c r="K126">
        <f>IF($Z126="","",INDEX('Per Line'!$L$2:$L$1001,$Z126)&amp;"")</f>
        <v/>
      </c>
      <c r="L126">
        <f>IF($Z126="","",INDEX('Per Line'!$M$2:$M$1001,$Z126)&amp;"")</f>
        <v/>
      </c>
      <c r="M126">
        <f>IF($Z126="","",INDEX('Per Line'!$P$2:$P$1001,$Z126))</f>
        <v/>
      </c>
      <c r="N126" s="7">
        <f>IF($Z126="","",M126*X126/100)</f>
        <v/>
      </c>
      <c r="O126" s="7">
        <f>IF($Z126="","",SUMIFS('Per Line'!$Y$2:$Y$1001,'Per Line'!$D$2:$D$1001,$B126,'Per Line'!$AP$2:$AP$1001,1))</f>
        <v/>
      </c>
      <c r="P126">
        <f>IF($Z126="","",Settings!$C$7)</f>
        <v/>
      </c>
      <c r="Q126" s="7">
        <f>IF($Z126="","",SUMIFS('Per Line'!$Y$2:$Y$1001,'Per Line'!$D$2:$D$1001,$B126,'Per Line'!$AO$2:$AO$1001,0,'Per Line'!$AP$2:$AP$1001,0))</f>
        <v/>
      </c>
      <c r="R126" s="7">
        <f>IF($Z126="","",Q126*P126)</f>
        <v/>
      </c>
      <c r="S126">
        <f>IF($Z126="","",Settings!$C$6)</f>
        <v/>
      </c>
      <c r="T126" s="7">
        <f>IF($Z126="","",SUMIFS('Per Line'!$Y$2:$Y$1001,'Per Line'!$D$2:$D$1001,$B126,'Per Line'!$AO$2:$AO$1001,1,'Per Line'!$AP$2:$AP$1001,0))</f>
        <v/>
      </c>
      <c r="U126" s="7">
        <f>IF($Z126="","",T126*S126)</f>
        <v/>
      </c>
      <c r="V126" s="7">
        <f>IF($Z126="","",U126+R126)</f>
        <v/>
      </c>
      <c r="W126" s="7">
        <f>IF($Z126="","",X126-V126)</f>
        <v/>
      </c>
      <c r="X126" s="7">
        <f>IF($Z126="","",Q126+T126+O126)</f>
        <v/>
      </c>
      <c r="Y126" s="7">
        <f>IF($Z126="","",X126-V126-N126)</f>
        <v/>
      </c>
      <c r="Z126" s="13">
        <f>IF(ROWS($Z$2:$Z126)&lt;=MAX('Per Line'!$AN$2:$AN$1001),MATCH(ROWS($Z$2:$Z126),'Per Line'!$AN$2:$AN$1001,0),"")</f>
        <v/>
      </c>
    </row>
    <row r="127">
      <c r="A127" s="12" t="n"/>
      <c r="B127">
        <f>IF($Z127="","",INDEX('Per Line'!$D$2:$D$1001,$Z127)&amp;"")</f>
        <v/>
      </c>
      <c r="C127">
        <f>IF($Z127="","",INDEX('Per Line'!$B$2:$B$1001,$Z127)&amp;"")</f>
        <v/>
      </c>
      <c r="D127">
        <f>IF($Z127="","",INDEX('Per Line'!$A$2:$A$1001,$Z127))</f>
        <v/>
      </c>
      <c r="E127">
        <f>IF($Z127="","",INDEX('Per Line'!$E$2:$E$1001,$Z127)&amp;"")</f>
        <v/>
      </c>
      <c r="F127">
        <f>IF($Z127="","",INDEX('Per Line'!$F$2:$F$1001,$Z127)&amp;"")</f>
        <v/>
      </c>
      <c r="G127" s="11">
        <f>IF($Z127="","",INDEX('Per Line'!$G$2:$G$1001,$Z127))</f>
        <v/>
      </c>
      <c r="H127">
        <f>IF($Z127="","",INDEX('Per Line'!$I$2:$I$1001,$Z127)&amp;"")</f>
        <v/>
      </c>
      <c r="I127">
        <f>IF($Z127="","",INDEX('Per Line'!$J$2:$J$1001,$Z127)&amp;"")</f>
        <v/>
      </c>
      <c r="J127">
        <f>IF($Z127="","",INDEX('Per Line'!$K$2:$K$1001,$Z127)&amp;"")</f>
        <v/>
      </c>
      <c r="K127">
        <f>IF($Z127="","",INDEX('Per Line'!$L$2:$L$1001,$Z127)&amp;"")</f>
        <v/>
      </c>
      <c r="L127">
        <f>IF($Z127="","",INDEX('Per Line'!$M$2:$M$1001,$Z127)&amp;"")</f>
        <v/>
      </c>
      <c r="M127">
        <f>IF($Z127="","",INDEX('Per Line'!$P$2:$P$1001,$Z127))</f>
        <v/>
      </c>
      <c r="N127" s="7">
        <f>IF($Z127="","",M127*X127/100)</f>
        <v/>
      </c>
      <c r="O127" s="7">
        <f>IF($Z127="","",SUMIFS('Per Line'!$Y$2:$Y$1001,'Per Line'!$D$2:$D$1001,$B127,'Per Line'!$AP$2:$AP$1001,1))</f>
        <v/>
      </c>
      <c r="P127">
        <f>IF($Z127="","",Settings!$C$7)</f>
        <v/>
      </c>
      <c r="Q127" s="7">
        <f>IF($Z127="","",SUMIFS('Per Line'!$Y$2:$Y$1001,'Per Line'!$D$2:$D$1001,$B127,'Per Line'!$AO$2:$AO$1001,0,'Per Line'!$AP$2:$AP$1001,0))</f>
        <v/>
      </c>
      <c r="R127" s="7">
        <f>IF($Z127="","",Q127*P127)</f>
        <v/>
      </c>
      <c r="S127">
        <f>IF($Z127="","",Settings!$C$6)</f>
        <v/>
      </c>
      <c r="T127" s="7">
        <f>IF($Z127="","",SUMIFS('Per Line'!$Y$2:$Y$1001,'Per Line'!$D$2:$D$1001,$B127,'Per Line'!$AO$2:$AO$1001,1,'Per Line'!$AP$2:$AP$1001,0))</f>
        <v/>
      </c>
      <c r="U127" s="7">
        <f>IF($Z127="","",T127*S127)</f>
        <v/>
      </c>
      <c r="V127" s="7">
        <f>IF($Z127="","",U127+R127)</f>
        <v/>
      </c>
      <c r="W127" s="7">
        <f>IF($Z127="","",X127-V127)</f>
        <v/>
      </c>
      <c r="X127" s="7">
        <f>IF($Z127="","",Q127+T127+O127)</f>
        <v/>
      </c>
      <c r="Y127" s="7">
        <f>IF($Z127="","",X127-V127-N127)</f>
        <v/>
      </c>
      <c r="Z127" s="13">
        <f>IF(ROWS($Z$2:$Z127)&lt;=MAX('Per Line'!$AN$2:$AN$1001),MATCH(ROWS($Z$2:$Z127),'Per Line'!$AN$2:$AN$1001,0),"")</f>
        <v/>
      </c>
    </row>
    <row r="128">
      <c r="A128" s="12" t="n"/>
      <c r="B128">
        <f>IF($Z128="","",INDEX('Per Line'!$D$2:$D$1001,$Z128)&amp;"")</f>
        <v/>
      </c>
      <c r="C128">
        <f>IF($Z128="","",INDEX('Per Line'!$B$2:$B$1001,$Z128)&amp;"")</f>
        <v/>
      </c>
      <c r="D128">
        <f>IF($Z128="","",INDEX('Per Line'!$A$2:$A$1001,$Z128))</f>
        <v/>
      </c>
      <c r="E128">
        <f>IF($Z128="","",INDEX('Per Line'!$E$2:$E$1001,$Z128)&amp;"")</f>
        <v/>
      </c>
      <c r="F128">
        <f>IF($Z128="","",INDEX('Per Line'!$F$2:$F$1001,$Z128)&amp;"")</f>
        <v/>
      </c>
      <c r="G128" s="11">
        <f>IF($Z128="","",INDEX('Per Line'!$G$2:$G$1001,$Z128))</f>
        <v/>
      </c>
      <c r="H128">
        <f>IF($Z128="","",INDEX('Per Line'!$I$2:$I$1001,$Z128)&amp;"")</f>
        <v/>
      </c>
      <c r="I128">
        <f>IF($Z128="","",INDEX('Per Line'!$J$2:$J$1001,$Z128)&amp;"")</f>
        <v/>
      </c>
      <c r="J128">
        <f>IF($Z128="","",INDEX('Per Line'!$K$2:$K$1001,$Z128)&amp;"")</f>
        <v/>
      </c>
      <c r="K128">
        <f>IF($Z128="","",INDEX('Per Line'!$L$2:$L$1001,$Z128)&amp;"")</f>
        <v/>
      </c>
      <c r="L128">
        <f>IF($Z128="","",INDEX('Per Line'!$M$2:$M$1001,$Z128)&amp;"")</f>
        <v/>
      </c>
      <c r="M128">
        <f>IF($Z128="","",INDEX('Per Line'!$P$2:$P$1001,$Z128))</f>
        <v/>
      </c>
      <c r="N128" s="7">
        <f>IF($Z128="","",M128*X128/100)</f>
        <v/>
      </c>
      <c r="O128" s="7">
        <f>IF($Z128="","",SUMIFS('Per Line'!$Y$2:$Y$1001,'Per Line'!$D$2:$D$1001,$B128,'Per Line'!$AP$2:$AP$1001,1))</f>
        <v/>
      </c>
      <c r="P128">
        <f>IF($Z128="","",Settings!$C$7)</f>
        <v/>
      </c>
      <c r="Q128" s="7">
        <f>IF($Z128="","",SUMIFS('Per Line'!$Y$2:$Y$1001,'Per Line'!$D$2:$D$1001,$B128,'Per Line'!$AO$2:$AO$1001,0,'Per Line'!$AP$2:$AP$1001,0))</f>
        <v/>
      </c>
      <c r="R128" s="7">
        <f>IF($Z128="","",Q128*P128)</f>
        <v/>
      </c>
      <c r="S128">
        <f>IF($Z128="","",Settings!$C$6)</f>
        <v/>
      </c>
      <c r="T128" s="7">
        <f>IF($Z128="","",SUMIFS('Per Line'!$Y$2:$Y$1001,'Per Line'!$D$2:$D$1001,$B128,'Per Line'!$AO$2:$AO$1001,1,'Per Line'!$AP$2:$AP$1001,0))</f>
        <v/>
      </c>
      <c r="U128" s="7">
        <f>IF($Z128="","",T128*S128)</f>
        <v/>
      </c>
      <c r="V128" s="7">
        <f>IF($Z128="","",U128+R128)</f>
        <v/>
      </c>
      <c r="W128" s="7">
        <f>IF($Z128="","",X128-V128)</f>
        <v/>
      </c>
      <c r="X128" s="7">
        <f>IF($Z128="","",Q128+T128+O128)</f>
        <v/>
      </c>
      <c r="Y128" s="7">
        <f>IF($Z128="","",X128-V128-N128)</f>
        <v/>
      </c>
      <c r="Z128" s="13">
        <f>IF(ROWS($Z$2:$Z128)&lt;=MAX('Per Line'!$AN$2:$AN$1001),MATCH(ROWS($Z$2:$Z128),'Per Line'!$AN$2:$AN$1001,0),"")</f>
        <v/>
      </c>
    </row>
    <row r="129">
      <c r="A129" s="12" t="n"/>
      <c r="B129">
        <f>IF($Z129="","",INDEX('Per Line'!$D$2:$D$1001,$Z129)&amp;"")</f>
        <v/>
      </c>
      <c r="C129">
        <f>IF($Z129="","",INDEX('Per Line'!$B$2:$B$1001,$Z129)&amp;"")</f>
        <v/>
      </c>
      <c r="D129">
        <f>IF($Z129="","",INDEX('Per Line'!$A$2:$A$1001,$Z129))</f>
        <v/>
      </c>
      <c r="E129">
        <f>IF($Z129="","",INDEX('Per Line'!$E$2:$E$1001,$Z129)&amp;"")</f>
        <v/>
      </c>
      <c r="F129">
        <f>IF($Z129="","",INDEX('Per Line'!$F$2:$F$1001,$Z129)&amp;"")</f>
        <v/>
      </c>
      <c r="G129" s="11">
        <f>IF($Z129="","",INDEX('Per Line'!$G$2:$G$1001,$Z129))</f>
        <v/>
      </c>
      <c r="H129">
        <f>IF($Z129="","",INDEX('Per Line'!$I$2:$I$1001,$Z129)&amp;"")</f>
        <v/>
      </c>
      <c r="I129">
        <f>IF($Z129="","",INDEX('Per Line'!$J$2:$J$1001,$Z129)&amp;"")</f>
        <v/>
      </c>
      <c r="J129">
        <f>IF($Z129="","",INDEX('Per Line'!$K$2:$K$1001,$Z129)&amp;"")</f>
        <v/>
      </c>
      <c r="K129">
        <f>IF($Z129="","",INDEX('Per Line'!$L$2:$L$1001,$Z129)&amp;"")</f>
        <v/>
      </c>
      <c r="L129">
        <f>IF($Z129="","",INDEX('Per Line'!$M$2:$M$1001,$Z129)&amp;"")</f>
        <v/>
      </c>
      <c r="M129">
        <f>IF($Z129="","",INDEX('Per Line'!$P$2:$P$1001,$Z129))</f>
        <v/>
      </c>
      <c r="N129" s="7">
        <f>IF($Z129="","",M129*X129/100)</f>
        <v/>
      </c>
      <c r="O129" s="7">
        <f>IF($Z129="","",SUMIFS('Per Line'!$Y$2:$Y$1001,'Per Line'!$D$2:$D$1001,$B129,'Per Line'!$AP$2:$AP$1001,1))</f>
        <v/>
      </c>
      <c r="P129">
        <f>IF($Z129="","",Settings!$C$7)</f>
        <v/>
      </c>
      <c r="Q129" s="7">
        <f>IF($Z129="","",SUMIFS('Per Line'!$Y$2:$Y$1001,'Per Line'!$D$2:$D$1001,$B129,'Per Line'!$AO$2:$AO$1001,0,'Per Line'!$AP$2:$AP$1001,0))</f>
        <v/>
      </c>
      <c r="R129" s="7">
        <f>IF($Z129="","",Q129*P129)</f>
        <v/>
      </c>
      <c r="S129">
        <f>IF($Z129="","",Settings!$C$6)</f>
        <v/>
      </c>
      <c r="T129" s="7">
        <f>IF($Z129="","",SUMIFS('Per Line'!$Y$2:$Y$1001,'Per Line'!$D$2:$D$1001,$B129,'Per Line'!$AO$2:$AO$1001,1,'Per Line'!$AP$2:$AP$1001,0))</f>
        <v/>
      </c>
      <c r="U129" s="7">
        <f>IF($Z129="","",T129*S129)</f>
        <v/>
      </c>
      <c r="V129" s="7">
        <f>IF($Z129="","",U129+R129)</f>
        <v/>
      </c>
      <c r="W129" s="7">
        <f>IF($Z129="","",X129-V129)</f>
        <v/>
      </c>
      <c r="X129" s="7">
        <f>IF($Z129="","",Q129+T129+O129)</f>
        <v/>
      </c>
      <c r="Y129" s="7">
        <f>IF($Z129="","",X129-V129-N129)</f>
        <v/>
      </c>
      <c r="Z129" s="13">
        <f>IF(ROWS($Z$2:$Z129)&lt;=MAX('Per Line'!$AN$2:$AN$1001),MATCH(ROWS($Z$2:$Z129),'Per Line'!$AN$2:$AN$1001,0),"")</f>
        <v/>
      </c>
    </row>
    <row r="130">
      <c r="A130" s="12" t="n"/>
      <c r="B130">
        <f>IF($Z130="","",INDEX('Per Line'!$D$2:$D$1001,$Z130)&amp;"")</f>
        <v/>
      </c>
      <c r="C130">
        <f>IF($Z130="","",INDEX('Per Line'!$B$2:$B$1001,$Z130)&amp;"")</f>
        <v/>
      </c>
      <c r="D130">
        <f>IF($Z130="","",INDEX('Per Line'!$A$2:$A$1001,$Z130))</f>
        <v/>
      </c>
      <c r="E130">
        <f>IF($Z130="","",INDEX('Per Line'!$E$2:$E$1001,$Z130)&amp;"")</f>
        <v/>
      </c>
      <c r="F130">
        <f>IF($Z130="","",INDEX('Per Line'!$F$2:$F$1001,$Z130)&amp;"")</f>
        <v/>
      </c>
      <c r="G130" s="11">
        <f>IF($Z130="","",INDEX('Per Line'!$G$2:$G$1001,$Z130))</f>
        <v/>
      </c>
      <c r="H130">
        <f>IF($Z130="","",INDEX('Per Line'!$I$2:$I$1001,$Z130)&amp;"")</f>
        <v/>
      </c>
      <c r="I130">
        <f>IF($Z130="","",INDEX('Per Line'!$J$2:$J$1001,$Z130)&amp;"")</f>
        <v/>
      </c>
      <c r="J130">
        <f>IF($Z130="","",INDEX('Per Line'!$K$2:$K$1001,$Z130)&amp;"")</f>
        <v/>
      </c>
      <c r="K130">
        <f>IF($Z130="","",INDEX('Per Line'!$L$2:$L$1001,$Z130)&amp;"")</f>
        <v/>
      </c>
      <c r="L130">
        <f>IF($Z130="","",INDEX('Per Line'!$M$2:$M$1001,$Z130)&amp;"")</f>
        <v/>
      </c>
      <c r="M130">
        <f>IF($Z130="","",INDEX('Per Line'!$P$2:$P$1001,$Z130))</f>
        <v/>
      </c>
      <c r="N130" s="7">
        <f>IF($Z130="","",M130*X130/100)</f>
        <v/>
      </c>
      <c r="O130" s="7">
        <f>IF($Z130="","",SUMIFS('Per Line'!$Y$2:$Y$1001,'Per Line'!$D$2:$D$1001,$B130,'Per Line'!$AP$2:$AP$1001,1))</f>
        <v/>
      </c>
      <c r="P130">
        <f>IF($Z130="","",Settings!$C$7)</f>
        <v/>
      </c>
      <c r="Q130" s="7">
        <f>IF($Z130="","",SUMIFS('Per Line'!$Y$2:$Y$1001,'Per Line'!$D$2:$D$1001,$B130,'Per Line'!$AO$2:$AO$1001,0,'Per Line'!$AP$2:$AP$1001,0))</f>
        <v/>
      </c>
      <c r="R130" s="7">
        <f>IF($Z130="","",Q130*P130)</f>
        <v/>
      </c>
      <c r="S130">
        <f>IF($Z130="","",Settings!$C$6)</f>
        <v/>
      </c>
      <c r="T130" s="7">
        <f>IF($Z130="","",SUMIFS('Per Line'!$Y$2:$Y$1001,'Per Line'!$D$2:$D$1001,$B130,'Per Line'!$AO$2:$AO$1001,1,'Per Line'!$AP$2:$AP$1001,0))</f>
        <v/>
      </c>
      <c r="U130" s="7">
        <f>IF($Z130="","",T130*S130)</f>
        <v/>
      </c>
      <c r="V130" s="7">
        <f>IF($Z130="","",U130+R130)</f>
        <v/>
      </c>
      <c r="W130" s="7">
        <f>IF($Z130="","",X130-V130)</f>
        <v/>
      </c>
      <c r="X130" s="7">
        <f>IF($Z130="","",Q130+T130+O130)</f>
        <v/>
      </c>
      <c r="Y130" s="7">
        <f>IF($Z130="","",X130-V130-N130)</f>
        <v/>
      </c>
      <c r="Z130" s="13">
        <f>IF(ROWS($Z$2:$Z130)&lt;=MAX('Per Line'!$AN$2:$AN$1001),MATCH(ROWS($Z$2:$Z130),'Per Line'!$AN$2:$AN$1001,0),"")</f>
        <v/>
      </c>
    </row>
    <row r="131">
      <c r="A131" s="12" t="n"/>
      <c r="B131">
        <f>IF($Z131="","",INDEX('Per Line'!$D$2:$D$1001,$Z131)&amp;"")</f>
        <v/>
      </c>
      <c r="C131">
        <f>IF($Z131="","",INDEX('Per Line'!$B$2:$B$1001,$Z131)&amp;"")</f>
        <v/>
      </c>
      <c r="D131">
        <f>IF($Z131="","",INDEX('Per Line'!$A$2:$A$1001,$Z131))</f>
        <v/>
      </c>
      <c r="E131">
        <f>IF($Z131="","",INDEX('Per Line'!$E$2:$E$1001,$Z131)&amp;"")</f>
        <v/>
      </c>
      <c r="F131">
        <f>IF($Z131="","",INDEX('Per Line'!$F$2:$F$1001,$Z131)&amp;"")</f>
        <v/>
      </c>
      <c r="G131" s="11">
        <f>IF($Z131="","",INDEX('Per Line'!$G$2:$G$1001,$Z131))</f>
        <v/>
      </c>
      <c r="H131">
        <f>IF($Z131="","",INDEX('Per Line'!$I$2:$I$1001,$Z131)&amp;"")</f>
        <v/>
      </c>
      <c r="I131">
        <f>IF($Z131="","",INDEX('Per Line'!$J$2:$J$1001,$Z131)&amp;"")</f>
        <v/>
      </c>
      <c r="J131">
        <f>IF($Z131="","",INDEX('Per Line'!$K$2:$K$1001,$Z131)&amp;"")</f>
        <v/>
      </c>
      <c r="K131">
        <f>IF($Z131="","",INDEX('Per Line'!$L$2:$L$1001,$Z131)&amp;"")</f>
        <v/>
      </c>
      <c r="L131">
        <f>IF($Z131="","",INDEX('Per Line'!$M$2:$M$1001,$Z131)&amp;"")</f>
        <v/>
      </c>
      <c r="M131">
        <f>IF($Z131="","",INDEX('Per Line'!$P$2:$P$1001,$Z131))</f>
        <v/>
      </c>
      <c r="N131" s="7">
        <f>IF($Z131="","",M131*X131/100)</f>
        <v/>
      </c>
      <c r="O131" s="7">
        <f>IF($Z131="","",SUMIFS('Per Line'!$Y$2:$Y$1001,'Per Line'!$D$2:$D$1001,$B131,'Per Line'!$AP$2:$AP$1001,1))</f>
        <v/>
      </c>
      <c r="P131">
        <f>IF($Z131="","",Settings!$C$7)</f>
        <v/>
      </c>
      <c r="Q131" s="7">
        <f>IF($Z131="","",SUMIFS('Per Line'!$Y$2:$Y$1001,'Per Line'!$D$2:$D$1001,$B131,'Per Line'!$AO$2:$AO$1001,0,'Per Line'!$AP$2:$AP$1001,0))</f>
        <v/>
      </c>
      <c r="R131" s="7">
        <f>IF($Z131="","",Q131*P131)</f>
        <v/>
      </c>
      <c r="S131">
        <f>IF($Z131="","",Settings!$C$6)</f>
        <v/>
      </c>
      <c r="T131" s="7">
        <f>IF($Z131="","",SUMIFS('Per Line'!$Y$2:$Y$1001,'Per Line'!$D$2:$D$1001,$B131,'Per Line'!$AO$2:$AO$1001,1,'Per Line'!$AP$2:$AP$1001,0))</f>
        <v/>
      </c>
      <c r="U131" s="7">
        <f>IF($Z131="","",T131*S131)</f>
        <v/>
      </c>
      <c r="V131" s="7">
        <f>IF($Z131="","",U131+R131)</f>
        <v/>
      </c>
      <c r="W131" s="7">
        <f>IF($Z131="","",X131-V131)</f>
        <v/>
      </c>
      <c r="X131" s="7">
        <f>IF($Z131="","",Q131+T131+O131)</f>
        <v/>
      </c>
      <c r="Y131" s="7">
        <f>IF($Z131="","",X131-V131-N131)</f>
        <v/>
      </c>
      <c r="Z131" s="13">
        <f>IF(ROWS($Z$2:$Z131)&lt;=MAX('Per Line'!$AN$2:$AN$1001),MATCH(ROWS($Z$2:$Z131),'Per Line'!$AN$2:$AN$1001,0),"")</f>
        <v/>
      </c>
    </row>
    <row r="132">
      <c r="A132" s="12" t="n"/>
      <c r="B132">
        <f>IF($Z132="","",INDEX('Per Line'!$D$2:$D$1001,$Z132)&amp;"")</f>
        <v/>
      </c>
      <c r="C132">
        <f>IF($Z132="","",INDEX('Per Line'!$B$2:$B$1001,$Z132)&amp;"")</f>
        <v/>
      </c>
      <c r="D132">
        <f>IF($Z132="","",INDEX('Per Line'!$A$2:$A$1001,$Z132))</f>
        <v/>
      </c>
      <c r="E132">
        <f>IF($Z132="","",INDEX('Per Line'!$E$2:$E$1001,$Z132)&amp;"")</f>
        <v/>
      </c>
      <c r="F132">
        <f>IF($Z132="","",INDEX('Per Line'!$F$2:$F$1001,$Z132)&amp;"")</f>
        <v/>
      </c>
      <c r="G132" s="11">
        <f>IF($Z132="","",INDEX('Per Line'!$G$2:$G$1001,$Z132))</f>
        <v/>
      </c>
      <c r="H132">
        <f>IF($Z132="","",INDEX('Per Line'!$I$2:$I$1001,$Z132)&amp;"")</f>
        <v/>
      </c>
      <c r="I132">
        <f>IF($Z132="","",INDEX('Per Line'!$J$2:$J$1001,$Z132)&amp;"")</f>
        <v/>
      </c>
      <c r="J132">
        <f>IF($Z132="","",INDEX('Per Line'!$K$2:$K$1001,$Z132)&amp;"")</f>
        <v/>
      </c>
      <c r="K132">
        <f>IF($Z132="","",INDEX('Per Line'!$L$2:$L$1001,$Z132)&amp;"")</f>
        <v/>
      </c>
      <c r="L132">
        <f>IF($Z132="","",INDEX('Per Line'!$M$2:$M$1001,$Z132)&amp;"")</f>
        <v/>
      </c>
      <c r="M132">
        <f>IF($Z132="","",INDEX('Per Line'!$P$2:$P$1001,$Z132))</f>
        <v/>
      </c>
      <c r="N132" s="7">
        <f>IF($Z132="","",M132*X132/100)</f>
        <v/>
      </c>
      <c r="O132" s="7">
        <f>IF($Z132="","",SUMIFS('Per Line'!$Y$2:$Y$1001,'Per Line'!$D$2:$D$1001,$B132,'Per Line'!$AP$2:$AP$1001,1))</f>
        <v/>
      </c>
      <c r="P132">
        <f>IF($Z132="","",Settings!$C$7)</f>
        <v/>
      </c>
      <c r="Q132" s="7">
        <f>IF($Z132="","",SUMIFS('Per Line'!$Y$2:$Y$1001,'Per Line'!$D$2:$D$1001,$B132,'Per Line'!$AO$2:$AO$1001,0,'Per Line'!$AP$2:$AP$1001,0))</f>
        <v/>
      </c>
      <c r="R132" s="7">
        <f>IF($Z132="","",Q132*P132)</f>
        <v/>
      </c>
      <c r="S132">
        <f>IF($Z132="","",Settings!$C$6)</f>
        <v/>
      </c>
      <c r="T132" s="7">
        <f>IF($Z132="","",SUMIFS('Per Line'!$Y$2:$Y$1001,'Per Line'!$D$2:$D$1001,$B132,'Per Line'!$AO$2:$AO$1001,1,'Per Line'!$AP$2:$AP$1001,0))</f>
        <v/>
      </c>
      <c r="U132" s="7">
        <f>IF($Z132="","",T132*S132)</f>
        <v/>
      </c>
      <c r="V132" s="7">
        <f>IF($Z132="","",U132+R132)</f>
        <v/>
      </c>
      <c r="W132" s="7">
        <f>IF($Z132="","",X132-V132)</f>
        <v/>
      </c>
      <c r="X132" s="7">
        <f>IF($Z132="","",Q132+T132+O132)</f>
        <v/>
      </c>
      <c r="Y132" s="7">
        <f>IF($Z132="","",X132-V132-N132)</f>
        <v/>
      </c>
      <c r="Z132" s="13">
        <f>IF(ROWS($Z$2:$Z132)&lt;=MAX('Per Line'!$AN$2:$AN$1001),MATCH(ROWS($Z$2:$Z132),'Per Line'!$AN$2:$AN$1001,0),"")</f>
        <v/>
      </c>
    </row>
    <row r="133">
      <c r="A133" s="12" t="n"/>
      <c r="B133">
        <f>IF($Z133="","",INDEX('Per Line'!$D$2:$D$1001,$Z133)&amp;"")</f>
        <v/>
      </c>
      <c r="C133">
        <f>IF($Z133="","",INDEX('Per Line'!$B$2:$B$1001,$Z133)&amp;"")</f>
        <v/>
      </c>
      <c r="D133">
        <f>IF($Z133="","",INDEX('Per Line'!$A$2:$A$1001,$Z133))</f>
        <v/>
      </c>
      <c r="E133">
        <f>IF($Z133="","",INDEX('Per Line'!$E$2:$E$1001,$Z133)&amp;"")</f>
        <v/>
      </c>
      <c r="F133">
        <f>IF($Z133="","",INDEX('Per Line'!$F$2:$F$1001,$Z133)&amp;"")</f>
        <v/>
      </c>
      <c r="G133" s="11">
        <f>IF($Z133="","",INDEX('Per Line'!$G$2:$G$1001,$Z133))</f>
        <v/>
      </c>
      <c r="H133">
        <f>IF($Z133="","",INDEX('Per Line'!$I$2:$I$1001,$Z133)&amp;"")</f>
        <v/>
      </c>
      <c r="I133">
        <f>IF($Z133="","",INDEX('Per Line'!$J$2:$J$1001,$Z133)&amp;"")</f>
        <v/>
      </c>
      <c r="J133">
        <f>IF($Z133="","",INDEX('Per Line'!$K$2:$K$1001,$Z133)&amp;"")</f>
        <v/>
      </c>
      <c r="K133">
        <f>IF($Z133="","",INDEX('Per Line'!$L$2:$L$1001,$Z133)&amp;"")</f>
        <v/>
      </c>
      <c r="L133">
        <f>IF($Z133="","",INDEX('Per Line'!$M$2:$M$1001,$Z133)&amp;"")</f>
        <v/>
      </c>
      <c r="M133">
        <f>IF($Z133="","",INDEX('Per Line'!$P$2:$P$1001,$Z133))</f>
        <v/>
      </c>
      <c r="N133" s="7">
        <f>IF($Z133="","",M133*X133/100)</f>
        <v/>
      </c>
      <c r="O133" s="7">
        <f>IF($Z133="","",SUMIFS('Per Line'!$Y$2:$Y$1001,'Per Line'!$D$2:$D$1001,$B133,'Per Line'!$AP$2:$AP$1001,1))</f>
        <v/>
      </c>
      <c r="P133">
        <f>IF($Z133="","",Settings!$C$7)</f>
        <v/>
      </c>
      <c r="Q133" s="7">
        <f>IF($Z133="","",SUMIFS('Per Line'!$Y$2:$Y$1001,'Per Line'!$D$2:$D$1001,$B133,'Per Line'!$AO$2:$AO$1001,0,'Per Line'!$AP$2:$AP$1001,0))</f>
        <v/>
      </c>
      <c r="R133" s="7">
        <f>IF($Z133="","",Q133*P133)</f>
        <v/>
      </c>
      <c r="S133">
        <f>IF($Z133="","",Settings!$C$6)</f>
        <v/>
      </c>
      <c r="T133" s="7">
        <f>IF($Z133="","",SUMIFS('Per Line'!$Y$2:$Y$1001,'Per Line'!$D$2:$D$1001,$B133,'Per Line'!$AO$2:$AO$1001,1,'Per Line'!$AP$2:$AP$1001,0))</f>
        <v/>
      </c>
      <c r="U133" s="7">
        <f>IF($Z133="","",T133*S133)</f>
        <v/>
      </c>
      <c r="V133" s="7">
        <f>IF($Z133="","",U133+R133)</f>
        <v/>
      </c>
      <c r="W133" s="7">
        <f>IF($Z133="","",X133-V133)</f>
        <v/>
      </c>
      <c r="X133" s="7">
        <f>IF($Z133="","",Q133+T133+O133)</f>
        <v/>
      </c>
      <c r="Y133" s="7">
        <f>IF($Z133="","",X133-V133-N133)</f>
        <v/>
      </c>
      <c r="Z133" s="13">
        <f>IF(ROWS($Z$2:$Z133)&lt;=MAX('Per Line'!$AN$2:$AN$1001),MATCH(ROWS($Z$2:$Z133),'Per Line'!$AN$2:$AN$1001,0),"")</f>
        <v/>
      </c>
    </row>
    <row r="134">
      <c r="A134" s="12" t="n"/>
      <c r="B134">
        <f>IF($Z134="","",INDEX('Per Line'!$D$2:$D$1001,$Z134)&amp;"")</f>
        <v/>
      </c>
      <c r="C134">
        <f>IF($Z134="","",INDEX('Per Line'!$B$2:$B$1001,$Z134)&amp;"")</f>
        <v/>
      </c>
      <c r="D134">
        <f>IF($Z134="","",INDEX('Per Line'!$A$2:$A$1001,$Z134))</f>
        <v/>
      </c>
      <c r="E134">
        <f>IF($Z134="","",INDEX('Per Line'!$E$2:$E$1001,$Z134)&amp;"")</f>
        <v/>
      </c>
      <c r="F134">
        <f>IF($Z134="","",INDEX('Per Line'!$F$2:$F$1001,$Z134)&amp;"")</f>
        <v/>
      </c>
      <c r="G134" s="11">
        <f>IF($Z134="","",INDEX('Per Line'!$G$2:$G$1001,$Z134))</f>
        <v/>
      </c>
      <c r="H134">
        <f>IF($Z134="","",INDEX('Per Line'!$I$2:$I$1001,$Z134)&amp;"")</f>
        <v/>
      </c>
      <c r="I134">
        <f>IF($Z134="","",INDEX('Per Line'!$J$2:$J$1001,$Z134)&amp;"")</f>
        <v/>
      </c>
      <c r="J134">
        <f>IF($Z134="","",INDEX('Per Line'!$K$2:$K$1001,$Z134)&amp;"")</f>
        <v/>
      </c>
      <c r="K134">
        <f>IF($Z134="","",INDEX('Per Line'!$L$2:$L$1001,$Z134)&amp;"")</f>
        <v/>
      </c>
      <c r="L134">
        <f>IF($Z134="","",INDEX('Per Line'!$M$2:$M$1001,$Z134)&amp;"")</f>
        <v/>
      </c>
      <c r="M134">
        <f>IF($Z134="","",INDEX('Per Line'!$P$2:$P$1001,$Z134))</f>
        <v/>
      </c>
      <c r="N134" s="7">
        <f>IF($Z134="","",M134*X134/100)</f>
        <v/>
      </c>
      <c r="O134" s="7">
        <f>IF($Z134="","",SUMIFS('Per Line'!$Y$2:$Y$1001,'Per Line'!$D$2:$D$1001,$B134,'Per Line'!$AP$2:$AP$1001,1))</f>
        <v/>
      </c>
      <c r="P134">
        <f>IF($Z134="","",Settings!$C$7)</f>
        <v/>
      </c>
      <c r="Q134" s="7">
        <f>IF($Z134="","",SUMIFS('Per Line'!$Y$2:$Y$1001,'Per Line'!$D$2:$D$1001,$B134,'Per Line'!$AO$2:$AO$1001,0,'Per Line'!$AP$2:$AP$1001,0))</f>
        <v/>
      </c>
      <c r="R134" s="7">
        <f>IF($Z134="","",Q134*P134)</f>
        <v/>
      </c>
      <c r="S134">
        <f>IF($Z134="","",Settings!$C$6)</f>
        <v/>
      </c>
      <c r="T134" s="7">
        <f>IF($Z134="","",SUMIFS('Per Line'!$Y$2:$Y$1001,'Per Line'!$D$2:$D$1001,$B134,'Per Line'!$AO$2:$AO$1001,1,'Per Line'!$AP$2:$AP$1001,0))</f>
        <v/>
      </c>
      <c r="U134" s="7">
        <f>IF($Z134="","",T134*S134)</f>
        <v/>
      </c>
      <c r="V134" s="7">
        <f>IF($Z134="","",U134+R134)</f>
        <v/>
      </c>
      <c r="W134" s="7">
        <f>IF($Z134="","",X134-V134)</f>
        <v/>
      </c>
      <c r="X134" s="7">
        <f>IF($Z134="","",Q134+T134+O134)</f>
        <v/>
      </c>
      <c r="Y134" s="7">
        <f>IF($Z134="","",X134-V134-N134)</f>
        <v/>
      </c>
      <c r="Z134" s="13">
        <f>IF(ROWS($Z$2:$Z134)&lt;=MAX('Per Line'!$AN$2:$AN$1001),MATCH(ROWS($Z$2:$Z134),'Per Line'!$AN$2:$AN$1001,0),"")</f>
        <v/>
      </c>
    </row>
    <row r="135">
      <c r="A135" s="12" t="n"/>
      <c r="B135">
        <f>IF($Z135="","",INDEX('Per Line'!$D$2:$D$1001,$Z135)&amp;"")</f>
        <v/>
      </c>
      <c r="C135">
        <f>IF($Z135="","",INDEX('Per Line'!$B$2:$B$1001,$Z135)&amp;"")</f>
        <v/>
      </c>
      <c r="D135">
        <f>IF($Z135="","",INDEX('Per Line'!$A$2:$A$1001,$Z135))</f>
        <v/>
      </c>
      <c r="E135">
        <f>IF($Z135="","",INDEX('Per Line'!$E$2:$E$1001,$Z135)&amp;"")</f>
        <v/>
      </c>
      <c r="F135">
        <f>IF($Z135="","",INDEX('Per Line'!$F$2:$F$1001,$Z135)&amp;"")</f>
        <v/>
      </c>
      <c r="G135" s="11">
        <f>IF($Z135="","",INDEX('Per Line'!$G$2:$G$1001,$Z135))</f>
        <v/>
      </c>
      <c r="H135">
        <f>IF($Z135="","",INDEX('Per Line'!$I$2:$I$1001,$Z135)&amp;"")</f>
        <v/>
      </c>
      <c r="I135">
        <f>IF($Z135="","",INDEX('Per Line'!$J$2:$J$1001,$Z135)&amp;"")</f>
        <v/>
      </c>
      <c r="J135">
        <f>IF($Z135="","",INDEX('Per Line'!$K$2:$K$1001,$Z135)&amp;"")</f>
        <v/>
      </c>
      <c r="K135">
        <f>IF($Z135="","",INDEX('Per Line'!$L$2:$L$1001,$Z135)&amp;"")</f>
        <v/>
      </c>
      <c r="L135">
        <f>IF($Z135="","",INDEX('Per Line'!$M$2:$M$1001,$Z135)&amp;"")</f>
        <v/>
      </c>
      <c r="M135">
        <f>IF($Z135="","",INDEX('Per Line'!$P$2:$P$1001,$Z135))</f>
        <v/>
      </c>
      <c r="N135" s="7">
        <f>IF($Z135="","",M135*X135/100)</f>
        <v/>
      </c>
      <c r="O135" s="7">
        <f>IF($Z135="","",SUMIFS('Per Line'!$Y$2:$Y$1001,'Per Line'!$D$2:$D$1001,$B135,'Per Line'!$AP$2:$AP$1001,1))</f>
        <v/>
      </c>
      <c r="P135">
        <f>IF($Z135="","",Settings!$C$7)</f>
        <v/>
      </c>
      <c r="Q135" s="7">
        <f>IF($Z135="","",SUMIFS('Per Line'!$Y$2:$Y$1001,'Per Line'!$D$2:$D$1001,$B135,'Per Line'!$AO$2:$AO$1001,0,'Per Line'!$AP$2:$AP$1001,0))</f>
        <v/>
      </c>
      <c r="R135" s="7">
        <f>IF($Z135="","",Q135*P135)</f>
        <v/>
      </c>
      <c r="S135">
        <f>IF($Z135="","",Settings!$C$6)</f>
        <v/>
      </c>
      <c r="T135" s="7">
        <f>IF($Z135="","",SUMIFS('Per Line'!$Y$2:$Y$1001,'Per Line'!$D$2:$D$1001,$B135,'Per Line'!$AO$2:$AO$1001,1,'Per Line'!$AP$2:$AP$1001,0))</f>
        <v/>
      </c>
      <c r="U135" s="7">
        <f>IF($Z135="","",T135*S135)</f>
        <v/>
      </c>
      <c r="V135" s="7">
        <f>IF($Z135="","",U135+R135)</f>
        <v/>
      </c>
      <c r="W135" s="7">
        <f>IF($Z135="","",X135-V135)</f>
        <v/>
      </c>
      <c r="X135" s="7">
        <f>IF($Z135="","",Q135+T135+O135)</f>
        <v/>
      </c>
      <c r="Y135" s="7">
        <f>IF($Z135="","",X135-V135-N135)</f>
        <v/>
      </c>
      <c r="Z135" s="13">
        <f>IF(ROWS($Z$2:$Z135)&lt;=MAX('Per Line'!$AN$2:$AN$1001),MATCH(ROWS($Z$2:$Z135),'Per Line'!$AN$2:$AN$1001,0),"")</f>
        <v/>
      </c>
    </row>
    <row r="136">
      <c r="A136" s="12" t="n"/>
      <c r="B136">
        <f>IF($Z136="","",INDEX('Per Line'!$D$2:$D$1001,$Z136)&amp;"")</f>
        <v/>
      </c>
      <c r="C136">
        <f>IF($Z136="","",INDEX('Per Line'!$B$2:$B$1001,$Z136)&amp;"")</f>
        <v/>
      </c>
      <c r="D136">
        <f>IF($Z136="","",INDEX('Per Line'!$A$2:$A$1001,$Z136))</f>
        <v/>
      </c>
      <c r="E136">
        <f>IF($Z136="","",INDEX('Per Line'!$E$2:$E$1001,$Z136)&amp;"")</f>
        <v/>
      </c>
      <c r="F136">
        <f>IF($Z136="","",INDEX('Per Line'!$F$2:$F$1001,$Z136)&amp;"")</f>
        <v/>
      </c>
      <c r="G136" s="11">
        <f>IF($Z136="","",INDEX('Per Line'!$G$2:$G$1001,$Z136))</f>
        <v/>
      </c>
      <c r="H136">
        <f>IF($Z136="","",INDEX('Per Line'!$I$2:$I$1001,$Z136)&amp;"")</f>
        <v/>
      </c>
      <c r="I136">
        <f>IF($Z136="","",INDEX('Per Line'!$J$2:$J$1001,$Z136)&amp;"")</f>
        <v/>
      </c>
      <c r="J136">
        <f>IF($Z136="","",INDEX('Per Line'!$K$2:$K$1001,$Z136)&amp;"")</f>
        <v/>
      </c>
      <c r="K136">
        <f>IF($Z136="","",INDEX('Per Line'!$L$2:$L$1001,$Z136)&amp;"")</f>
        <v/>
      </c>
      <c r="L136">
        <f>IF($Z136="","",INDEX('Per Line'!$M$2:$M$1001,$Z136)&amp;"")</f>
        <v/>
      </c>
      <c r="M136">
        <f>IF($Z136="","",INDEX('Per Line'!$P$2:$P$1001,$Z136))</f>
        <v/>
      </c>
      <c r="N136" s="7">
        <f>IF($Z136="","",M136*X136/100)</f>
        <v/>
      </c>
      <c r="O136" s="7">
        <f>IF($Z136="","",SUMIFS('Per Line'!$Y$2:$Y$1001,'Per Line'!$D$2:$D$1001,$B136,'Per Line'!$AP$2:$AP$1001,1))</f>
        <v/>
      </c>
      <c r="P136">
        <f>IF($Z136="","",Settings!$C$7)</f>
        <v/>
      </c>
      <c r="Q136" s="7">
        <f>IF($Z136="","",SUMIFS('Per Line'!$Y$2:$Y$1001,'Per Line'!$D$2:$D$1001,$B136,'Per Line'!$AO$2:$AO$1001,0,'Per Line'!$AP$2:$AP$1001,0))</f>
        <v/>
      </c>
      <c r="R136" s="7">
        <f>IF($Z136="","",Q136*P136)</f>
        <v/>
      </c>
      <c r="S136">
        <f>IF($Z136="","",Settings!$C$6)</f>
        <v/>
      </c>
      <c r="T136" s="7">
        <f>IF($Z136="","",SUMIFS('Per Line'!$Y$2:$Y$1001,'Per Line'!$D$2:$D$1001,$B136,'Per Line'!$AO$2:$AO$1001,1,'Per Line'!$AP$2:$AP$1001,0))</f>
        <v/>
      </c>
      <c r="U136" s="7">
        <f>IF($Z136="","",T136*S136)</f>
        <v/>
      </c>
      <c r="V136" s="7">
        <f>IF($Z136="","",U136+R136)</f>
        <v/>
      </c>
      <c r="W136" s="7">
        <f>IF($Z136="","",X136-V136)</f>
        <v/>
      </c>
      <c r="X136" s="7">
        <f>IF($Z136="","",Q136+T136+O136)</f>
        <v/>
      </c>
      <c r="Y136" s="7">
        <f>IF($Z136="","",X136-V136-N136)</f>
        <v/>
      </c>
      <c r="Z136" s="13">
        <f>IF(ROWS($Z$2:$Z136)&lt;=MAX('Per Line'!$AN$2:$AN$1001),MATCH(ROWS($Z$2:$Z136),'Per Line'!$AN$2:$AN$1001,0),"")</f>
        <v/>
      </c>
    </row>
    <row r="137">
      <c r="A137" s="12" t="n"/>
      <c r="B137">
        <f>IF($Z137="","",INDEX('Per Line'!$D$2:$D$1001,$Z137)&amp;"")</f>
        <v/>
      </c>
      <c r="C137">
        <f>IF($Z137="","",INDEX('Per Line'!$B$2:$B$1001,$Z137)&amp;"")</f>
        <v/>
      </c>
      <c r="D137">
        <f>IF($Z137="","",INDEX('Per Line'!$A$2:$A$1001,$Z137))</f>
        <v/>
      </c>
      <c r="E137">
        <f>IF($Z137="","",INDEX('Per Line'!$E$2:$E$1001,$Z137)&amp;"")</f>
        <v/>
      </c>
      <c r="F137">
        <f>IF($Z137="","",INDEX('Per Line'!$F$2:$F$1001,$Z137)&amp;"")</f>
        <v/>
      </c>
      <c r="G137" s="11">
        <f>IF($Z137="","",INDEX('Per Line'!$G$2:$G$1001,$Z137))</f>
        <v/>
      </c>
      <c r="H137">
        <f>IF($Z137="","",INDEX('Per Line'!$I$2:$I$1001,$Z137)&amp;"")</f>
        <v/>
      </c>
      <c r="I137">
        <f>IF($Z137="","",INDEX('Per Line'!$J$2:$J$1001,$Z137)&amp;"")</f>
        <v/>
      </c>
      <c r="J137">
        <f>IF($Z137="","",INDEX('Per Line'!$K$2:$K$1001,$Z137)&amp;"")</f>
        <v/>
      </c>
      <c r="K137">
        <f>IF($Z137="","",INDEX('Per Line'!$L$2:$L$1001,$Z137)&amp;"")</f>
        <v/>
      </c>
      <c r="L137">
        <f>IF($Z137="","",INDEX('Per Line'!$M$2:$M$1001,$Z137)&amp;"")</f>
        <v/>
      </c>
      <c r="M137">
        <f>IF($Z137="","",INDEX('Per Line'!$P$2:$P$1001,$Z137))</f>
        <v/>
      </c>
      <c r="N137" s="7">
        <f>IF($Z137="","",M137*X137/100)</f>
        <v/>
      </c>
      <c r="O137" s="7">
        <f>IF($Z137="","",SUMIFS('Per Line'!$Y$2:$Y$1001,'Per Line'!$D$2:$D$1001,$B137,'Per Line'!$AP$2:$AP$1001,1))</f>
        <v/>
      </c>
      <c r="P137">
        <f>IF($Z137="","",Settings!$C$7)</f>
        <v/>
      </c>
      <c r="Q137" s="7">
        <f>IF($Z137="","",SUMIFS('Per Line'!$Y$2:$Y$1001,'Per Line'!$D$2:$D$1001,$B137,'Per Line'!$AO$2:$AO$1001,0,'Per Line'!$AP$2:$AP$1001,0))</f>
        <v/>
      </c>
      <c r="R137" s="7">
        <f>IF($Z137="","",Q137*P137)</f>
        <v/>
      </c>
      <c r="S137">
        <f>IF($Z137="","",Settings!$C$6)</f>
        <v/>
      </c>
      <c r="T137" s="7">
        <f>IF($Z137="","",SUMIFS('Per Line'!$Y$2:$Y$1001,'Per Line'!$D$2:$D$1001,$B137,'Per Line'!$AO$2:$AO$1001,1,'Per Line'!$AP$2:$AP$1001,0))</f>
        <v/>
      </c>
      <c r="U137" s="7">
        <f>IF($Z137="","",T137*S137)</f>
        <v/>
      </c>
      <c r="V137" s="7">
        <f>IF($Z137="","",U137+R137)</f>
        <v/>
      </c>
      <c r="W137" s="7">
        <f>IF($Z137="","",X137-V137)</f>
        <v/>
      </c>
      <c r="X137" s="7">
        <f>IF($Z137="","",Q137+T137+O137)</f>
        <v/>
      </c>
      <c r="Y137" s="7">
        <f>IF($Z137="","",X137-V137-N137)</f>
        <v/>
      </c>
      <c r="Z137" s="13">
        <f>IF(ROWS($Z$2:$Z137)&lt;=MAX('Per Line'!$AN$2:$AN$1001),MATCH(ROWS($Z$2:$Z137),'Per Line'!$AN$2:$AN$1001,0),"")</f>
        <v/>
      </c>
    </row>
    <row r="138">
      <c r="A138" s="12" t="n"/>
      <c r="B138">
        <f>IF($Z138="","",INDEX('Per Line'!$D$2:$D$1001,$Z138)&amp;"")</f>
        <v/>
      </c>
      <c r="C138">
        <f>IF($Z138="","",INDEX('Per Line'!$B$2:$B$1001,$Z138)&amp;"")</f>
        <v/>
      </c>
      <c r="D138">
        <f>IF($Z138="","",INDEX('Per Line'!$A$2:$A$1001,$Z138))</f>
        <v/>
      </c>
      <c r="E138">
        <f>IF($Z138="","",INDEX('Per Line'!$E$2:$E$1001,$Z138)&amp;"")</f>
        <v/>
      </c>
      <c r="F138">
        <f>IF($Z138="","",INDEX('Per Line'!$F$2:$F$1001,$Z138)&amp;"")</f>
        <v/>
      </c>
      <c r="G138" s="11">
        <f>IF($Z138="","",INDEX('Per Line'!$G$2:$G$1001,$Z138))</f>
        <v/>
      </c>
      <c r="H138">
        <f>IF($Z138="","",INDEX('Per Line'!$I$2:$I$1001,$Z138)&amp;"")</f>
        <v/>
      </c>
      <c r="I138">
        <f>IF($Z138="","",INDEX('Per Line'!$J$2:$J$1001,$Z138)&amp;"")</f>
        <v/>
      </c>
      <c r="J138">
        <f>IF($Z138="","",INDEX('Per Line'!$K$2:$K$1001,$Z138)&amp;"")</f>
        <v/>
      </c>
      <c r="K138">
        <f>IF($Z138="","",INDEX('Per Line'!$L$2:$L$1001,$Z138)&amp;"")</f>
        <v/>
      </c>
      <c r="L138">
        <f>IF($Z138="","",INDEX('Per Line'!$M$2:$M$1001,$Z138)&amp;"")</f>
        <v/>
      </c>
      <c r="M138">
        <f>IF($Z138="","",INDEX('Per Line'!$P$2:$P$1001,$Z138))</f>
        <v/>
      </c>
      <c r="N138" s="7">
        <f>IF($Z138="","",M138*X138/100)</f>
        <v/>
      </c>
      <c r="O138" s="7">
        <f>IF($Z138="","",SUMIFS('Per Line'!$Y$2:$Y$1001,'Per Line'!$D$2:$D$1001,$B138,'Per Line'!$AP$2:$AP$1001,1))</f>
        <v/>
      </c>
      <c r="P138">
        <f>IF($Z138="","",Settings!$C$7)</f>
        <v/>
      </c>
      <c r="Q138" s="7">
        <f>IF($Z138="","",SUMIFS('Per Line'!$Y$2:$Y$1001,'Per Line'!$D$2:$D$1001,$B138,'Per Line'!$AO$2:$AO$1001,0,'Per Line'!$AP$2:$AP$1001,0))</f>
        <v/>
      </c>
      <c r="R138" s="7">
        <f>IF($Z138="","",Q138*P138)</f>
        <v/>
      </c>
      <c r="S138">
        <f>IF($Z138="","",Settings!$C$6)</f>
        <v/>
      </c>
      <c r="T138" s="7">
        <f>IF($Z138="","",SUMIFS('Per Line'!$Y$2:$Y$1001,'Per Line'!$D$2:$D$1001,$B138,'Per Line'!$AO$2:$AO$1001,1,'Per Line'!$AP$2:$AP$1001,0))</f>
        <v/>
      </c>
      <c r="U138" s="7">
        <f>IF($Z138="","",T138*S138)</f>
        <v/>
      </c>
      <c r="V138" s="7">
        <f>IF($Z138="","",U138+R138)</f>
        <v/>
      </c>
      <c r="W138" s="7">
        <f>IF($Z138="","",X138-V138)</f>
        <v/>
      </c>
      <c r="X138" s="7">
        <f>IF($Z138="","",Q138+T138+O138)</f>
        <v/>
      </c>
      <c r="Y138" s="7">
        <f>IF($Z138="","",X138-V138-N138)</f>
        <v/>
      </c>
      <c r="Z138" s="13">
        <f>IF(ROWS($Z$2:$Z138)&lt;=MAX('Per Line'!$AN$2:$AN$1001),MATCH(ROWS($Z$2:$Z138),'Per Line'!$AN$2:$AN$1001,0),"")</f>
        <v/>
      </c>
    </row>
    <row r="139">
      <c r="A139" s="12" t="n"/>
      <c r="B139">
        <f>IF($Z139="","",INDEX('Per Line'!$D$2:$D$1001,$Z139)&amp;"")</f>
        <v/>
      </c>
      <c r="C139">
        <f>IF($Z139="","",INDEX('Per Line'!$B$2:$B$1001,$Z139)&amp;"")</f>
        <v/>
      </c>
      <c r="D139">
        <f>IF($Z139="","",INDEX('Per Line'!$A$2:$A$1001,$Z139))</f>
        <v/>
      </c>
      <c r="E139">
        <f>IF($Z139="","",INDEX('Per Line'!$E$2:$E$1001,$Z139)&amp;"")</f>
        <v/>
      </c>
      <c r="F139">
        <f>IF($Z139="","",INDEX('Per Line'!$F$2:$F$1001,$Z139)&amp;"")</f>
        <v/>
      </c>
      <c r="G139" s="11">
        <f>IF($Z139="","",INDEX('Per Line'!$G$2:$G$1001,$Z139))</f>
        <v/>
      </c>
      <c r="H139">
        <f>IF($Z139="","",INDEX('Per Line'!$I$2:$I$1001,$Z139)&amp;"")</f>
        <v/>
      </c>
      <c r="I139">
        <f>IF($Z139="","",INDEX('Per Line'!$J$2:$J$1001,$Z139)&amp;"")</f>
        <v/>
      </c>
      <c r="J139">
        <f>IF($Z139="","",INDEX('Per Line'!$K$2:$K$1001,$Z139)&amp;"")</f>
        <v/>
      </c>
      <c r="K139">
        <f>IF($Z139="","",INDEX('Per Line'!$L$2:$L$1001,$Z139)&amp;"")</f>
        <v/>
      </c>
      <c r="L139">
        <f>IF($Z139="","",INDEX('Per Line'!$M$2:$M$1001,$Z139)&amp;"")</f>
        <v/>
      </c>
      <c r="M139">
        <f>IF($Z139="","",INDEX('Per Line'!$P$2:$P$1001,$Z139))</f>
        <v/>
      </c>
      <c r="N139" s="7">
        <f>IF($Z139="","",M139*X139/100)</f>
        <v/>
      </c>
      <c r="O139" s="7">
        <f>IF($Z139="","",SUMIFS('Per Line'!$Y$2:$Y$1001,'Per Line'!$D$2:$D$1001,$B139,'Per Line'!$AP$2:$AP$1001,1))</f>
        <v/>
      </c>
      <c r="P139">
        <f>IF($Z139="","",Settings!$C$7)</f>
        <v/>
      </c>
      <c r="Q139" s="7">
        <f>IF($Z139="","",SUMIFS('Per Line'!$Y$2:$Y$1001,'Per Line'!$D$2:$D$1001,$B139,'Per Line'!$AO$2:$AO$1001,0,'Per Line'!$AP$2:$AP$1001,0))</f>
        <v/>
      </c>
      <c r="R139" s="7">
        <f>IF($Z139="","",Q139*P139)</f>
        <v/>
      </c>
      <c r="S139">
        <f>IF($Z139="","",Settings!$C$6)</f>
        <v/>
      </c>
      <c r="T139" s="7">
        <f>IF($Z139="","",SUMIFS('Per Line'!$Y$2:$Y$1001,'Per Line'!$D$2:$D$1001,$B139,'Per Line'!$AO$2:$AO$1001,1,'Per Line'!$AP$2:$AP$1001,0))</f>
        <v/>
      </c>
      <c r="U139" s="7">
        <f>IF($Z139="","",T139*S139)</f>
        <v/>
      </c>
      <c r="V139" s="7">
        <f>IF($Z139="","",U139+R139)</f>
        <v/>
      </c>
      <c r="W139" s="7">
        <f>IF($Z139="","",X139-V139)</f>
        <v/>
      </c>
      <c r="X139" s="7">
        <f>IF($Z139="","",Q139+T139+O139)</f>
        <v/>
      </c>
      <c r="Y139" s="7">
        <f>IF($Z139="","",X139-V139-N139)</f>
        <v/>
      </c>
      <c r="Z139" s="13">
        <f>IF(ROWS($Z$2:$Z139)&lt;=MAX('Per Line'!$AN$2:$AN$1001),MATCH(ROWS($Z$2:$Z139),'Per Line'!$AN$2:$AN$1001,0),"")</f>
        <v/>
      </c>
    </row>
    <row r="140">
      <c r="A140" s="12" t="n"/>
      <c r="B140">
        <f>IF($Z140="","",INDEX('Per Line'!$D$2:$D$1001,$Z140)&amp;"")</f>
        <v/>
      </c>
      <c r="C140">
        <f>IF($Z140="","",INDEX('Per Line'!$B$2:$B$1001,$Z140)&amp;"")</f>
        <v/>
      </c>
      <c r="D140">
        <f>IF($Z140="","",INDEX('Per Line'!$A$2:$A$1001,$Z140))</f>
        <v/>
      </c>
      <c r="E140">
        <f>IF($Z140="","",INDEX('Per Line'!$E$2:$E$1001,$Z140)&amp;"")</f>
        <v/>
      </c>
      <c r="F140">
        <f>IF($Z140="","",INDEX('Per Line'!$F$2:$F$1001,$Z140)&amp;"")</f>
        <v/>
      </c>
      <c r="G140" s="11">
        <f>IF($Z140="","",INDEX('Per Line'!$G$2:$G$1001,$Z140))</f>
        <v/>
      </c>
      <c r="H140">
        <f>IF($Z140="","",INDEX('Per Line'!$I$2:$I$1001,$Z140)&amp;"")</f>
        <v/>
      </c>
      <c r="I140">
        <f>IF($Z140="","",INDEX('Per Line'!$J$2:$J$1001,$Z140)&amp;"")</f>
        <v/>
      </c>
      <c r="J140">
        <f>IF($Z140="","",INDEX('Per Line'!$K$2:$K$1001,$Z140)&amp;"")</f>
        <v/>
      </c>
      <c r="K140">
        <f>IF($Z140="","",INDEX('Per Line'!$L$2:$L$1001,$Z140)&amp;"")</f>
        <v/>
      </c>
      <c r="L140">
        <f>IF($Z140="","",INDEX('Per Line'!$M$2:$M$1001,$Z140)&amp;"")</f>
        <v/>
      </c>
      <c r="M140">
        <f>IF($Z140="","",INDEX('Per Line'!$P$2:$P$1001,$Z140))</f>
        <v/>
      </c>
      <c r="N140" s="7">
        <f>IF($Z140="","",M140*X140/100)</f>
        <v/>
      </c>
      <c r="O140" s="7">
        <f>IF($Z140="","",SUMIFS('Per Line'!$Y$2:$Y$1001,'Per Line'!$D$2:$D$1001,$B140,'Per Line'!$AP$2:$AP$1001,1))</f>
        <v/>
      </c>
      <c r="P140">
        <f>IF($Z140="","",Settings!$C$7)</f>
        <v/>
      </c>
      <c r="Q140" s="7">
        <f>IF($Z140="","",SUMIFS('Per Line'!$Y$2:$Y$1001,'Per Line'!$D$2:$D$1001,$B140,'Per Line'!$AO$2:$AO$1001,0,'Per Line'!$AP$2:$AP$1001,0))</f>
        <v/>
      </c>
      <c r="R140" s="7">
        <f>IF($Z140="","",Q140*P140)</f>
        <v/>
      </c>
      <c r="S140">
        <f>IF($Z140="","",Settings!$C$6)</f>
        <v/>
      </c>
      <c r="T140" s="7">
        <f>IF($Z140="","",SUMIFS('Per Line'!$Y$2:$Y$1001,'Per Line'!$D$2:$D$1001,$B140,'Per Line'!$AO$2:$AO$1001,1,'Per Line'!$AP$2:$AP$1001,0))</f>
        <v/>
      </c>
      <c r="U140" s="7">
        <f>IF($Z140="","",T140*S140)</f>
        <v/>
      </c>
      <c r="V140" s="7">
        <f>IF($Z140="","",U140+R140)</f>
        <v/>
      </c>
      <c r="W140" s="7">
        <f>IF($Z140="","",X140-V140)</f>
        <v/>
      </c>
      <c r="X140" s="7">
        <f>IF($Z140="","",Q140+T140+O140)</f>
        <v/>
      </c>
      <c r="Y140" s="7">
        <f>IF($Z140="","",X140-V140-N140)</f>
        <v/>
      </c>
      <c r="Z140" s="13">
        <f>IF(ROWS($Z$2:$Z140)&lt;=MAX('Per Line'!$AN$2:$AN$1001),MATCH(ROWS($Z$2:$Z140),'Per Line'!$AN$2:$AN$1001,0),"")</f>
        <v/>
      </c>
    </row>
    <row r="141">
      <c r="A141" s="12" t="n"/>
      <c r="B141">
        <f>IF($Z141="","",INDEX('Per Line'!$D$2:$D$1001,$Z141)&amp;"")</f>
        <v/>
      </c>
      <c r="C141">
        <f>IF($Z141="","",INDEX('Per Line'!$B$2:$B$1001,$Z141)&amp;"")</f>
        <v/>
      </c>
      <c r="D141">
        <f>IF($Z141="","",INDEX('Per Line'!$A$2:$A$1001,$Z141))</f>
        <v/>
      </c>
      <c r="E141">
        <f>IF($Z141="","",INDEX('Per Line'!$E$2:$E$1001,$Z141)&amp;"")</f>
        <v/>
      </c>
      <c r="F141">
        <f>IF($Z141="","",INDEX('Per Line'!$F$2:$F$1001,$Z141)&amp;"")</f>
        <v/>
      </c>
      <c r="G141" s="11">
        <f>IF($Z141="","",INDEX('Per Line'!$G$2:$G$1001,$Z141))</f>
        <v/>
      </c>
      <c r="H141">
        <f>IF($Z141="","",INDEX('Per Line'!$I$2:$I$1001,$Z141)&amp;"")</f>
        <v/>
      </c>
      <c r="I141">
        <f>IF($Z141="","",INDEX('Per Line'!$J$2:$J$1001,$Z141)&amp;"")</f>
        <v/>
      </c>
      <c r="J141">
        <f>IF($Z141="","",INDEX('Per Line'!$K$2:$K$1001,$Z141)&amp;"")</f>
        <v/>
      </c>
      <c r="K141">
        <f>IF($Z141="","",INDEX('Per Line'!$L$2:$L$1001,$Z141)&amp;"")</f>
        <v/>
      </c>
      <c r="L141">
        <f>IF($Z141="","",INDEX('Per Line'!$M$2:$M$1001,$Z141)&amp;"")</f>
        <v/>
      </c>
      <c r="M141">
        <f>IF($Z141="","",INDEX('Per Line'!$P$2:$P$1001,$Z141))</f>
        <v/>
      </c>
      <c r="N141" s="7">
        <f>IF($Z141="","",M141*X141/100)</f>
        <v/>
      </c>
      <c r="O141" s="7">
        <f>IF($Z141="","",SUMIFS('Per Line'!$Y$2:$Y$1001,'Per Line'!$D$2:$D$1001,$B141,'Per Line'!$AP$2:$AP$1001,1))</f>
        <v/>
      </c>
      <c r="P141">
        <f>IF($Z141="","",Settings!$C$7)</f>
        <v/>
      </c>
      <c r="Q141" s="7">
        <f>IF($Z141="","",SUMIFS('Per Line'!$Y$2:$Y$1001,'Per Line'!$D$2:$D$1001,$B141,'Per Line'!$AO$2:$AO$1001,0,'Per Line'!$AP$2:$AP$1001,0))</f>
        <v/>
      </c>
      <c r="R141" s="7">
        <f>IF($Z141="","",Q141*P141)</f>
        <v/>
      </c>
      <c r="S141">
        <f>IF($Z141="","",Settings!$C$6)</f>
        <v/>
      </c>
      <c r="T141" s="7">
        <f>IF($Z141="","",SUMIFS('Per Line'!$Y$2:$Y$1001,'Per Line'!$D$2:$D$1001,$B141,'Per Line'!$AO$2:$AO$1001,1,'Per Line'!$AP$2:$AP$1001,0))</f>
        <v/>
      </c>
      <c r="U141" s="7">
        <f>IF($Z141="","",T141*S141)</f>
        <v/>
      </c>
      <c r="V141" s="7">
        <f>IF($Z141="","",U141+R141)</f>
        <v/>
      </c>
      <c r="W141" s="7">
        <f>IF($Z141="","",X141-V141)</f>
        <v/>
      </c>
      <c r="X141" s="7">
        <f>IF($Z141="","",Q141+T141+O141)</f>
        <v/>
      </c>
      <c r="Y141" s="7">
        <f>IF($Z141="","",X141-V141-N141)</f>
        <v/>
      </c>
      <c r="Z141" s="13">
        <f>IF(ROWS($Z$2:$Z141)&lt;=MAX('Per Line'!$AN$2:$AN$1001),MATCH(ROWS($Z$2:$Z141),'Per Line'!$AN$2:$AN$1001,0),"")</f>
        <v/>
      </c>
    </row>
    <row r="142">
      <c r="A142" s="12" t="n"/>
      <c r="B142">
        <f>IF($Z142="","",INDEX('Per Line'!$D$2:$D$1001,$Z142)&amp;"")</f>
        <v/>
      </c>
      <c r="C142">
        <f>IF($Z142="","",INDEX('Per Line'!$B$2:$B$1001,$Z142)&amp;"")</f>
        <v/>
      </c>
      <c r="D142">
        <f>IF($Z142="","",INDEX('Per Line'!$A$2:$A$1001,$Z142))</f>
        <v/>
      </c>
      <c r="E142">
        <f>IF($Z142="","",INDEX('Per Line'!$E$2:$E$1001,$Z142)&amp;"")</f>
        <v/>
      </c>
      <c r="F142">
        <f>IF($Z142="","",INDEX('Per Line'!$F$2:$F$1001,$Z142)&amp;"")</f>
        <v/>
      </c>
      <c r="G142" s="11">
        <f>IF($Z142="","",INDEX('Per Line'!$G$2:$G$1001,$Z142))</f>
        <v/>
      </c>
      <c r="H142">
        <f>IF($Z142="","",INDEX('Per Line'!$I$2:$I$1001,$Z142)&amp;"")</f>
        <v/>
      </c>
      <c r="I142">
        <f>IF($Z142="","",INDEX('Per Line'!$J$2:$J$1001,$Z142)&amp;"")</f>
        <v/>
      </c>
      <c r="J142">
        <f>IF($Z142="","",INDEX('Per Line'!$K$2:$K$1001,$Z142)&amp;"")</f>
        <v/>
      </c>
      <c r="K142">
        <f>IF($Z142="","",INDEX('Per Line'!$L$2:$L$1001,$Z142)&amp;"")</f>
        <v/>
      </c>
      <c r="L142">
        <f>IF($Z142="","",INDEX('Per Line'!$M$2:$M$1001,$Z142)&amp;"")</f>
        <v/>
      </c>
      <c r="M142">
        <f>IF($Z142="","",INDEX('Per Line'!$P$2:$P$1001,$Z142))</f>
        <v/>
      </c>
      <c r="N142" s="7">
        <f>IF($Z142="","",M142*X142/100)</f>
        <v/>
      </c>
      <c r="O142" s="7">
        <f>IF($Z142="","",SUMIFS('Per Line'!$Y$2:$Y$1001,'Per Line'!$D$2:$D$1001,$B142,'Per Line'!$AP$2:$AP$1001,1))</f>
        <v/>
      </c>
      <c r="P142">
        <f>IF($Z142="","",Settings!$C$7)</f>
        <v/>
      </c>
      <c r="Q142" s="7">
        <f>IF($Z142="","",SUMIFS('Per Line'!$Y$2:$Y$1001,'Per Line'!$D$2:$D$1001,$B142,'Per Line'!$AO$2:$AO$1001,0,'Per Line'!$AP$2:$AP$1001,0))</f>
        <v/>
      </c>
      <c r="R142" s="7">
        <f>IF($Z142="","",Q142*P142)</f>
        <v/>
      </c>
      <c r="S142">
        <f>IF($Z142="","",Settings!$C$6)</f>
        <v/>
      </c>
      <c r="T142" s="7">
        <f>IF($Z142="","",SUMIFS('Per Line'!$Y$2:$Y$1001,'Per Line'!$D$2:$D$1001,$B142,'Per Line'!$AO$2:$AO$1001,1,'Per Line'!$AP$2:$AP$1001,0))</f>
        <v/>
      </c>
      <c r="U142" s="7">
        <f>IF($Z142="","",T142*S142)</f>
        <v/>
      </c>
      <c r="V142" s="7">
        <f>IF($Z142="","",U142+R142)</f>
        <v/>
      </c>
      <c r="W142" s="7">
        <f>IF($Z142="","",X142-V142)</f>
        <v/>
      </c>
      <c r="X142" s="7">
        <f>IF($Z142="","",Q142+T142+O142)</f>
        <v/>
      </c>
      <c r="Y142" s="7">
        <f>IF($Z142="","",X142-V142-N142)</f>
        <v/>
      </c>
      <c r="Z142" s="13">
        <f>IF(ROWS($Z$2:$Z142)&lt;=MAX('Per Line'!$AN$2:$AN$1001),MATCH(ROWS($Z$2:$Z142),'Per Line'!$AN$2:$AN$1001,0),"")</f>
        <v/>
      </c>
    </row>
    <row r="143">
      <c r="A143" s="12" t="n"/>
      <c r="B143">
        <f>IF($Z143="","",INDEX('Per Line'!$D$2:$D$1001,$Z143)&amp;"")</f>
        <v/>
      </c>
      <c r="C143">
        <f>IF($Z143="","",INDEX('Per Line'!$B$2:$B$1001,$Z143)&amp;"")</f>
        <v/>
      </c>
      <c r="D143">
        <f>IF($Z143="","",INDEX('Per Line'!$A$2:$A$1001,$Z143))</f>
        <v/>
      </c>
      <c r="E143">
        <f>IF($Z143="","",INDEX('Per Line'!$E$2:$E$1001,$Z143)&amp;"")</f>
        <v/>
      </c>
      <c r="F143">
        <f>IF($Z143="","",INDEX('Per Line'!$F$2:$F$1001,$Z143)&amp;"")</f>
        <v/>
      </c>
      <c r="G143" s="11">
        <f>IF($Z143="","",INDEX('Per Line'!$G$2:$G$1001,$Z143))</f>
        <v/>
      </c>
      <c r="H143">
        <f>IF($Z143="","",INDEX('Per Line'!$I$2:$I$1001,$Z143)&amp;"")</f>
        <v/>
      </c>
      <c r="I143">
        <f>IF($Z143="","",INDEX('Per Line'!$J$2:$J$1001,$Z143)&amp;"")</f>
        <v/>
      </c>
      <c r="J143">
        <f>IF($Z143="","",INDEX('Per Line'!$K$2:$K$1001,$Z143)&amp;"")</f>
        <v/>
      </c>
      <c r="K143">
        <f>IF($Z143="","",INDEX('Per Line'!$L$2:$L$1001,$Z143)&amp;"")</f>
        <v/>
      </c>
      <c r="L143">
        <f>IF($Z143="","",INDEX('Per Line'!$M$2:$M$1001,$Z143)&amp;"")</f>
        <v/>
      </c>
      <c r="M143">
        <f>IF($Z143="","",INDEX('Per Line'!$P$2:$P$1001,$Z143))</f>
        <v/>
      </c>
      <c r="N143" s="7">
        <f>IF($Z143="","",M143*X143/100)</f>
        <v/>
      </c>
      <c r="O143" s="7">
        <f>IF($Z143="","",SUMIFS('Per Line'!$Y$2:$Y$1001,'Per Line'!$D$2:$D$1001,$B143,'Per Line'!$AP$2:$AP$1001,1))</f>
        <v/>
      </c>
      <c r="P143">
        <f>IF($Z143="","",Settings!$C$7)</f>
        <v/>
      </c>
      <c r="Q143" s="7">
        <f>IF($Z143="","",SUMIFS('Per Line'!$Y$2:$Y$1001,'Per Line'!$D$2:$D$1001,$B143,'Per Line'!$AO$2:$AO$1001,0,'Per Line'!$AP$2:$AP$1001,0))</f>
        <v/>
      </c>
      <c r="R143" s="7">
        <f>IF($Z143="","",Q143*P143)</f>
        <v/>
      </c>
      <c r="S143">
        <f>IF($Z143="","",Settings!$C$6)</f>
        <v/>
      </c>
      <c r="T143" s="7">
        <f>IF($Z143="","",SUMIFS('Per Line'!$Y$2:$Y$1001,'Per Line'!$D$2:$D$1001,$B143,'Per Line'!$AO$2:$AO$1001,1,'Per Line'!$AP$2:$AP$1001,0))</f>
        <v/>
      </c>
      <c r="U143" s="7">
        <f>IF($Z143="","",T143*S143)</f>
        <v/>
      </c>
      <c r="V143" s="7">
        <f>IF($Z143="","",U143+R143)</f>
        <v/>
      </c>
      <c r="W143" s="7">
        <f>IF($Z143="","",X143-V143)</f>
        <v/>
      </c>
      <c r="X143" s="7">
        <f>IF($Z143="","",Q143+T143+O143)</f>
        <v/>
      </c>
      <c r="Y143" s="7">
        <f>IF($Z143="","",X143-V143-N143)</f>
        <v/>
      </c>
      <c r="Z143" s="13">
        <f>IF(ROWS($Z$2:$Z143)&lt;=MAX('Per Line'!$AN$2:$AN$1001),MATCH(ROWS($Z$2:$Z143),'Per Line'!$AN$2:$AN$1001,0),"")</f>
        <v/>
      </c>
    </row>
    <row r="144">
      <c r="A144" s="12" t="n"/>
      <c r="B144">
        <f>IF($Z144="","",INDEX('Per Line'!$D$2:$D$1001,$Z144)&amp;"")</f>
        <v/>
      </c>
      <c r="C144">
        <f>IF($Z144="","",INDEX('Per Line'!$B$2:$B$1001,$Z144)&amp;"")</f>
        <v/>
      </c>
      <c r="D144">
        <f>IF($Z144="","",INDEX('Per Line'!$A$2:$A$1001,$Z144))</f>
        <v/>
      </c>
      <c r="E144">
        <f>IF($Z144="","",INDEX('Per Line'!$E$2:$E$1001,$Z144)&amp;"")</f>
        <v/>
      </c>
      <c r="F144">
        <f>IF($Z144="","",INDEX('Per Line'!$F$2:$F$1001,$Z144)&amp;"")</f>
        <v/>
      </c>
      <c r="G144" s="11">
        <f>IF($Z144="","",INDEX('Per Line'!$G$2:$G$1001,$Z144))</f>
        <v/>
      </c>
      <c r="H144">
        <f>IF($Z144="","",INDEX('Per Line'!$I$2:$I$1001,$Z144)&amp;"")</f>
        <v/>
      </c>
      <c r="I144">
        <f>IF($Z144="","",INDEX('Per Line'!$J$2:$J$1001,$Z144)&amp;"")</f>
        <v/>
      </c>
      <c r="J144">
        <f>IF($Z144="","",INDEX('Per Line'!$K$2:$K$1001,$Z144)&amp;"")</f>
        <v/>
      </c>
      <c r="K144">
        <f>IF($Z144="","",INDEX('Per Line'!$L$2:$L$1001,$Z144)&amp;"")</f>
        <v/>
      </c>
      <c r="L144">
        <f>IF($Z144="","",INDEX('Per Line'!$M$2:$M$1001,$Z144)&amp;"")</f>
        <v/>
      </c>
      <c r="M144">
        <f>IF($Z144="","",INDEX('Per Line'!$P$2:$P$1001,$Z144))</f>
        <v/>
      </c>
      <c r="N144" s="7">
        <f>IF($Z144="","",M144*X144/100)</f>
        <v/>
      </c>
      <c r="O144" s="7">
        <f>IF($Z144="","",SUMIFS('Per Line'!$Y$2:$Y$1001,'Per Line'!$D$2:$D$1001,$B144,'Per Line'!$AP$2:$AP$1001,1))</f>
        <v/>
      </c>
      <c r="P144">
        <f>IF($Z144="","",Settings!$C$7)</f>
        <v/>
      </c>
      <c r="Q144" s="7">
        <f>IF($Z144="","",SUMIFS('Per Line'!$Y$2:$Y$1001,'Per Line'!$D$2:$D$1001,$B144,'Per Line'!$AO$2:$AO$1001,0,'Per Line'!$AP$2:$AP$1001,0))</f>
        <v/>
      </c>
      <c r="R144" s="7">
        <f>IF($Z144="","",Q144*P144)</f>
        <v/>
      </c>
      <c r="S144">
        <f>IF($Z144="","",Settings!$C$6)</f>
        <v/>
      </c>
      <c r="T144" s="7">
        <f>IF($Z144="","",SUMIFS('Per Line'!$Y$2:$Y$1001,'Per Line'!$D$2:$D$1001,$B144,'Per Line'!$AO$2:$AO$1001,1,'Per Line'!$AP$2:$AP$1001,0))</f>
        <v/>
      </c>
      <c r="U144" s="7">
        <f>IF($Z144="","",T144*S144)</f>
        <v/>
      </c>
      <c r="V144" s="7">
        <f>IF($Z144="","",U144+R144)</f>
        <v/>
      </c>
      <c r="W144" s="7">
        <f>IF($Z144="","",X144-V144)</f>
        <v/>
      </c>
      <c r="X144" s="7">
        <f>IF($Z144="","",Q144+T144+O144)</f>
        <v/>
      </c>
      <c r="Y144" s="7">
        <f>IF($Z144="","",X144-V144-N144)</f>
        <v/>
      </c>
      <c r="Z144" s="13">
        <f>IF(ROWS($Z$2:$Z144)&lt;=MAX('Per Line'!$AN$2:$AN$1001),MATCH(ROWS($Z$2:$Z144),'Per Line'!$AN$2:$AN$1001,0),"")</f>
        <v/>
      </c>
    </row>
    <row r="145">
      <c r="A145" s="12" t="n"/>
      <c r="B145">
        <f>IF($Z145="","",INDEX('Per Line'!$D$2:$D$1001,$Z145)&amp;"")</f>
        <v/>
      </c>
      <c r="C145">
        <f>IF($Z145="","",INDEX('Per Line'!$B$2:$B$1001,$Z145)&amp;"")</f>
        <v/>
      </c>
      <c r="D145">
        <f>IF($Z145="","",INDEX('Per Line'!$A$2:$A$1001,$Z145))</f>
        <v/>
      </c>
      <c r="E145">
        <f>IF($Z145="","",INDEX('Per Line'!$E$2:$E$1001,$Z145)&amp;"")</f>
        <v/>
      </c>
      <c r="F145">
        <f>IF($Z145="","",INDEX('Per Line'!$F$2:$F$1001,$Z145)&amp;"")</f>
        <v/>
      </c>
      <c r="G145" s="11">
        <f>IF($Z145="","",INDEX('Per Line'!$G$2:$G$1001,$Z145))</f>
        <v/>
      </c>
      <c r="H145">
        <f>IF($Z145="","",INDEX('Per Line'!$I$2:$I$1001,$Z145)&amp;"")</f>
        <v/>
      </c>
      <c r="I145">
        <f>IF($Z145="","",INDEX('Per Line'!$J$2:$J$1001,$Z145)&amp;"")</f>
        <v/>
      </c>
      <c r="J145">
        <f>IF($Z145="","",INDEX('Per Line'!$K$2:$K$1001,$Z145)&amp;"")</f>
        <v/>
      </c>
      <c r="K145">
        <f>IF($Z145="","",INDEX('Per Line'!$L$2:$L$1001,$Z145)&amp;"")</f>
        <v/>
      </c>
      <c r="L145">
        <f>IF($Z145="","",INDEX('Per Line'!$M$2:$M$1001,$Z145)&amp;"")</f>
        <v/>
      </c>
      <c r="M145">
        <f>IF($Z145="","",INDEX('Per Line'!$P$2:$P$1001,$Z145))</f>
        <v/>
      </c>
      <c r="N145" s="7">
        <f>IF($Z145="","",M145*X145/100)</f>
        <v/>
      </c>
      <c r="O145" s="7">
        <f>IF($Z145="","",SUMIFS('Per Line'!$Y$2:$Y$1001,'Per Line'!$D$2:$D$1001,$B145,'Per Line'!$AP$2:$AP$1001,1))</f>
        <v/>
      </c>
      <c r="P145">
        <f>IF($Z145="","",Settings!$C$7)</f>
        <v/>
      </c>
      <c r="Q145" s="7">
        <f>IF($Z145="","",SUMIFS('Per Line'!$Y$2:$Y$1001,'Per Line'!$D$2:$D$1001,$B145,'Per Line'!$AO$2:$AO$1001,0,'Per Line'!$AP$2:$AP$1001,0))</f>
        <v/>
      </c>
      <c r="R145" s="7">
        <f>IF($Z145="","",Q145*P145)</f>
        <v/>
      </c>
      <c r="S145">
        <f>IF($Z145="","",Settings!$C$6)</f>
        <v/>
      </c>
      <c r="T145" s="7">
        <f>IF($Z145="","",SUMIFS('Per Line'!$Y$2:$Y$1001,'Per Line'!$D$2:$D$1001,$B145,'Per Line'!$AO$2:$AO$1001,1,'Per Line'!$AP$2:$AP$1001,0))</f>
        <v/>
      </c>
      <c r="U145" s="7">
        <f>IF($Z145="","",T145*S145)</f>
        <v/>
      </c>
      <c r="V145" s="7">
        <f>IF($Z145="","",U145+R145)</f>
        <v/>
      </c>
      <c r="W145" s="7">
        <f>IF($Z145="","",X145-V145)</f>
        <v/>
      </c>
      <c r="X145" s="7">
        <f>IF($Z145="","",Q145+T145+O145)</f>
        <v/>
      </c>
      <c r="Y145" s="7">
        <f>IF($Z145="","",X145-V145-N145)</f>
        <v/>
      </c>
      <c r="Z145" s="13">
        <f>IF(ROWS($Z$2:$Z145)&lt;=MAX('Per Line'!$AN$2:$AN$1001),MATCH(ROWS($Z$2:$Z145),'Per Line'!$AN$2:$AN$1001,0),"")</f>
        <v/>
      </c>
    </row>
    <row r="146">
      <c r="A146" s="12" t="n"/>
      <c r="B146">
        <f>IF($Z146="","",INDEX('Per Line'!$D$2:$D$1001,$Z146)&amp;"")</f>
        <v/>
      </c>
      <c r="C146">
        <f>IF($Z146="","",INDEX('Per Line'!$B$2:$B$1001,$Z146)&amp;"")</f>
        <v/>
      </c>
      <c r="D146">
        <f>IF($Z146="","",INDEX('Per Line'!$A$2:$A$1001,$Z146))</f>
        <v/>
      </c>
      <c r="E146">
        <f>IF($Z146="","",INDEX('Per Line'!$E$2:$E$1001,$Z146)&amp;"")</f>
        <v/>
      </c>
      <c r="F146">
        <f>IF($Z146="","",INDEX('Per Line'!$F$2:$F$1001,$Z146)&amp;"")</f>
        <v/>
      </c>
      <c r="G146" s="11">
        <f>IF($Z146="","",INDEX('Per Line'!$G$2:$G$1001,$Z146))</f>
        <v/>
      </c>
      <c r="H146">
        <f>IF($Z146="","",INDEX('Per Line'!$I$2:$I$1001,$Z146)&amp;"")</f>
        <v/>
      </c>
      <c r="I146">
        <f>IF($Z146="","",INDEX('Per Line'!$J$2:$J$1001,$Z146)&amp;"")</f>
        <v/>
      </c>
      <c r="J146">
        <f>IF($Z146="","",INDEX('Per Line'!$K$2:$K$1001,$Z146)&amp;"")</f>
        <v/>
      </c>
      <c r="K146">
        <f>IF($Z146="","",INDEX('Per Line'!$L$2:$L$1001,$Z146)&amp;"")</f>
        <v/>
      </c>
      <c r="L146">
        <f>IF($Z146="","",INDEX('Per Line'!$M$2:$M$1001,$Z146)&amp;"")</f>
        <v/>
      </c>
      <c r="M146">
        <f>IF($Z146="","",INDEX('Per Line'!$P$2:$P$1001,$Z146))</f>
        <v/>
      </c>
      <c r="N146" s="7">
        <f>IF($Z146="","",M146*X146/100)</f>
        <v/>
      </c>
      <c r="O146" s="7">
        <f>IF($Z146="","",SUMIFS('Per Line'!$Y$2:$Y$1001,'Per Line'!$D$2:$D$1001,$B146,'Per Line'!$AP$2:$AP$1001,1))</f>
        <v/>
      </c>
      <c r="P146">
        <f>IF($Z146="","",Settings!$C$7)</f>
        <v/>
      </c>
      <c r="Q146" s="7">
        <f>IF($Z146="","",SUMIFS('Per Line'!$Y$2:$Y$1001,'Per Line'!$D$2:$D$1001,$B146,'Per Line'!$AO$2:$AO$1001,0,'Per Line'!$AP$2:$AP$1001,0))</f>
        <v/>
      </c>
      <c r="R146" s="7">
        <f>IF($Z146="","",Q146*P146)</f>
        <v/>
      </c>
      <c r="S146">
        <f>IF($Z146="","",Settings!$C$6)</f>
        <v/>
      </c>
      <c r="T146" s="7">
        <f>IF($Z146="","",SUMIFS('Per Line'!$Y$2:$Y$1001,'Per Line'!$D$2:$D$1001,$B146,'Per Line'!$AO$2:$AO$1001,1,'Per Line'!$AP$2:$AP$1001,0))</f>
        <v/>
      </c>
      <c r="U146" s="7">
        <f>IF($Z146="","",T146*S146)</f>
        <v/>
      </c>
      <c r="V146" s="7">
        <f>IF($Z146="","",U146+R146)</f>
        <v/>
      </c>
      <c r="W146" s="7">
        <f>IF($Z146="","",X146-V146)</f>
        <v/>
      </c>
      <c r="X146" s="7">
        <f>IF($Z146="","",Q146+T146+O146)</f>
        <v/>
      </c>
      <c r="Y146" s="7">
        <f>IF($Z146="","",X146-V146-N146)</f>
        <v/>
      </c>
      <c r="Z146" s="13">
        <f>IF(ROWS($Z$2:$Z146)&lt;=MAX('Per Line'!$AN$2:$AN$1001),MATCH(ROWS($Z$2:$Z146),'Per Line'!$AN$2:$AN$1001,0),"")</f>
        <v/>
      </c>
    </row>
    <row r="147">
      <c r="A147" s="12" t="n"/>
      <c r="B147">
        <f>IF($Z147="","",INDEX('Per Line'!$D$2:$D$1001,$Z147)&amp;"")</f>
        <v/>
      </c>
      <c r="C147">
        <f>IF($Z147="","",INDEX('Per Line'!$B$2:$B$1001,$Z147)&amp;"")</f>
        <v/>
      </c>
      <c r="D147">
        <f>IF($Z147="","",INDEX('Per Line'!$A$2:$A$1001,$Z147))</f>
        <v/>
      </c>
      <c r="E147">
        <f>IF($Z147="","",INDEX('Per Line'!$E$2:$E$1001,$Z147)&amp;"")</f>
        <v/>
      </c>
      <c r="F147">
        <f>IF($Z147="","",INDEX('Per Line'!$F$2:$F$1001,$Z147)&amp;"")</f>
        <v/>
      </c>
      <c r="G147" s="11">
        <f>IF($Z147="","",INDEX('Per Line'!$G$2:$G$1001,$Z147))</f>
        <v/>
      </c>
      <c r="H147">
        <f>IF($Z147="","",INDEX('Per Line'!$I$2:$I$1001,$Z147)&amp;"")</f>
        <v/>
      </c>
      <c r="I147">
        <f>IF($Z147="","",INDEX('Per Line'!$J$2:$J$1001,$Z147)&amp;"")</f>
        <v/>
      </c>
      <c r="J147">
        <f>IF($Z147="","",INDEX('Per Line'!$K$2:$K$1001,$Z147)&amp;"")</f>
        <v/>
      </c>
      <c r="K147">
        <f>IF($Z147="","",INDEX('Per Line'!$L$2:$L$1001,$Z147)&amp;"")</f>
        <v/>
      </c>
      <c r="L147">
        <f>IF($Z147="","",INDEX('Per Line'!$M$2:$M$1001,$Z147)&amp;"")</f>
        <v/>
      </c>
      <c r="M147">
        <f>IF($Z147="","",INDEX('Per Line'!$P$2:$P$1001,$Z147))</f>
        <v/>
      </c>
      <c r="N147" s="7">
        <f>IF($Z147="","",M147*X147/100)</f>
        <v/>
      </c>
      <c r="O147" s="7">
        <f>IF($Z147="","",SUMIFS('Per Line'!$Y$2:$Y$1001,'Per Line'!$D$2:$D$1001,$B147,'Per Line'!$AP$2:$AP$1001,1))</f>
        <v/>
      </c>
      <c r="P147">
        <f>IF($Z147="","",Settings!$C$7)</f>
        <v/>
      </c>
      <c r="Q147" s="7">
        <f>IF($Z147="","",SUMIFS('Per Line'!$Y$2:$Y$1001,'Per Line'!$D$2:$D$1001,$B147,'Per Line'!$AO$2:$AO$1001,0,'Per Line'!$AP$2:$AP$1001,0))</f>
        <v/>
      </c>
      <c r="R147" s="7">
        <f>IF($Z147="","",Q147*P147)</f>
        <v/>
      </c>
      <c r="S147">
        <f>IF($Z147="","",Settings!$C$6)</f>
        <v/>
      </c>
      <c r="T147" s="7">
        <f>IF($Z147="","",SUMIFS('Per Line'!$Y$2:$Y$1001,'Per Line'!$D$2:$D$1001,$B147,'Per Line'!$AO$2:$AO$1001,1,'Per Line'!$AP$2:$AP$1001,0))</f>
        <v/>
      </c>
      <c r="U147" s="7">
        <f>IF($Z147="","",T147*S147)</f>
        <v/>
      </c>
      <c r="V147" s="7">
        <f>IF($Z147="","",U147+R147)</f>
        <v/>
      </c>
      <c r="W147" s="7">
        <f>IF($Z147="","",X147-V147)</f>
        <v/>
      </c>
      <c r="X147" s="7">
        <f>IF($Z147="","",Q147+T147+O147)</f>
        <v/>
      </c>
      <c r="Y147" s="7">
        <f>IF($Z147="","",X147-V147-N147)</f>
        <v/>
      </c>
      <c r="Z147" s="13">
        <f>IF(ROWS($Z$2:$Z147)&lt;=MAX('Per Line'!$AN$2:$AN$1001),MATCH(ROWS($Z$2:$Z147),'Per Line'!$AN$2:$AN$1001,0),"")</f>
        <v/>
      </c>
    </row>
    <row r="148">
      <c r="A148" s="12" t="n"/>
      <c r="B148">
        <f>IF($Z148="","",INDEX('Per Line'!$D$2:$D$1001,$Z148)&amp;"")</f>
        <v/>
      </c>
      <c r="C148">
        <f>IF($Z148="","",INDEX('Per Line'!$B$2:$B$1001,$Z148)&amp;"")</f>
        <v/>
      </c>
      <c r="D148">
        <f>IF($Z148="","",INDEX('Per Line'!$A$2:$A$1001,$Z148))</f>
        <v/>
      </c>
      <c r="E148">
        <f>IF($Z148="","",INDEX('Per Line'!$E$2:$E$1001,$Z148)&amp;"")</f>
        <v/>
      </c>
      <c r="F148">
        <f>IF($Z148="","",INDEX('Per Line'!$F$2:$F$1001,$Z148)&amp;"")</f>
        <v/>
      </c>
      <c r="G148" s="11">
        <f>IF($Z148="","",INDEX('Per Line'!$G$2:$G$1001,$Z148))</f>
        <v/>
      </c>
      <c r="H148">
        <f>IF($Z148="","",INDEX('Per Line'!$I$2:$I$1001,$Z148)&amp;"")</f>
        <v/>
      </c>
      <c r="I148">
        <f>IF($Z148="","",INDEX('Per Line'!$J$2:$J$1001,$Z148)&amp;"")</f>
        <v/>
      </c>
      <c r="J148">
        <f>IF($Z148="","",INDEX('Per Line'!$K$2:$K$1001,$Z148)&amp;"")</f>
        <v/>
      </c>
      <c r="K148">
        <f>IF($Z148="","",INDEX('Per Line'!$L$2:$L$1001,$Z148)&amp;"")</f>
        <v/>
      </c>
      <c r="L148">
        <f>IF($Z148="","",INDEX('Per Line'!$M$2:$M$1001,$Z148)&amp;"")</f>
        <v/>
      </c>
      <c r="M148">
        <f>IF($Z148="","",INDEX('Per Line'!$P$2:$P$1001,$Z148))</f>
        <v/>
      </c>
      <c r="N148" s="7">
        <f>IF($Z148="","",M148*X148/100)</f>
        <v/>
      </c>
      <c r="O148" s="7">
        <f>IF($Z148="","",SUMIFS('Per Line'!$Y$2:$Y$1001,'Per Line'!$D$2:$D$1001,$B148,'Per Line'!$AP$2:$AP$1001,1))</f>
        <v/>
      </c>
      <c r="P148">
        <f>IF($Z148="","",Settings!$C$7)</f>
        <v/>
      </c>
      <c r="Q148" s="7">
        <f>IF($Z148="","",SUMIFS('Per Line'!$Y$2:$Y$1001,'Per Line'!$D$2:$D$1001,$B148,'Per Line'!$AO$2:$AO$1001,0,'Per Line'!$AP$2:$AP$1001,0))</f>
        <v/>
      </c>
      <c r="R148" s="7">
        <f>IF($Z148="","",Q148*P148)</f>
        <v/>
      </c>
      <c r="S148">
        <f>IF($Z148="","",Settings!$C$6)</f>
        <v/>
      </c>
      <c r="T148" s="7">
        <f>IF($Z148="","",SUMIFS('Per Line'!$Y$2:$Y$1001,'Per Line'!$D$2:$D$1001,$B148,'Per Line'!$AO$2:$AO$1001,1,'Per Line'!$AP$2:$AP$1001,0))</f>
        <v/>
      </c>
      <c r="U148" s="7">
        <f>IF($Z148="","",T148*S148)</f>
        <v/>
      </c>
      <c r="V148" s="7">
        <f>IF($Z148="","",U148+R148)</f>
        <v/>
      </c>
      <c r="W148" s="7">
        <f>IF($Z148="","",X148-V148)</f>
        <v/>
      </c>
      <c r="X148" s="7">
        <f>IF($Z148="","",Q148+T148+O148)</f>
        <v/>
      </c>
      <c r="Y148" s="7">
        <f>IF($Z148="","",X148-V148-N148)</f>
        <v/>
      </c>
      <c r="Z148" s="13">
        <f>IF(ROWS($Z$2:$Z148)&lt;=MAX('Per Line'!$AN$2:$AN$1001),MATCH(ROWS($Z$2:$Z148),'Per Line'!$AN$2:$AN$1001,0),"")</f>
        <v/>
      </c>
    </row>
    <row r="149">
      <c r="A149" s="12" t="n"/>
      <c r="B149">
        <f>IF($Z149="","",INDEX('Per Line'!$D$2:$D$1001,$Z149)&amp;"")</f>
        <v/>
      </c>
      <c r="C149">
        <f>IF($Z149="","",INDEX('Per Line'!$B$2:$B$1001,$Z149)&amp;"")</f>
        <v/>
      </c>
      <c r="D149">
        <f>IF($Z149="","",INDEX('Per Line'!$A$2:$A$1001,$Z149))</f>
        <v/>
      </c>
      <c r="E149">
        <f>IF($Z149="","",INDEX('Per Line'!$E$2:$E$1001,$Z149)&amp;"")</f>
        <v/>
      </c>
      <c r="F149">
        <f>IF($Z149="","",INDEX('Per Line'!$F$2:$F$1001,$Z149)&amp;"")</f>
        <v/>
      </c>
      <c r="G149" s="11">
        <f>IF($Z149="","",INDEX('Per Line'!$G$2:$G$1001,$Z149))</f>
        <v/>
      </c>
      <c r="H149">
        <f>IF($Z149="","",INDEX('Per Line'!$I$2:$I$1001,$Z149)&amp;"")</f>
        <v/>
      </c>
      <c r="I149">
        <f>IF($Z149="","",INDEX('Per Line'!$J$2:$J$1001,$Z149)&amp;"")</f>
        <v/>
      </c>
      <c r="J149">
        <f>IF($Z149="","",INDEX('Per Line'!$K$2:$K$1001,$Z149)&amp;"")</f>
        <v/>
      </c>
      <c r="K149">
        <f>IF($Z149="","",INDEX('Per Line'!$L$2:$L$1001,$Z149)&amp;"")</f>
        <v/>
      </c>
      <c r="L149">
        <f>IF($Z149="","",INDEX('Per Line'!$M$2:$M$1001,$Z149)&amp;"")</f>
        <v/>
      </c>
      <c r="M149">
        <f>IF($Z149="","",INDEX('Per Line'!$P$2:$P$1001,$Z149))</f>
        <v/>
      </c>
      <c r="N149" s="7">
        <f>IF($Z149="","",M149*X149/100)</f>
        <v/>
      </c>
      <c r="O149" s="7">
        <f>IF($Z149="","",SUMIFS('Per Line'!$Y$2:$Y$1001,'Per Line'!$D$2:$D$1001,$B149,'Per Line'!$AP$2:$AP$1001,1))</f>
        <v/>
      </c>
      <c r="P149">
        <f>IF($Z149="","",Settings!$C$7)</f>
        <v/>
      </c>
      <c r="Q149" s="7">
        <f>IF($Z149="","",SUMIFS('Per Line'!$Y$2:$Y$1001,'Per Line'!$D$2:$D$1001,$B149,'Per Line'!$AO$2:$AO$1001,0,'Per Line'!$AP$2:$AP$1001,0))</f>
        <v/>
      </c>
      <c r="R149" s="7">
        <f>IF($Z149="","",Q149*P149)</f>
        <v/>
      </c>
      <c r="S149">
        <f>IF($Z149="","",Settings!$C$6)</f>
        <v/>
      </c>
      <c r="T149" s="7">
        <f>IF($Z149="","",SUMIFS('Per Line'!$Y$2:$Y$1001,'Per Line'!$D$2:$D$1001,$B149,'Per Line'!$AO$2:$AO$1001,1,'Per Line'!$AP$2:$AP$1001,0))</f>
        <v/>
      </c>
      <c r="U149" s="7">
        <f>IF($Z149="","",T149*S149)</f>
        <v/>
      </c>
      <c r="V149" s="7">
        <f>IF($Z149="","",U149+R149)</f>
        <v/>
      </c>
      <c r="W149" s="7">
        <f>IF($Z149="","",X149-V149)</f>
        <v/>
      </c>
      <c r="X149" s="7">
        <f>IF($Z149="","",Q149+T149+O149)</f>
        <v/>
      </c>
      <c r="Y149" s="7">
        <f>IF($Z149="","",X149-V149-N149)</f>
        <v/>
      </c>
      <c r="Z149" s="13">
        <f>IF(ROWS($Z$2:$Z149)&lt;=MAX('Per Line'!$AN$2:$AN$1001),MATCH(ROWS($Z$2:$Z149),'Per Line'!$AN$2:$AN$1001,0),"")</f>
        <v/>
      </c>
    </row>
    <row r="150">
      <c r="A150" s="12" t="n"/>
      <c r="B150">
        <f>IF($Z150="","",INDEX('Per Line'!$D$2:$D$1001,$Z150)&amp;"")</f>
        <v/>
      </c>
      <c r="C150">
        <f>IF($Z150="","",INDEX('Per Line'!$B$2:$B$1001,$Z150)&amp;"")</f>
        <v/>
      </c>
      <c r="D150">
        <f>IF($Z150="","",INDEX('Per Line'!$A$2:$A$1001,$Z150))</f>
        <v/>
      </c>
      <c r="E150">
        <f>IF($Z150="","",INDEX('Per Line'!$E$2:$E$1001,$Z150)&amp;"")</f>
        <v/>
      </c>
      <c r="F150">
        <f>IF($Z150="","",INDEX('Per Line'!$F$2:$F$1001,$Z150)&amp;"")</f>
        <v/>
      </c>
      <c r="G150" s="11">
        <f>IF($Z150="","",INDEX('Per Line'!$G$2:$G$1001,$Z150))</f>
        <v/>
      </c>
      <c r="H150">
        <f>IF($Z150="","",INDEX('Per Line'!$I$2:$I$1001,$Z150)&amp;"")</f>
        <v/>
      </c>
      <c r="I150">
        <f>IF($Z150="","",INDEX('Per Line'!$J$2:$J$1001,$Z150)&amp;"")</f>
        <v/>
      </c>
      <c r="J150">
        <f>IF($Z150="","",INDEX('Per Line'!$K$2:$K$1001,$Z150)&amp;"")</f>
        <v/>
      </c>
      <c r="K150">
        <f>IF($Z150="","",INDEX('Per Line'!$L$2:$L$1001,$Z150)&amp;"")</f>
        <v/>
      </c>
      <c r="L150">
        <f>IF($Z150="","",INDEX('Per Line'!$M$2:$M$1001,$Z150)&amp;"")</f>
        <v/>
      </c>
      <c r="M150">
        <f>IF($Z150="","",INDEX('Per Line'!$P$2:$P$1001,$Z150))</f>
        <v/>
      </c>
      <c r="N150" s="7">
        <f>IF($Z150="","",M150*X150/100)</f>
        <v/>
      </c>
      <c r="O150" s="7">
        <f>IF($Z150="","",SUMIFS('Per Line'!$Y$2:$Y$1001,'Per Line'!$D$2:$D$1001,$B150,'Per Line'!$AP$2:$AP$1001,1))</f>
        <v/>
      </c>
      <c r="P150">
        <f>IF($Z150="","",Settings!$C$7)</f>
        <v/>
      </c>
      <c r="Q150" s="7">
        <f>IF($Z150="","",SUMIFS('Per Line'!$Y$2:$Y$1001,'Per Line'!$D$2:$D$1001,$B150,'Per Line'!$AO$2:$AO$1001,0,'Per Line'!$AP$2:$AP$1001,0))</f>
        <v/>
      </c>
      <c r="R150" s="7">
        <f>IF($Z150="","",Q150*P150)</f>
        <v/>
      </c>
      <c r="S150">
        <f>IF($Z150="","",Settings!$C$6)</f>
        <v/>
      </c>
      <c r="T150" s="7">
        <f>IF($Z150="","",SUMIFS('Per Line'!$Y$2:$Y$1001,'Per Line'!$D$2:$D$1001,$B150,'Per Line'!$AO$2:$AO$1001,1,'Per Line'!$AP$2:$AP$1001,0))</f>
        <v/>
      </c>
      <c r="U150" s="7">
        <f>IF($Z150="","",T150*S150)</f>
        <v/>
      </c>
      <c r="V150" s="7">
        <f>IF($Z150="","",U150+R150)</f>
        <v/>
      </c>
      <c r="W150" s="7">
        <f>IF($Z150="","",X150-V150)</f>
        <v/>
      </c>
      <c r="X150" s="7">
        <f>IF($Z150="","",Q150+T150+O150)</f>
        <v/>
      </c>
      <c r="Y150" s="7">
        <f>IF($Z150="","",X150-V150-N150)</f>
        <v/>
      </c>
      <c r="Z150" s="13">
        <f>IF(ROWS($Z$2:$Z150)&lt;=MAX('Per Line'!$AN$2:$AN$1001),MATCH(ROWS($Z$2:$Z150),'Per Line'!$AN$2:$AN$1001,0),"")</f>
        <v/>
      </c>
    </row>
    <row r="151">
      <c r="A151" s="12" t="n"/>
      <c r="B151">
        <f>IF($Z151="","",INDEX('Per Line'!$D$2:$D$1001,$Z151)&amp;"")</f>
        <v/>
      </c>
      <c r="C151">
        <f>IF($Z151="","",INDEX('Per Line'!$B$2:$B$1001,$Z151)&amp;"")</f>
        <v/>
      </c>
      <c r="D151">
        <f>IF($Z151="","",INDEX('Per Line'!$A$2:$A$1001,$Z151))</f>
        <v/>
      </c>
      <c r="E151">
        <f>IF($Z151="","",INDEX('Per Line'!$E$2:$E$1001,$Z151)&amp;"")</f>
        <v/>
      </c>
      <c r="F151">
        <f>IF($Z151="","",INDEX('Per Line'!$F$2:$F$1001,$Z151)&amp;"")</f>
        <v/>
      </c>
      <c r="G151" s="11">
        <f>IF($Z151="","",INDEX('Per Line'!$G$2:$G$1001,$Z151))</f>
        <v/>
      </c>
      <c r="H151">
        <f>IF($Z151="","",INDEX('Per Line'!$I$2:$I$1001,$Z151)&amp;"")</f>
        <v/>
      </c>
      <c r="I151">
        <f>IF($Z151="","",INDEX('Per Line'!$J$2:$J$1001,$Z151)&amp;"")</f>
        <v/>
      </c>
      <c r="J151">
        <f>IF($Z151="","",INDEX('Per Line'!$K$2:$K$1001,$Z151)&amp;"")</f>
        <v/>
      </c>
      <c r="K151">
        <f>IF($Z151="","",INDEX('Per Line'!$L$2:$L$1001,$Z151)&amp;"")</f>
        <v/>
      </c>
      <c r="L151">
        <f>IF($Z151="","",INDEX('Per Line'!$M$2:$M$1001,$Z151)&amp;"")</f>
        <v/>
      </c>
      <c r="M151">
        <f>IF($Z151="","",INDEX('Per Line'!$P$2:$P$1001,$Z151))</f>
        <v/>
      </c>
      <c r="N151" s="7">
        <f>IF($Z151="","",M151*X151/100)</f>
        <v/>
      </c>
      <c r="O151" s="7">
        <f>IF($Z151="","",SUMIFS('Per Line'!$Y$2:$Y$1001,'Per Line'!$D$2:$D$1001,$B151,'Per Line'!$AP$2:$AP$1001,1))</f>
        <v/>
      </c>
      <c r="P151">
        <f>IF($Z151="","",Settings!$C$7)</f>
        <v/>
      </c>
      <c r="Q151" s="7">
        <f>IF($Z151="","",SUMIFS('Per Line'!$Y$2:$Y$1001,'Per Line'!$D$2:$D$1001,$B151,'Per Line'!$AO$2:$AO$1001,0,'Per Line'!$AP$2:$AP$1001,0))</f>
        <v/>
      </c>
      <c r="R151" s="7">
        <f>IF($Z151="","",Q151*P151)</f>
        <v/>
      </c>
      <c r="S151">
        <f>IF($Z151="","",Settings!$C$6)</f>
        <v/>
      </c>
      <c r="T151" s="7">
        <f>IF($Z151="","",SUMIFS('Per Line'!$Y$2:$Y$1001,'Per Line'!$D$2:$D$1001,$B151,'Per Line'!$AO$2:$AO$1001,1,'Per Line'!$AP$2:$AP$1001,0))</f>
        <v/>
      </c>
      <c r="U151" s="7">
        <f>IF($Z151="","",T151*S151)</f>
        <v/>
      </c>
      <c r="V151" s="7">
        <f>IF($Z151="","",U151+R151)</f>
        <v/>
      </c>
      <c r="W151" s="7">
        <f>IF($Z151="","",X151-V151)</f>
        <v/>
      </c>
      <c r="X151" s="7">
        <f>IF($Z151="","",Q151+T151+O151)</f>
        <v/>
      </c>
      <c r="Y151" s="7">
        <f>IF($Z151="","",X151-V151-N151)</f>
        <v/>
      </c>
      <c r="Z151" s="13">
        <f>IF(ROWS($Z$2:$Z151)&lt;=MAX('Per Line'!$AN$2:$AN$1001),MATCH(ROWS($Z$2:$Z151),'Per Line'!$AN$2:$AN$1001,0),"")</f>
        <v/>
      </c>
    </row>
    <row r="152">
      <c r="A152" s="12" t="n"/>
      <c r="B152">
        <f>IF($Z152="","",INDEX('Per Line'!$D$2:$D$1001,$Z152)&amp;"")</f>
        <v/>
      </c>
      <c r="C152">
        <f>IF($Z152="","",INDEX('Per Line'!$B$2:$B$1001,$Z152)&amp;"")</f>
        <v/>
      </c>
      <c r="D152">
        <f>IF($Z152="","",INDEX('Per Line'!$A$2:$A$1001,$Z152))</f>
        <v/>
      </c>
      <c r="E152">
        <f>IF($Z152="","",INDEX('Per Line'!$E$2:$E$1001,$Z152)&amp;"")</f>
        <v/>
      </c>
      <c r="F152">
        <f>IF($Z152="","",INDEX('Per Line'!$F$2:$F$1001,$Z152)&amp;"")</f>
        <v/>
      </c>
      <c r="G152" s="11">
        <f>IF($Z152="","",INDEX('Per Line'!$G$2:$G$1001,$Z152))</f>
        <v/>
      </c>
      <c r="H152">
        <f>IF($Z152="","",INDEX('Per Line'!$I$2:$I$1001,$Z152)&amp;"")</f>
        <v/>
      </c>
      <c r="I152">
        <f>IF($Z152="","",INDEX('Per Line'!$J$2:$J$1001,$Z152)&amp;"")</f>
        <v/>
      </c>
      <c r="J152">
        <f>IF($Z152="","",INDEX('Per Line'!$K$2:$K$1001,$Z152)&amp;"")</f>
        <v/>
      </c>
      <c r="K152">
        <f>IF($Z152="","",INDEX('Per Line'!$L$2:$L$1001,$Z152)&amp;"")</f>
        <v/>
      </c>
      <c r="L152">
        <f>IF($Z152="","",INDEX('Per Line'!$M$2:$M$1001,$Z152)&amp;"")</f>
        <v/>
      </c>
      <c r="M152">
        <f>IF($Z152="","",INDEX('Per Line'!$P$2:$P$1001,$Z152))</f>
        <v/>
      </c>
      <c r="N152" s="7">
        <f>IF($Z152="","",M152*X152/100)</f>
        <v/>
      </c>
      <c r="O152" s="7">
        <f>IF($Z152="","",SUMIFS('Per Line'!$Y$2:$Y$1001,'Per Line'!$D$2:$D$1001,$B152,'Per Line'!$AP$2:$AP$1001,1))</f>
        <v/>
      </c>
      <c r="P152">
        <f>IF($Z152="","",Settings!$C$7)</f>
        <v/>
      </c>
      <c r="Q152" s="7">
        <f>IF($Z152="","",SUMIFS('Per Line'!$Y$2:$Y$1001,'Per Line'!$D$2:$D$1001,$B152,'Per Line'!$AO$2:$AO$1001,0,'Per Line'!$AP$2:$AP$1001,0))</f>
        <v/>
      </c>
      <c r="R152" s="7">
        <f>IF($Z152="","",Q152*P152)</f>
        <v/>
      </c>
      <c r="S152">
        <f>IF($Z152="","",Settings!$C$6)</f>
        <v/>
      </c>
      <c r="T152" s="7">
        <f>IF($Z152="","",SUMIFS('Per Line'!$Y$2:$Y$1001,'Per Line'!$D$2:$D$1001,$B152,'Per Line'!$AO$2:$AO$1001,1,'Per Line'!$AP$2:$AP$1001,0))</f>
        <v/>
      </c>
      <c r="U152" s="7">
        <f>IF($Z152="","",T152*S152)</f>
        <v/>
      </c>
      <c r="V152" s="7">
        <f>IF($Z152="","",U152+R152)</f>
        <v/>
      </c>
      <c r="W152" s="7">
        <f>IF($Z152="","",X152-V152)</f>
        <v/>
      </c>
      <c r="X152" s="7">
        <f>IF($Z152="","",Q152+T152+O152)</f>
        <v/>
      </c>
      <c r="Y152" s="7">
        <f>IF($Z152="","",X152-V152-N152)</f>
        <v/>
      </c>
      <c r="Z152" s="13">
        <f>IF(ROWS($Z$2:$Z152)&lt;=MAX('Per Line'!$AN$2:$AN$1001),MATCH(ROWS($Z$2:$Z152),'Per Line'!$AN$2:$AN$1001,0),"")</f>
        <v/>
      </c>
    </row>
    <row r="153">
      <c r="A153" s="12" t="n"/>
      <c r="B153">
        <f>IF($Z153="","",INDEX('Per Line'!$D$2:$D$1001,$Z153)&amp;"")</f>
        <v/>
      </c>
      <c r="C153">
        <f>IF($Z153="","",INDEX('Per Line'!$B$2:$B$1001,$Z153)&amp;"")</f>
        <v/>
      </c>
      <c r="D153">
        <f>IF($Z153="","",INDEX('Per Line'!$A$2:$A$1001,$Z153))</f>
        <v/>
      </c>
      <c r="E153">
        <f>IF($Z153="","",INDEX('Per Line'!$E$2:$E$1001,$Z153)&amp;"")</f>
        <v/>
      </c>
      <c r="F153">
        <f>IF($Z153="","",INDEX('Per Line'!$F$2:$F$1001,$Z153)&amp;"")</f>
        <v/>
      </c>
      <c r="G153" s="11">
        <f>IF($Z153="","",INDEX('Per Line'!$G$2:$G$1001,$Z153))</f>
        <v/>
      </c>
      <c r="H153">
        <f>IF($Z153="","",INDEX('Per Line'!$I$2:$I$1001,$Z153)&amp;"")</f>
        <v/>
      </c>
      <c r="I153">
        <f>IF($Z153="","",INDEX('Per Line'!$J$2:$J$1001,$Z153)&amp;"")</f>
        <v/>
      </c>
      <c r="J153">
        <f>IF($Z153="","",INDEX('Per Line'!$K$2:$K$1001,$Z153)&amp;"")</f>
        <v/>
      </c>
      <c r="K153">
        <f>IF($Z153="","",INDEX('Per Line'!$L$2:$L$1001,$Z153)&amp;"")</f>
        <v/>
      </c>
      <c r="L153">
        <f>IF($Z153="","",INDEX('Per Line'!$M$2:$M$1001,$Z153)&amp;"")</f>
        <v/>
      </c>
      <c r="M153">
        <f>IF($Z153="","",INDEX('Per Line'!$P$2:$P$1001,$Z153))</f>
        <v/>
      </c>
      <c r="N153" s="7">
        <f>IF($Z153="","",M153*X153/100)</f>
        <v/>
      </c>
      <c r="O153" s="7">
        <f>IF($Z153="","",SUMIFS('Per Line'!$Y$2:$Y$1001,'Per Line'!$D$2:$D$1001,$B153,'Per Line'!$AP$2:$AP$1001,1))</f>
        <v/>
      </c>
      <c r="P153">
        <f>IF($Z153="","",Settings!$C$7)</f>
        <v/>
      </c>
      <c r="Q153" s="7">
        <f>IF($Z153="","",SUMIFS('Per Line'!$Y$2:$Y$1001,'Per Line'!$D$2:$D$1001,$B153,'Per Line'!$AO$2:$AO$1001,0,'Per Line'!$AP$2:$AP$1001,0))</f>
        <v/>
      </c>
      <c r="R153" s="7">
        <f>IF($Z153="","",Q153*P153)</f>
        <v/>
      </c>
      <c r="S153">
        <f>IF($Z153="","",Settings!$C$6)</f>
        <v/>
      </c>
      <c r="T153" s="7">
        <f>IF($Z153="","",SUMIFS('Per Line'!$Y$2:$Y$1001,'Per Line'!$D$2:$D$1001,$B153,'Per Line'!$AO$2:$AO$1001,1,'Per Line'!$AP$2:$AP$1001,0))</f>
        <v/>
      </c>
      <c r="U153" s="7">
        <f>IF($Z153="","",T153*S153)</f>
        <v/>
      </c>
      <c r="V153" s="7">
        <f>IF($Z153="","",U153+R153)</f>
        <v/>
      </c>
      <c r="W153" s="7">
        <f>IF($Z153="","",X153-V153)</f>
        <v/>
      </c>
      <c r="X153" s="7">
        <f>IF($Z153="","",Q153+T153+O153)</f>
        <v/>
      </c>
      <c r="Y153" s="7">
        <f>IF($Z153="","",X153-V153-N153)</f>
        <v/>
      </c>
      <c r="Z153" s="13">
        <f>IF(ROWS($Z$2:$Z153)&lt;=MAX('Per Line'!$AN$2:$AN$1001),MATCH(ROWS($Z$2:$Z153),'Per Line'!$AN$2:$AN$1001,0),"")</f>
        <v/>
      </c>
    </row>
    <row r="154">
      <c r="A154" s="12" t="n"/>
      <c r="B154">
        <f>IF($Z154="","",INDEX('Per Line'!$D$2:$D$1001,$Z154)&amp;"")</f>
        <v/>
      </c>
      <c r="C154">
        <f>IF($Z154="","",INDEX('Per Line'!$B$2:$B$1001,$Z154)&amp;"")</f>
        <v/>
      </c>
      <c r="D154">
        <f>IF($Z154="","",INDEX('Per Line'!$A$2:$A$1001,$Z154))</f>
        <v/>
      </c>
      <c r="E154">
        <f>IF($Z154="","",INDEX('Per Line'!$E$2:$E$1001,$Z154)&amp;"")</f>
        <v/>
      </c>
      <c r="F154">
        <f>IF($Z154="","",INDEX('Per Line'!$F$2:$F$1001,$Z154)&amp;"")</f>
        <v/>
      </c>
      <c r="G154" s="11">
        <f>IF($Z154="","",INDEX('Per Line'!$G$2:$G$1001,$Z154))</f>
        <v/>
      </c>
      <c r="H154">
        <f>IF($Z154="","",INDEX('Per Line'!$I$2:$I$1001,$Z154)&amp;"")</f>
        <v/>
      </c>
      <c r="I154">
        <f>IF($Z154="","",INDEX('Per Line'!$J$2:$J$1001,$Z154)&amp;"")</f>
        <v/>
      </c>
      <c r="J154">
        <f>IF($Z154="","",INDEX('Per Line'!$K$2:$K$1001,$Z154)&amp;"")</f>
        <v/>
      </c>
      <c r="K154">
        <f>IF($Z154="","",INDEX('Per Line'!$L$2:$L$1001,$Z154)&amp;"")</f>
        <v/>
      </c>
      <c r="L154">
        <f>IF($Z154="","",INDEX('Per Line'!$M$2:$M$1001,$Z154)&amp;"")</f>
        <v/>
      </c>
      <c r="M154">
        <f>IF($Z154="","",INDEX('Per Line'!$P$2:$P$1001,$Z154))</f>
        <v/>
      </c>
      <c r="N154" s="7">
        <f>IF($Z154="","",M154*X154/100)</f>
        <v/>
      </c>
      <c r="O154" s="7">
        <f>IF($Z154="","",SUMIFS('Per Line'!$Y$2:$Y$1001,'Per Line'!$D$2:$D$1001,$B154,'Per Line'!$AP$2:$AP$1001,1))</f>
        <v/>
      </c>
      <c r="P154">
        <f>IF($Z154="","",Settings!$C$7)</f>
        <v/>
      </c>
      <c r="Q154" s="7">
        <f>IF($Z154="","",SUMIFS('Per Line'!$Y$2:$Y$1001,'Per Line'!$D$2:$D$1001,$B154,'Per Line'!$AO$2:$AO$1001,0,'Per Line'!$AP$2:$AP$1001,0))</f>
        <v/>
      </c>
      <c r="R154" s="7">
        <f>IF($Z154="","",Q154*P154)</f>
        <v/>
      </c>
      <c r="S154">
        <f>IF($Z154="","",Settings!$C$6)</f>
        <v/>
      </c>
      <c r="T154" s="7">
        <f>IF($Z154="","",SUMIFS('Per Line'!$Y$2:$Y$1001,'Per Line'!$D$2:$D$1001,$B154,'Per Line'!$AO$2:$AO$1001,1,'Per Line'!$AP$2:$AP$1001,0))</f>
        <v/>
      </c>
      <c r="U154" s="7">
        <f>IF($Z154="","",T154*S154)</f>
        <v/>
      </c>
      <c r="V154" s="7">
        <f>IF($Z154="","",U154+R154)</f>
        <v/>
      </c>
      <c r="W154" s="7">
        <f>IF($Z154="","",X154-V154)</f>
        <v/>
      </c>
      <c r="X154" s="7">
        <f>IF($Z154="","",Q154+T154+O154)</f>
        <v/>
      </c>
      <c r="Y154" s="7">
        <f>IF($Z154="","",X154-V154-N154)</f>
        <v/>
      </c>
      <c r="Z154" s="13">
        <f>IF(ROWS($Z$2:$Z154)&lt;=MAX('Per Line'!$AN$2:$AN$1001),MATCH(ROWS($Z$2:$Z154),'Per Line'!$AN$2:$AN$1001,0),"")</f>
        <v/>
      </c>
    </row>
    <row r="155">
      <c r="A155" s="12" t="n"/>
      <c r="B155">
        <f>IF($Z155="","",INDEX('Per Line'!$D$2:$D$1001,$Z155)&amp;"")</f>
        <v/>
      </c>
      <c r="C155">
        <f>IF($Z155="","",INDEX('Per Line'!$B$2:$B$1001,$Z155)&amp;"")</f>
        <v/>
      </c>
      <c r="D155">
        <f>IF($Z155="","",INDEX('Per Line'!$A$2:$A$1001,$Z155))</f>
        <v/>
      </c>
      <c r="E155">
        <f>IF($Z155="","",INDEX('Per Line'!$E$2:$E$1001,$Z155)&amp;"")</f>
        <v/>
      </c>
      <c r="F155">
        <f>IF($Z155="","",INDEX('Per Line'!$F$2:$F$1001,$Z155)&amp;"")</f>
        <v/>
      </c>
      <c r="G155" s="11">
        <f>IF($Z155="","",INDEX('Per Line'!$G$2:$G$1001,$Z155))</f>
        <v/>
      </c>
      <c r="H155">
        <f>IF($Z155="","",INDEX('Per Line'!$I$2:$I$1001,$Z155)&amp;"")</f>
        <v/>
      </c>
      <c r="I155">
        <f>IF($Z155="","",INDEX('Per Line'!$J$2:$J$1001,$Z155)&amp;"")</f>
        <v/>
      </c>
      <c r="J155">
        <f>IF($Z155="","",INDEX('Per Line'!$K$2:$K$1001,$Z155)&amp;"")</f>
        <v/>
      </c>
      <c r="K155">
        <f>IF($Z155="","",INDEX('Per Line'!$L$2:$L$1001,$Z155)&amp;"")</f>
        <v/>
      </c>
      <c r="L155">
        <f>IF($Z155="","",INDEX('Per Line'!$M$2:$M$1001,$Z155)&amp;"")</f>
        <v/>
      </c>
      <c r="M155">
        <f>IF($Z155="","",INDEX('Per Line'!$P$2:$P$1001,$Z155))</f>
        <v/>
      </c>
      <c r="N155" s="7">
        <f>IF($Z155="","",M155*X155/100)</f>
        <v/>
      </c>
      <c r="O155" s="7">
        <f>IF($Z155="","",SUMIFS('Per Line'!$Y$2:$Y$1001,'Per Line'!$D$2:$D$1001,$B155,'Per Line'!$AP$2:$AP$1001,1))</f>
        <v/>
      </c>
      <c r="P155">
        <f>IF($Z155="","",Settings!$C$7)</f>
        <v/>
      </c>
      <c r="Q155" s="7">
        <f>IF($Z155="","",SUMIFS('Per Line'!$Y$2:$Y$1001,'Per Line'!$D$2:$D$1001,$B155,'Per Line'!$AO$2:$AO$1001,0,'Per Line'!$AP$2:$AP$1001,0))</f>
        <v/>
      </c>
      <c r="R155" s="7">
        <f>IF($Z155="","",Q155*P155)</f>
        <v/>
      </c>
      <c r="S155">
        <f>IF($Z155="","",Settings!$C$6)</f>
        <v/>
      </c>
      <c r="T155" s="7">
        <f>IF($Z155="","",SUMIFS('Per Line'!$Y$2:$Y$1001,'Per Line'!$D$2:$D$1001,$B155,'Per Line'!$AO$2:$AO$1001,1,'Per Line'!$AP$2:$AP$1001,0))</f>
        <v/>
      </c>
      <c r="U155" s="7">
        <f>IF($Z155="","",T155*S155)</f>
        <v/>
      </c>
      <c r="V155" s="7">
        <f>IF($Z155="","",U155+R155)</f>
        <v/>
      </c>
      <c r="W155" s="7">
        <f>IF($Z155="","",X155-V155)</f>
        <v/>
      </c>
      <c r="X155" s="7">
        <f>IF($Z155="","",Q155+T155+O155)</f>
        <v/>
      </c>
      <c r="Y155" s="7">
        <f>IF($Z155="","",X155-V155-N155)</f>
        <v/>
      </c>
      <c r="Z155" s="13">
        <f>IF(ROWS($Z$2:$Z155)&lt;=MAX('Per Line'!$AN$2:$AN$1001),MATCH(ROWS($Z$2:$Z155),'Per Line'!$AN$2:$AN$1001,0),"")</f>
        <v/>
      </c>
    </row>
    <row r="156">
      <c r="A156" s="12" t="n"/>
      <c r="B156">
        <f>IF($Z156="","",INDEX('Per Line'!$D$2:$D$1001,$Z156)&amp;"")</f>
        <v/>
      </c>
      <c r="C156">
        <f>IF($Z156="","",INDEX('Per Line'!$B$2:$B$1001,$Z156)&amp;"")</f>
        <v/>
      </c>
      <c r="D156">
        <f>IF($Z156="","",INDEX('Per Line'!$A$2:$A$1001,$Z156))</f>
        <v/>
      </c>
      <c r="E156">
        <f>IF($Z156="","",INDEX('Per Line'!$E$2:$E$1001,$Z156)&amp;"")</f>
        <v/>
      </c>
      <c r="F156">
        <f>IF($Z156="","",INDEX('Per Line'!$F$2:$F$1001,$Z156)&amp;"")</f>
        <v/>
      </c>
      <c r="G156" s="11">
        <f>IF($Z156="","",INDEX('Per Line'!$G$2:$G$1001,$Z156))</f>
        <v/>
      </c>
      <c r="H156">
        <f>IF($Z156="","",INDEX('Per Line'!$I$2:$I$1001,$Z156)&amp;"")</f>
        <v/>
      </c>
      <c r="I156">
        <f>IF($Z156="","",INDEX('Per Line'!$J$2:$J$1001,$Z156)&amp;"")</f>
        <v/>
      </c>
      <c r="J156">
        <f>IF($Z156="","",INDEX('Per Line'!$K$2:$K$1001,$Z156)&amp;"")</f>
        <v/>
      </c>
      <c r="K156">
        <f>IF($Z156="","",INDEX('Per Line'!$L$2:$L$1001,$Z156)&amp;"")</f>
        <v/>
      </c>
      <c r="L156">
        <f>IF($Z156="","",INDEX('Per Line'!$M$2:$M$1001,$Z156)&amp;"")</f>
        <v/>
      </c>
      <c r="M156">
        <f>IF($Z156="","",INDEX('Per Line'!$P$2:$P$1001,$Z156))</f>
        <v/>
      </c>
      <c r="N156" s="7">
        <f>IF($Z156="","",M156*X156/100)</f>
        <v/>
      </c>
      <c r="O156" s="7">
        <f>IF($Z156="","",SUMIFS('Per Line'!$Y$2:$Y$1001,'Per Line'!$D$2:$D$1001,$B156,'Per Line'!$AP$2:$AP$1001,1))</f>
        <v/>
      </c>
      <c r="P156">
        <f>IF($Z156="","",Settings!$C$7)</f>
        <v/>
      </c>
      <c r="Q156" s="7">
        <f>IF($Z156="","",SUMIFS('Per Line'!$Y$2:$Y$1001,'Per Line'!$D$2:$D$1001,$B156,'Per Line'!$AO$2:$AO$1001,0,'Per Line'!$AP$2:$AP$1001,0))</f>
        <v/>
      </c>
      <c r="R156" s="7">
        <f>IF($Z156="","",Q156*P156)</f>
        <v/>
      </c>
      <c r="S156">
        <f>IF($Z156="","",Settings!$C$6)</f>
        <v/>
      </c>
      <c r="T156" s="7">
        <f>IF($Z156="","",SUMIFS('Per Line'!$Y$2:$Y$1001,'Per Line'!$D$2:$D$1001,$B156,'Per Line'!$AO$2:$AO$1001,1,'Per Line'!$AP$2:$AP$1001,0))</f>
        <v/>
      </c>
      <c r="U156" s="7">
        <f>IF($Z156="","",T156*S156)</f>
        <v/>
      </c>
      <c r="V156" s="7">
        <f>IF($Z156="","",U156+R156)</f>
        <v/>
      </c>
      <c r="W156" s="7">
        <f>IF($Z156="","",X156-V156)</f>
        <v/>
      </c>
      <c r="X156" s="7">
        <f>IF($Z156="","",Q156+T156+O156)</f>
        <v/>
      </c>
      <c r="Y156" s="7">
        <f>IF($Z156="","",X156-V156-N156)</f>
        <v/>
      </c>
      <c r="Z156" s="13">
        <f>IF(ROWS($Z$2:$Z156)&lt;=MAX('Per Line'!$AN$2:$AN$1001),MATCH(ROWS($Z$2:$Z156),'Per Line'!$AN$2:$AN$1001,0),"")</f>
        <v/>
      </c>
    </row>
    <row r="157">
      <c r="A157" s="12" t="n"/>
      <c r="B157">
        <f>IF($Z157="","",INDEX('Per Line'!$D$2:$D$1001,$Z157)&amp;"")</f>
        <v/>
      </c>
      <c r="C157">
        <f>IF($Z157="","",INDEX('Per Line'!$B$2:$B$1001,$Z157)&amp;"")</f>
        <v/>
      </c>
      <c r="D157">
        <f>IF($Z157="","",INDEX('Per Line'!$A$2:$A$1001,$Z157))</f>
        <v/>
      </c>
      <c r="E157">
        <f>IF($Z157="","",INDEX('Per Line'!$E$2:$E$1001,$Z157)&amp;"")</f>
        <v/>
      </c>
      <c r="F157">
        <f>IF($Z157="","",INDEX('Per Line'!$F$2:$F$1001,$Z157)&amp;"")</f>
        <v/>
      </c>
      <c r="G157" s="11">
        <f>IF($Z157="","",INDEX('Per Line'!$G$2:$G$1001,$Z157))</f>
        <v/>
      </c>
      <c r="H157">
        <f>IF($Z157="","",INDEX('Per Line'!$I$2:$I$1001,$Z157)&amp;"")</f>
        <v/>
      </c>
      <c r="I157">
        <f>IF($Z157="","",INDEX('Per Line'!$J$2:$J$1001,$Z157)&amp;"")</f>
        <v/>
      </c>
      <c r="J157">
        <f>IF($Z157="","",INDEX('Per Line'!$K$2:$K$1001,$Z157)&amp;"")</f>
        <v/>
      </c>
      <c r="K157">
        <f>IF($Z157="","",INDEX('Per Line'!$L$2:$L$1001,$Z157)&amp;"")</f>
        <v/>
      </c>
      <c r="L157">
        <f>IF($Z157="","",INDEX('Per Line'!$M$2:$M$1001,$Z157)&amp;"")</f>
        <v/>
      </c>
      <c r="M157">
        <f>IF($Z157="","",INDEX('Per Line'!$P$2:$P$1001,$Z157))</f>
        <v/>
      </c>
      <c r="N157" s="7">
        <f>IF($Z157="","",M157*X157/100)</f>
        <v/>
      </c>
      <c r="O157" s="7">
        <f>IF($Z157="","",SUMIFS('Per Line'!$Y$2:$Y$1001,'Per Line'!$D$2:$D$1001,$B157,'Per Line'!$AP$2:$AP$1001,1))</f>
        <v/>
      </c>
      <c r="P157">
        <f>IF($Z157="","",Settings!$C$7)</f>
        <v/>
      </c>
      <c r="Q157" s="7">
        <f>IF($Z157="","",SUMIFS('Per Line'!$Y$2:$Y$1001,'Per Line'!$D$2:$D$1001,$B157,'Per Line'!$AO$2:$AO$1001,0,'Per Line'!$AP$2:$AP$1001,0))</f>
        <v/>
      </c>
      <c r="R157" s="7">
        <f>IF($Z157="","",Q157*P157)</f>
        <v/>
      </c>
      <c r="S157">
        <f>IF($Z157="","",Settings!$C$6)</f>
        <v/>
      </c>
      <c r="T157" s="7">
        <f>IF($Z157="","",SUMIFS('Per Line'!$Y$2:$Y$1001,'Per Line'!$D$2:$D$1001,$B157,'Per Line'!$AO$2:$AO$1001,1,'Per Line'!$AP$2:$AP$1001,0))</f>
        <v/>
      </c>
      <c r="U157" s="7">
        <f>IF($Z157="","",T157*S157)</f>
        <v/>
      </c>
      <c r="V157" s="7">
        <f>IF($Z157="","",U157+R157)</f>
        <v/>
      </c>
      <c r="W157" s="7">
        <f>IF($Z157="","",X157-V157)</f>
        <v/>
      </c>
      <c r="X157" s="7">
        <f>IF($Z157="","",Q157+T157+O157)</f>
        <v/>
      </c>
      <c r="Y157" s="7">
        <f>IF($Z157="","",X157-V157-N157)</f>
        <v/>
      </c>
      <c r="Z157" s="13">
        <f>IF(ROWS($Z$2:$Z157)&lt;=MAX('Per Line'!$AN$2:$AN$1001),MATCH(ROWS($Z$2:$Z157),'Per Line'!$AN$2:$AN$1001,0),"")</f>
        <v/>
      </c>
    </row>
    <row r="158">
      <c r="A158" s="12" t="n"/>
      <c r="B158">
        <f>IF($Z158="","",INDEX('Per Line'!$D$2:$D$1001,$Z158)&amp;"")</f>
        <v/>
      </c>
      <c r="C158">
        <f>IF($Z158="","",INDEX('Per Line'!$B$2:$B$1001,$Z158)&amp;"")</f>
        <v/>
      </c>
      <c r="D158">
        <f>IF($Z158="","",INDEX('Per Line'!$A$2:$A$1001,$Z158))</f>
        <v/>
      </c>
      <c r="E158">
        <f>IF($Z158="","",INDEX('Per Line'!$E$2:$E$1001,$Z158)&amp;"")</f>
        <v/>
      </c>
      <c r="F158">
        <f>IF($Z158="","",INDEX('Per Line'!$F$2:$F$1001,$Z158)&amp;"")</f>
        <v/>
      </c>
      <c r="G158" s="11">
        <f>IF($Z158="","",INDEX('Per Line'!$G$2:$G$1001,$Z158))</f>
        <v/>
      </c>
      <c r="H158">
        <f>IF($Z158="","",INDEX('Per Line'!$I$2:$I$1001,$Z158)&amp;"")</f>
        <v/>
      </c>
      <c r="I158">
        <f>IF($Z158="","",INDEX('Per Line'!$J$2:$J$1001,$Z158)&amp;"")</f>
        <v/>
      </c>
      <c r="J158">
        <f>IF($Z158="","",INDEX('Per Line'!$K$2:$K$1001,$Z158)&amp;"")</f>
        <v/>
      </c>
      <c r="K158">
        <f>IF($Z158="","",INDEX('Per Line'!$L$2:$L$1001,$Z158)&amp;"")</f>
        <v/>
      </c>
      <c r="L158">
        <f>IF($Z158="","",INDEX('Per Line'!$M$2:$M$1001,$Z158)&amp;"")</f>
        <v/>
      </c>
      <c r="M158">
        <f>IF($Z158="","",INDEX('Per Line'!$P$2:$P$1001,$Z158))</f>
        <v/>
      </c>
      <c r="N158" s="7">
        <f>IF($Z158="","",M158*X158/100)</f>
        <v/>
      </c>
      <c r="O158" s="7">
        <f>IF($Z158="","",SUMIFS('Per Line'!$Y$2:$Y$1001,'Per Line'!$D$2:$D$1001,$B158,'Per Line'!$AP$2:$AP$1001,1))</f>
        <v/>
      </c>
      <c r="P158">
        <f>IF($Z158="","",Settings!$C$7)</f>
        <v/>
      </c>
      <c r="Q158" s="7">
        <f>IF($Z158="","",SUMIFS('Per Line'!$Y$2:$Y$1001,'Per Line'!$D$2:$D$1001,$B158,'Per Line'!$AO$2:$AO$1001,0,'Per Line'!$AP$2:$AP$1001,0))</f>
        <v/>
      </c>
      <c r="R158" s="7">
        <f>IF($Z158="","",Q158*P158)</f>
        <v/>
      </c>
      <c r="S158">
        <f>IF($Z158="","",Settings!$C$6)</f>
        <v/>
      </c>
      <c r="T158" s="7">
        <f>IF($Z158="","",SUMIFS('Per Line'!$Y$2:$Y$1001,'Per Line'!$D$2:$D$1001,$B158,'Per Line'!$AO$2:$AO$1001,1,'Per Line'!$AP$2:$AP$1001,0))</f>
        <v/>
      </c>
      <c r="U158" s="7">
        <f>IF($Z158="","",T158*S158)</f>
        <v/>
      </c>
      <c r="V158" s="7">
        <f>IF($Z158="","",U158+R158)</f>
        <v/>
      </c>
      <c r="W158" s="7">
        <f>IF($Z158="","",X158-V158)</f>
        <v/>
      </c>
      <c r="X158" s="7">
        <f>IF($Z158="","",Q158+T158+O158)</f>
        <v/>
      </c>
      <c r="Y158" s="7">
        <f>IF($Z158="","",X158-V158-N158)</f>
        <v/>
      </c>
      <c r="Z158" s="13">
        <f>IF(ROWS($Z$2:$Z158)&lt;=MAX('Per Line'!$AN$2:$AN$1001),MATCH(ROWS($Z$2:$Z158),'Per Line'!$AN$2:$AN$1001,0),"")</f>
        <v/>
      </c>
    </row>
    <row r="159">
      <c r="A159" s="12" t="n"/>
      <c r="B159">
        <f>IF($Z159="","",INDEX('Per Line'!$D$2:$D$1001,$Z159)&amp;"")</f>
        <v/>
      </c>
      <c r="C159">
        <f>IF($Z159="","",INDEX('Per Line'!$B$2:$B$1001,$Z159)&amp;"")</f>
        <v/>
      </c>
      <c r="D159">
        <f>IF($Z159="","",INDEX('Per Line'!$A$2:$A$1001,$Z159))</f>
        <v/>
      </c>
      <c r="E159">
        <f>IF($Z159="","",INDEX('Per Line'!$E$2:$E$1001,$Z159)&amp;"")</f>
        <v/>
      </c>
      <c r="F159">
        <f>IF($Z159="","",INDEX('Per Line'!$F$2:$F$1001,$Z159)&amp;"")</f>
        <v/>
      </c>
      <c r="G159" s="11">
        <f>IF($Z159="","",INDEX('Per Line'!$G$2:$G$1001,$Z159))</f>
        <v/>
      </c>
      <c r="H159">
        <f>IF($Z159="","",INDEX('Per Line'!$I$2:$I$1001,$Z159)&amp;"")</f>
        <v/>
      </c>
      <c r="I159">
        <f>IF($Z159="","",INDEX('Per Line'!$J$2:$J$1001,$Z159)&amp;"")</f>
        <v/>
      </c>
      <c r="J159">
        <f>IF($Z159="","",INDEX('Per Line'!$K$2:$K$1001,$Z159)&amp;"")</f>
        <v/>
      </c>
      <c r="K159">
        <f>IF($Z159="","",INDEX('Per Line'!$L$2:$L$1001,$Z159)&amp;"")</f>
        <v/>
      </c>
      <c r="L159">
        <f>IF($Z159="","",INDEX('Per Line'!$M$2:$M$1001,$Z159)&amp;"")</f>
        <v/>
      </c>
      <c r="M159">
        <f>IF($Z159="","",INDEX('Per Line'!$P$2:$P$1001,$Z159))</f>
        <v/>
      </c>
      <c r="N159" s="7">
        <f>IF($Z159="","",M159*X159/100)</f>
        <v/>
      </c>
      <c r="O159" s="7">
        <f>IF($Z159="","",SUMIFS('Per Line'!$Y$2:$Y$1001,'Per Line'!$D$2:$D$1001,$B159,'Per Line'!$AP$2:$AP$1001,1))</f>
        <v/>
      </c>
      <c r="P159">
        <f>IF($Z159="","",Settings!$C$7)</f>
        <v/>
      </c>
      <c r="Q159" s="7">
        <f>IF($Z159="","",SUMIFS('Per Line'!$Y$2:$Y$1001,'Per Line'!$D$2:$D$1001,$B159,'Per Line'!$AO$2:$AO$1001,0,'Per Line'!$AP$2:$AP$1001,0))</f>
        <v/>
      </c>
      <c r="R159" s="7">
        <f>IF($Z159="","",Q159*P159)</f>
        <v/>
      </c>
      <c r="S159">
        <f>IF($Z159="","",Settings!$C$6)</f>
        <v/>
      </c>
      <c r="T159" s="7">
        <f>IF($Z159="","",SUMIFS('Per Line'!$Y$2:$Y$1001,'Per Line'!$D$2:$D$1001,$B159,'Per Line'!$AO$2:$AO$1001,1,'Per Line'!$AP$2:$AP$1001,0))</f>
        <v/>
      </c>
      <c r="U159" s="7">
        <f>IF($Z159="","",T159*S159)</f>
        <v/>
      </c>
      <c r="V159" s="7">
        <f>IF($Z159="","",U159+R159)</f>
        <v/>
      </c>
      <c r="W159" s="7">
        <f>IF($Z159="","",X159-V159)</f>
        <v/>
      </c>
      <c r="X159" s="7">
        <f>IF($Z159="","",Q159+T159+O159)</f>
        <v/>
      </c>
      <c r="Y159" s="7">
        <f>IF($Z159="","",X159-V159-N159)</f>
        <v/>
      </c>
      <c r="Z159" s="13">
        <f>IF(ROWS($Z$2:$Z159)&lt;=MAX('Per Line'!$AN$2:$AN$1001),MATCH(ROWS($Z$2:$Z159),'Per Line'!$AN$2:$AN$1001,0),"")</f>
        <v/>
      </c>
    </row>
    <row r="160">
      <c r="A160" s="12" t="n"/>
      <c r="B160">
        <f>IF($Z160="","",INDEX('Per Line'!$D$2:$D$1001,$Z160)&amp;"")</f>
        <v/>
      </c>
      <c r="C160">
        <f>IF($Z160="","",INDEX('Per Line'!$B$2:$B$1001,$Z160)&amp;"")</f>
        <v/>
      </c>
      <c r="D160">
        <f>IF($Z160="","",INDEX('Per Line'!$A$2:$A$1001,$Z160))</f>
        <v/>
      </c>
      <c r="E160">
        <f>IF($Z160="","",INDEX('Per Line'!$E$2:$E$1001,$Z160)&amp;"")</f>
        <v/>
      </c>
      <c r="F160">
        <f>IF($Z160="","",INDEX('Per Line'!$F$2:$F$1001,$Z160)&amp;"")</f>
        <v/>
      </c>
      <c r="G160" s="11">
        <f>IF($Z160="","",INDEX('Per Line'!$G$2:$G$1001,$Z160))</f>
        <v/>
      </c>
      <c r="H160">
        <f>IF($Z160="","",INDEX('Per Line'!$I$2:$I$1001,$Z160)&amp;"")</f>
        <v/>
      </c>
      <c r="I160">
        <f>IF($Z160="","",INDEX('Per Line'!$J$2:$J$1001,$Z160)&amp;"")</f>
        <v/>
      </c>
      <c r="J160">
        <f>IF($Z160="","",INDEX('Per Line'!$K$2:$K$1001,$Z160)&amp;"")</f>
        <v/>
      </c>
      <c r="K160">
        <f>IF($Z160="","",INDEX('Per Line'!$L$2:$L$1001,$Z160)&amp;"")</f>
        <v/>
      </c>
      <c r="L160">
        <f>IF($Z160="","",INDEX('Per Line'!$M$2:$M$1001,$Z160)&amp;"")</f>
        <v/>
      </c>
      <c r="M160">
        <f>IF($Z160="","",INDEX('Per Line'!$P$2:$P$1001,$Z160))</f>
        <v/>
      </c>
      <c r="N160" s="7">
        <f>IF($Z160="","",M160*X160/100)</f>
        <v/>
      </c>
      <c r="O160" s="7">
        <f>IF($Z160="","",SUMIFS('Per Line'!$Y$2:$Y$1001,'Per Line'!$D$2:$D$1001,$B160,'Per Line'!$AP$2:$AP$1001,1))</f>
        <v/>
      </c>
      <c r="P160">
        <f>IF($Z160="","",Settings!$C$7)</f>
        <v/>
      </c>
      <c r="Q160" s="7">
        <f>IF($Z160="","",SUMIFS('Per Line'!$Y$2:$Y$1001,'Per Line'!$D$2:$D$1001,$B160,'Per Line'!$AO$2:$AO$1001,0,'Per Line'!$AP$2:$AP$1001,0))</f>
        <v/>
      </c>
      <c r="R160" s="7">
        <f>IF($Z160="","",Q160*P160)</f>
        <v/>
      </c>
      <c r="S160">
        <f>IF($Z160="","",Settings!$C$6)</f>
        <v/>
      </c>
      <c r="T160" s="7">
        <f>IF($Z160="","",SUMIFS('Per Line'!$Y$2:$Y$1001,'Per Line'!$D$2:$D$1001,$B160,'Per Line'!$AO$2:$AO$1001,1,'Per Line'!$AP$2:$AP$1001,0))</f>
        <v/>
      </c>
      <c r="U160" s="7">
        <f>IF($Z160="","",T160*S160)</f>
        <v/>
      </c>
      <c r="V160" s="7">
        <f>IF($Z160="","",U160+R160)</f>
        <v/>
      </c>
      <c r="W160" s="7">
        <f>IF($Z160="","",X160-V160)</f>
        <v/>
      </c>
      <c r="X160" s="7">
        <f>IF($Z160="","",Q160+T160+O160)</f>
        <v/>
      </c>
      <c r="Y160" s="7">
        <f>IF($Z160="","",X160-V160-N160)</f>
        <v/>
      </c>
      <c r="Z160" s="13">
        <f>IF(ROWS($Z$2:$Z160)&lt;=MAX('Per Line'!$AN$2:$AN$1001),MATCH(ROWS($Z$2:$Z160),'Per Line'!$AN$2:$AN$1001,0),"")</f>
        <v/>
      </c>
    </row>
    <row r="161">
      <c r="A161" s="12" t="n"/>
      <c r="B161">
        <f>IF($Z161="","",INDEX('Per Line'!$D$2:$D$1001,$Z161)&amp;"")</f>
        <v/>
      </c>
      <c r="C161">
        <f>IF($Z161="","",INDEX('Per Line'!$B$2:$B$1001,$Z161)&amp;"")</f>
        <v/>
      </c>
      <c r="D161">
        <f>IF($Z161="","",INDEX('Per Line'!$A$2:$A$1001,$Z161))</f>
        <v/>
      </c>
      <c r="E161">
        <f>IF($Z161="","",INDEX('Per Line'!$E$2:$E$1001,$Z161)&amp;"")</f>
        <v/>
      </c>
      <c r="F161">
        <f>IF($Z161="","",INDEX('Per Line'!$F$2:$F$1001,$Z161)&amp;"")</f>
        <v/>
      </c>
      <c r="G161" s="11">
        <f>IF($Z161="","",INDEX('Per Line'!$G$2:$G$1001,$Z161))</f>
        <v/>
      </c>
      <c r="H161">
        <f>IF($Z161="","",INDEX('Per Line'!$I$2:$I$1001,$Z161)&amp;"")</f>
        <v/>
      </c>
      <c r="I161">
        <f>IF($Z161="","",INDEX('Per Line'!$J$2:$J$1001,$Z161)&amp;"")</f>
        <v/>
      </c>
      <c r="J161">
        <f>IF($Z161="","",INDEX('Per Line'!$K$2:$K$1001,$Z161)&amp;"")</f>
        <v/>
      </c>
      <c r="K161">
        <f>IF($Z161="","",INDEX('Per Line'!$L$2:$L$1001,$Z161)&amp;"")</f>
        <v/>
      </c>
      <c r="L161">
        <f>IF($Z161="","",INDEX('Per Line'!$M$2:$M$1001,$Z161)&amp;"")</f>
        <v/>
      </c>
      <c r="M161">
        <f>IF($Z161="","",INDEX('Per Line'!$P$2:$P$1001,$Z161))</f>
        <v/>
      </c>
      <c r="N161" s="7">
        <f>IF($Z161="","",M161*X161/100)</f>
        <v/>
      </c>
      <c r="O161" s="7">
        <f>IF($Z161="","",SUMIFS('Per Line'!$Y$2:$Y$1001,'Per Line'!$D$2:$D$1001,$B161,'Per Line'!$AP$2:$AP$1001,1))</f>
        <v/>
      </c>
      <c r="P161">
        <f>IF($Z161="","",Settings!$C$7)</f>
        <v/>
      </c>
      <c r="Q161" s="7">
        <f>IF($Z161="","",SUMIFS('Per Line'!$Y$2:$Y$1001,'Per Line'!$D$2:$D$1001,$B161,'Per Line'!$AO$2:$AO$1001,0,'Per Line'!$AP$2:$AP$1001,0))</f>
        <v/>
      </c>
      <c r="R161" s="7">
        <f>IF($Z161="","",Q161*P161)</f>
        <v/>
      </c>
      <c r="S161">
        <f>IF($Z161="","",Settings!$C$6)</f>
        <v/>
      </c>
      <c r="T161" s="7">
        <f>IF($Z161="","",SUMIFS('Per Line'!$Y$2:$Y$1001,'Per Line'!$D$2:$D$1001,$B161,'Per Line'!$AO$2:$AO$1001,1,'Per Line'!$AP$2:$AP$1001,0))</f>
        <v/>
      </c>
      <c r="U161" s="7">
        <f>IF($Z161="","",T161*S161)</f>
        <v/>
      </c>
      <c r="V161" s="7">
        <f>IF($Z161="","",U161+R161)</f>
        <v/>
      </c>
      <c r="W161" s="7">
        <f>IF($Z161="","",X161-V161)</f>
        <v/>
      </c>
      <c r="X161" s="7">
        <f>IF($Z161="","",Q161+T161+O161)</f>
        <v/>
      </c>
      <c r="Y161" s="7">
        <f>IF($Z161="","",X161-V161-N161)</f>
        <v/>
      </c>
      <c r="Z161" s="13">
        <f>IF(ROWS($Z$2:$Z161)&lt;=MAX('Per Line'!$AN$2:$AN$1001),MATCH(ROWS($Z$2:$Z161),'Per Line'!$AN$2:$AN$1001,0),"")</f>
        <v/>
      </c>
    </row>
    <row r="162">
      <c r="A162" s="12" t="n"/>
      <c r="B162">
        <f>IF($Z162="","",INDEX('Per Line'!$D$2:$D$1001,$Z162)&amp;"")</f>
        <v/>
      </c>
      <c r="C162">
        <f>IF($Z162="","",INDEX('Per Line'!$B$2:$B$1001,$Z162)&amp;"")</f>
        <v/>
      </c>
      <c r="D162">
        <f>IF($Z162="","",INDEX('Per Line'!$A$2:$A$1001,$Z162))</f>
        <v/>
      </c>
      <c r="E162">
        <f>IF($Z162="","",INDEX('Per Line'!$E$2:$E$1001,$Z162)&amp;"")</f>
        <v/>
      </c>
      <c r="F162">
        <f>IF($Z162="","",INDEX('Per Line'!$F$2:$F$1001,$Z162)&amp;"")</f>
        <v/>
      </c>
      <c r="G162" s="11">
        <f>IF($Z162="","",INDEX('Per Line'!$G$2:$G$1001,$Z162))</f>
        <v/>
      </c>
      <c r="H162">
        <f>IF($Z162="","",INDEX('Per Line'!$I$2:$I$1001,$Z162)&amp;"")</f>
        <v/>
      </c>
      <c r="I162">
        <f>IF($Z162="","",INDEX('Per Line'!$J$2:$J$1001,$Z162)&amp;"")</f>
        <v/>
      </c>
      <c r="J162">
        <f>IF($Z162="","",INDEX('Per Line'!$K$2:$K$1001,$Z162)&amp;"")</f>
        <v/>
      </c>
      <c r="K162">
        <f>IF($Z162="","",INDEX('Per Line'!$L$2:$L$1001,$Z162)&amp;"")</f>
        <v/>
      </c>
      <c r="L162">
        <f>IF($Z162="","",INDEX('Per Line'!$M$2:$M$1001,$Z162)&amp;"")</f>
        <v/>
      </c>
      <c r="M162">
        <f>IF($Z162="","",INDEX('Per Line'!$P$2:$P$1001,$Z162))</f>
        <v/>
      </c>
      <c r="N162" s="7">
        <f>IF($Z162="","",M162*X162/100)</f>
        <v/>
      </c>
      <c r="O162" s="7">
        <f>IF($Z162="","",SUMIFS('Per Line'!$Y$2:$Y$1001,'Per Line'!$D$2:$D$1001,$B162,'Per Line'!$AP$2:$AP$1001,1))</f>
        <v/>
      </c>
      <c r="P162">
        <f>IF($Z162="","",Settings!$C$7)</f>
        <v/>
      </c>
      <c r="Q162" s="7">
        <f>IF($Z162="","",SUMIFS('Per Line'!$Y$2:$Y$1001,'Per Line'!$D$2:$D$1001,$B162,'Per Line'!$AO$2:$AO$1001,0,'Per Line'!$AP$2:$AP$1001,0))</f>
        <v/>
      </c>
      <c r="R162" s="7">
        <f>IF($Z162="","",Q162*P162)</f>
        <v/>
      </c>
      <c r="S162">
        <f>IF($Z162="","",Settings!$C$6)</f>
        <v/>
      </c>
      <c r="T162" s="7">
        <f>IF($Z162="","",SUMIFS('Per Line'!$Y$2:$Y$1001,'Per Line'!$D$2:$D$1001,$B162,'Per Line'!$AO$2:$AO$1001,1,'Per Line'!$AP$2:$AP$1001,0))</f>
        <v/>
      </c>
      <c r="U162" s="7">
        <f>IF($Z162="","",T162*S162)</f>
        <v/>
      </c>
      <c r="V162" s="7">
        <f>IF($Z162="","",U162+R162)</f>
        <v/>
      </c>
      <c r="W162" s="7">
        <f>IF($Z162="","",X162-V162)</f>
        <v/>
      </c>
      <c r="X162" s="7">
        <f>IF($Z162="","",Q162+T162+O162)</f>
        <v/>
      </c>
      <c r="Y162" s="7">
        <f>IF($Z162="","",X162-V162-N162)</f>
        <v/>
      </c>
      <c r="Z162" s="13">
        <f>IF(ROWS($Z$2:$Z162)&lt;=MAX('Per Line'!$AN$2:$AN$1001),MATCH(ROWS($Z$2:$Z162),'Per Line'!$AN$2:$AN$1001,0),"")</f>
        <v/>
      </c>
    </row>
    <row r="163">
      <c r="A163" s="12" t="n"/>
      <c r="B163">
        <f>IF($Z163="","",INDEX('Per Line'!$D$2:$D$1001,$Z163)&amp;"")</f>
        <v/>
      </c>
      <c r="C163">
        <f>IF($Z163="","",INDEX('Per Line'!$B$2:$B$1001,$Z163)&amp;"")</f>
        <v/>
      </c>
      <c r="D163">
        <f>IF($Z163="","",INDEX('Per Line'!$A$2:$A$1001,$Z163))</f>
        <v/>
      </c>
      <c r="E163">
        <f>IF($Z163="","",INDEX('Per Line'!$E$2:$E$1001,$Z163)&amp;"")</f>
        <v/>
      </c>
      <c r="F163">
        <f>IF($Z163="","",INDEX('Per Line'!$F$2:$F$1001,$Z163)&amp;"")</f>
        <v/>
      </c>
      <c r="G163" s="11">
        <f>IF($Z163="","",INDEX('Per Line'!$G$2:$G$1001,$Z163))</f>
        <v/>
      </c>
      <c r="H163">
        <f>IF($Z163="","",INDEX('Per Line'!$I$2:$I$1001,$Z163)&amp;"")</f>
        <v/>
      </c>
      <c r="I163">
        <f>IF($Z163="","",INDEX('Per Line'!$J$2:$J$1001,$Z163)&amp;"")</f>
        <v/>
      </c>
      <c r="J163">
        <f>IF($Z163="","",INDEX('Per Line'!$K$2:$K$1001,$Z163)&amp;"")</f>
        <v/>
      </c>
      <c r="K163">
        <f>IF($Z163="","",INDEX('Per Line'!$L$2:$L$1001,$Z163)&amp;"")</f>
        <v/>
      </c>
      <c r="L163">
        <f>IF($Z163="","",INDEX('Per Line'!$M$2:$M$1001,$Z163)&amp;"")</f>
        <v/>
      </c>
      <c r="M163">
        <f>IF($Z163="","",INDEX('Per Line'!$P$2:$P$1001,$Z163))</f>
        <v/>
      </c>
      <c r="N163" s="7">
        <f>IF($Z163="","",M163*X163/100)</f>
        <v/>
      </c>
      <c r="O163" s="7">
        <f>IF($Z163="","",SUMIFS('Per Line'!$Y$2:$Y$1001,'Per Line'!$D$2:$D$1001,$B163,'Per Line'!$AP$2:$AP$1001,1))</f>
        <v/>
      </c>
      <c r="P163">
        <f>IF($Z163="","",Settings!$C$7)</f>
        <v/>
      </c>
      <c r="Q163" s="7">
        <f>IF($Z163="","",SUMIFS('Per Line'!$Y$2:$Y$1001,'Per Line'!$D$2:$D$1001,$B163,'Per Line'!$AO$2:$AO$1001,0,'Per Line'!$AP$2:$AP$1001,0))</f>
        <v/>
      </c>
      <c r="R163" s="7">
        <f>IF($Z163="","",Q163*P163)</f>
        <v/>
      </c>
      <c r="S163">
        <f>IF($Z163="","",Settings!$C$6)</f>
        <v/>
      </c>
      <c r="T163" s="7">
        <f>IF($Z163="","",SUMIFS('Per Line'!$Y$2:$Y$1001,'Per Line'!$D$2:$D$1001,$B163,'Per Line'!$AO$2:$AO$1001,1,'Per Line'!$AP$2:$AP$1001,0))</f>
        <v/>
      </c>
      <c r="U163" s="7">
        <f>IF($Z163="","",T163*S163)</f>
        <v/>
      </c>
      <c r="V163" s="7">
        <f>IF($Z163="","",U163+R163)</f>
        <v/>
      </c>
      <c r="W163" s="7">
        <f>IF($Z163="","",X163-V163)</f>
        <v/>
      </c>
      <c r="X163" s="7">
        <f>IF($Z163="","",Q163+T163+O163)</f>
        <v/>
      </c>
      <c r="Y163" s="7">
        <f>IF($Z163="","",X163-V163-N163)</f>
        <v/>
      </c>
      <c r="Z163" s="13">
        <f>IF(ROWS($Z$2:$Z163)&lt;=MAX('Per Line'!$AN$2:$AN$1001),MATCH(ROWS($Z$2:$Z163),'Per Line'!$AN$2:$AN$1001,0),"")</f>
        <v/>
      </c>
    </row>
    <row r="164">
      <c r="A164" s="12" t="n"/>
      <c r="B164">
        <f>IF($Z164="","",INDEX('Per Line'!$D$2:$D$1001,$Z164)&amp;"")</f>
        <v/>
      </c>
      <c r="C164">
        <f>IF($Z164="","",INDEX('Per Line'!$B$2:$B$1001,$Z164)&amp;"")</f>
        <v/>
      </c>
      <c r="D164">
        <f>IF($Z164="","",INDEX('Per Line'!$A$2:$A$1001,$Z164))</f>
        <v/>
      </c>
      <c r="E164">
        <f>IF($Z164="","",INDEX('Per Line'!$E$2:$E$1001,$Z164)&amp;"")</f>
        <v/>
      </c>
      <c r="F164">
        <f>IF($Z164="","",INDEX('Per Line'!$F$2:$F$1001,$Z164)&amp;"")</f>
        <v/>
      </c>
      <c r="G164" s="11">
        <f>IF($Z164="","",INDEX('Per Line'!$G$2:$G$1001,$Z164))</f>
        <v/>
      </c>
      <c r="H164">
        <f>IF($Z164="","",INDEX('Per Line'!$I$2:$I$1001,$Z164)&amp;"")</f>
        <v/>
      </c>
      <c r="I164">
        <f>IF($Z164="","",INDEX('Per Line'!$J$2:$J$1001,$Z164)&amp;"")</f>
        <v/>
      </c>
      <c r="J164">
        <f>IF($Z164="","",INDEX('Per Line'!$K$2:$K$1001,$Z164)&amp;"")</f>
        <v/>
      </c>
      <c r="K164">
        <f>IF($Z164="","",INDEX('Per Line'!$L$2:$L$1001,$Z164)&amp;"")</f>
        <v/>
      </c>
      <c r="L164">
        <f>IF($Z164="","",INDEX('Per Line'!$M$2:$M$1001,$Z164)&amp;"")</f>
        <v/>
      </c>
      <c r="M164">
        <f>IF($Z164="","",INDEX('Per Line'!$P$2:$P$1001,$Z164))</f>
        <v/>
      </c>
      <c r="N164" s="7">
        <f>IF($Z164="","",M164*X164/100)</f>
        <v/>
      </c>
      <c r="O164" s="7">
        <f>IF($Z164="","",SUMIFS('Per Line'!$Y$2:$Y$1001,'Per Line'!$D$2:$D$1001,$B164,'Per Line'!$AP$2:$AP$1001,1))</f>
        <v/>
      </c>
      <c r="P164">
        <f>IF($Z164="","",Settings!$C$7)</f>
        <v/>
      </c>
      <c r="Q164" s="7">
        <f>IF($Z164="","",SUMIFS('Per Line'!$Y$2:$Y$1001,'Per Line'!$D$2:$D$1001,$B164,'Per Line'!$AO$2:$AO$1001,0,'Per Line'!$AP$2:$AP$1001,0))</f>
        <v/>
      </c>
      <c r="R164" s="7">
        <f>IF($Z164="","",Q164*P164)</f>
        <v/>
      </c>
      <c r="S164">
        <f>IF($Z164="","",Settings!$C$6)</f>
        <v/>
      </c>
      <c r="T164" s="7">
        <f>IF($Z164="","",SUMIFS('Per Line'!$Y$2:$Y$1001,'Per Line'!$D$2:$D$1001,$B164,'Per Line'!$AO$2:$AO$1001,1,'Per Line'!$AP$2:$AP$1001,0))</f>
        <v/>
      </c>
      <c r="U164" s="7">
        <f>IF($Z164="","",T164*S164)</f>
        <v/>
      </c>
      <c r="V164" s="7">
        <f>IF($Z164="","",U164+R164)</f>
        <v/>
      </c>
      <c r="W164" s="7">
        <f>IF($Z164="","",X164-V164)</f>
        <v/>
      </c>
      <c r="X164" s="7">
        <f>IF($Z164="","",Q164+T164+O164)</f>
        <v/>
      </c>
      <c r="Y164" s="7">
        <f>IF($Z164="","",X164-V164-N164)</f>
        <v/>
      </c>
      <c r="Z164" s="13">
        <f>IF(ROWS($Z$2:$Z164)&lt;=MAX('Per Line'!$AN$2:$AN$1001),MATCH(ROWS($Z$2:$Z164),'Per Line'!$AN$2:$AN$1001,0),"")</f>
        <v/>
      </c>
    </row>
    <row r="165">
      <c r="A165" s="12" t="n"/>
      <c r="B165">
        <f>IF($Z165="","",INDEX('Per Line'!$D$2:$D$1001,$Z165)&amp;"")</f>
        <v/>
      </c>
      <c r="C165">
        <f>IF($Z165="","",INDEX('Per Line'!$B$2:$B$1001,$Z165)&amp;"")</f>
        <v/>
      </c>
      <c r="D165">
        <f>IF($Z165="","",INDEX('Per Line'!$A$2:$A$1001,$Z165))</f>
        <v/>
      </c>
      <c r="E165">
        <f>IF($Z165="","",INDEX('Per Line'!$E$2:$E$1001,$Z165)&amp;"")</f>
        <v/>
      </c>
      <c r="F165">
        <f>IF($Z165="","",INDEX('Per Line'!$F$2:$F$1001,$Z165)&amp;"")</f>
        <v/>
      </c>
      <c r="G165" s="11">
        <f>IF($Z165="","",INDEX('Per Line'!$G$2:$G$1001,$Z165))</f>
        <v/>
      </c>
      <c r="H165">
        <f>IF($Z165="","",INDEX('Per Line'!$I$2:$I$1001,$Z165)&amp;"")</f>
        <v/>
      </c>
      <c r="I165">
        <f>IF($Z165="","",INDEX('Per Line'!$J$2:$J$1001,$Z165)&amp;"")</f>
        <v/>
      </c>
      <c r="J165">
        <f>IF($Z165="","",INDEX('Per Line'!$K$2:$K$1001,$Z165)&amp;"")</f>
        <v/>
      </c>
      <c r="K165">
        <f>IF($Z165="","",INDEX('Per Line'!$L$2:$L$1001,$Z165)&amp;"")</f>
        <v/>
      </c>
      <c r="L165">
        <f>IF($Z165="","",INDEX('Per Line'!$M$2:$M$1001,$Z165)&amp;"")</f>
        <v/>
      </c>
      <c r="M165">
        <f>IF($Z165="","",INDEX('Per Line'!$P$2:$P$1001,$Z165))</f>
        <v/>
      </c>
      <c r="N165" s="7">
        <f>IF($Z165="","",M165*X165/100)</f>
        <v/>
      </c>
      <c r="O165" s="7">
        <f>IF($Z165="","",SUMIFS('Per Line'!$Y$2:$Y$1001,'Per Line'!$D$2:$D$1001,$B165,'Per Line'!$AP$2:$AP$1001,1))</f>
        <v/>
      </c>
      <c r="P165">
        <f>IF($Z165="","",Settings!$C$7)</f>
        <v/>
      </c>
      <c r="Q165" s="7">
        <f>IF($Z165="","",SUMIFS('Per Line'!$Y$2:$Y$1001,'Per Line'!$D$2:$D$1001,$B165,'Per Line'!$AO$2:$AO$1001,0,'Per Line'!$AP$2:$AP$1001,0))</f>
        <v/>
      </c>
      <c r="R165" s="7">
        <f>IF($Z165="","",Q165*P165)</f>
        <v/>
      </c>
      <c r="S165">
        <f>IF($Z165="","",Settings!$C$6)</f>
        <v/>
      </c>
      <c r="T165" s="7">
        <f>IF($Z165="","",SUMIFS('Per Line'!$Y$2:$Y$1001,'Per Line'!$D$2:$D$1001,$B165,'Per Line'!$AO$2:$AO$1001,1,'Per Line'!$AP$2:$AP$1001,0))</f>
        <v/>
      </c>
      <c r="U165" s="7">
        <f>IF($Z165="","",T165*S165)</f>
        <v/>
      </c>
      <c r="V165" s="7">
        <f>IF($Z165="","",U165+R165)</f>
        <v/>
      </c>
      <c r="W165" s="7">
        <f>IF($Z165="","",X165-V165)</f>
        <v/>
      </c>
      <c r="X165" s="7">
        <f>IF($Z165="","",Q165+T165+O165)</f>
        <v/>
      </c>
      <c r="Y165" s="7">
        <f>IF($Z165="","",X165-V165-N165)</f>
        <v/>
      </c>
      <c r="Z165" s="13">
        <f>IF(ROWS($Z$2:$Z165)&lt;=MAX('Per Line'!$AN$2:$AN$1001),MATCH(ROWS($Z$2:$Z165),'Per Line'!$AN$2:$AN$1001,0),"")</f>
        <v/>
      </c>
    </row>
    <row r="166">
      <c r="A166" s="12" t="n"/>
      <c r="B166">
        <f>IF($Z166="","",INDEX('Per Line'!$D$2:$D$1001,$Z166)&amp;"")</f>
        <v/>
      </c>
      <c r="C166">
        <f>IF($Z166="","",INDEX('Per Line'!$B$2:$B$1001,$Z166)&amp;"")</f>
        <v/>
      </c>
      <c r="D166">
        <f>IF($Z166="","",INDEX('Per Line'!$A$2:$A$1001,$Z166))</f>
        <v/>
      </c>
      <c r="E166">
        <f>IF($Z166="","",INDEX('Per Line'!$E$2:$E$1001,$Z166)&amp;"")</f>
        <v/>
      </c>
      <c r="F166">
        <f>IF($Z166="","",INDEX('Per Line'!$F$2:$F$1001,$Z166)&amp;"")</f>
        <v/>
      </c>
      <c r="G166" s="11">
        <f>IF($Z166="","",INDEX('Per Line'!$G$2:$G$1001,$Z166))</f>
        <v/>
      </c>
      <c r="H166">
        <f>IF($Z166="","",INDEX('Per Line'!$I$2:$I$1001,$Z166)&amp;"")</f>
        <v/>
      </c>
      <c r="I166">
        <f>IF($Z166="","",INDEX('Per Line'!$J$2:$J$1001,$Z166)&amp;"")</f>
        <v/>
      </c>
      <c r="J166">
        <f>IF($Z166="","",INDEX('Per Line'!$K$2:$K$1001,$Z166)&amp;"")</f>
        <v/>
      </c>
      <c r="K166">
        <f>IF($Z166="","",INDEX('Per Line'!$L$2:$L$1001,$Z166)&amp;"")</f>
        <v/>
      </c>
      <c r="L166">
        <f>IF($Z166="","",INDEX('Per Line'!$M$2:$M$1001,$Z166)&amp;"")</f>
        <v/>
      </c>
      <c r="M166">
        <f>IF($Z166="","",INDEX('Per Line'!$P$2:$P$1001,$Z166))</f>
        <v/>
      </c>
      <c r="N166" s="7">
        <f>IF($Z166="","",M166*X166/100)</f>
        <v/>
      </c>
      <c r="O166" s="7">
        <f>IF($Z166="","",SUMIFS('Per Line'!$Y$2:$Y$1001,'Per Line'!$D$2:$D$1001,$B166,'Per Line'!$AP$2:$AP$1001,1))</f>
        <v/>
      </c>
      <c r="P166">
        <f>IF($Z166="","",Settings!$C$7)</f>
        <v/>
      </c>
      <c r="Q166" s="7">
        <f>IF($Z166="","",SUMIFS('Per Line'!$Y$2:$Y$1001,'Per Line'!$D$2:$D$1001,$B166,'Per Line'!$AO$2:$AO$1001,0,'Per Line'!$AP$2:$AP$1001,0))</f>
        <v/>
      </c>
      <c r="R166" s="7">
        <f>IF($Z166="","",Q166*P166)</f>
        <v/>
      </c>
      <c r="S166">
        <f>IF($Z166="","",Settings!$C$6)</f>
        <v/>
      </c>
      <c r="T166" s="7">
        <f>IF($Z166="","",SUMIFS('Per Line'!$Y$2:$Y$1001,'Per Line'!$D$2:$D$1001,$B166,'Per Line'!$AO$2:$AO$1001,1,'Per Line'!$AP$2:$AP$1001,0))</f>
        <v/>
      </c>
      <c r="U166" s="7">
        <f>IF($Z166="","",T166*S166)</f>
        <v/>
      </c>
      <c r="V166" s="7">
        <f>IF($Z166="","",U166+R166)</f>
        <v/>
      </c>
      <c r="W166" s="7">
        <f>IF($Z166="","",X166-V166)</f>
        <v/>
      </c>
      <c r="X166" s="7">
        <f>IF($Z166="","",Q166+T166+O166)</f>
        <v/>
      </c>
      <c r="Y166" s="7">
        <f>IF($Z166="","",X166-V166-N166)</f>
        <v/>
      </c>
      <c r="Z166" s="13">
        <f>IF(ROWS($Z$2:$Z166)&lt;=MAX('Per Line'!$AN$2:$AN$1001),MATCH(ROWS($Z$2:$Z166),'Per Line'!$AN$2:$AN$1001,0),"")</f>
        <v/>
      </c>
    </row>
    <row r="167">
      <c r="A167" s="12" t="n"/>
      <c r="B167">
        <f>IF($Z167="","",INDEX('Per Line'!$D$2:$D$1001,$Z167)&amp;"")</f>
        <v/>
      </c>
      <c r="C167">
        <f>IF($Z167="","",INDEX('Per Line'!$B$2:$B$1001,$Z167)&amp;"")</f>
        <v/>
      </c>
      <c r="D167">
        <f>IF($Z167="","",INDEX('Per Line'!$A$2:$A$1001,$Z167))</f>
        <v/>
      </c>
      <c r="E167">
        <f>IF($Z167="","",INDEX('Per Line'!$E$2:$E$1001,$Z167)&amp;"")</f>
        <v/>
      </c>
      <c r="F167">
        <f>IF($Z167="","",INDEX('Per Line'!$F$2:$F$1001,$Z167)&amp;"")</f>
        <v/>
      </c>
      <c r="G167" s="11">
        <f>IF($Z167="","",INDEX('Per Line'!$G$2:$G$1001,$Z167))</f>
        <v/>
      </c>
      <c r="H167">
        <f>IF($Z167="","",INDEX('Per Line'!$I$2:$I$1001,$Z167)&amp;"")</f>
        <v/>
      </c>
      <c r="I167">
        <f>IF($Z167="","",INDEX('Per Line'!$J$2:$J$1001,$Z167)&amp;"")</f>
        <v/>
      </c>
      <c r="J167">
        <f>IF($Z167="","",INDEX('Per Line'!$K$2:$K$1001,$Z167)&amp;"")</f>
        <v/>
      </c>
      <c r="K167">
        <f>IF($Z167="","",INDEX('Per Line'!$L$2:$L$1001,$Z167)&amp;"")</f>
        <v/>
      </c>
      <c r="L167">
        <f>IF($Z167="","",INDEX('Per Line'!$M$2:$M$1001,$Z167)&amp;"")</f>
        <v/>
      </c>
      <c r="M167">
        <f>IF($Z167="","",INDEX('Per Line'!$P$2:$P$1001,$Z167))</f>
        <v/>
      </c>
      <c r="N167" s="7">
        <f>IF($Z167="","",M167*X167/100)</f>
        <v/>
      </c>
      <c r="O167" s="7">
        <f>IF($Z167="","",SUMIFS('Per Line'!$Y$2:$Y$1001,'Per Line'!$D$2:$D$1001,$B167,'Per Line'!$AP$2:$AP$1001,1))</f>
        <v/>
      </c>
      <c r="P167">
        <f>IF($Z167="","",Settings!$C$7)</f>
        <v/>
      </c>
      <c r="Q167" s="7">
        <f>IF($Z167="","",SUMIFS('Per Line'!$Y$2:$Y$1001,'Per Line'!$D$2:$D$1001,$B167,'Per Line'!$AO$2:$AO$1001,0,'Per Line'!$AP$2:$AP$1001,0))</f>
        <v/>
      </c>
      <c r="R167" s="7">
        <f>IF($Z167="","",Q167*P167)</f>
        <v/>
      </c>
      <c r="S167">
        <f>IF($Z167="","",Settings!$C$6)</f>
        <v/>
      </c>
      <c r="T167" s="7">
        <f>IF($Z167="","",SUMIFS('Per Line'!$Y$2:$Y$1001,'Per Line'!$D$2:$D$1001,$B167,'Per Line'!$AO$2:$AO$1001,1,'Per Line'!$AP$2:$AP$1001,0))</f>
        <v/>
      </c>
      <c r="U167" s="7">
        <f>IF($Z167="","",T167*S167)</f>
        <v/>
      </c>
      <c r="V167" s="7">
        <f>IF($Z167="","",U167+R167)</f>
        <v/>
      </c>
      <c r="W167" s="7">
        <f>IF($Z167="","",X167-V167)</f>
        <v/>
      </c>
      <c r="X167" s="7">
        <f>IF($Z167="","",Q167+T167+O167)</f>
        <v/>
      </c>
      <c r="Y167" s="7">
        <f>IF($Z167="","",X167-V167-N167)</f>
        <v/>
      </c>
      <c r="Z167" s="13">
        <f>IF(ROWS($Z$2:$Z167)&lt;=MAX('Per Line'!$AN$2:$AN$1001),MATCH(ROWS($Z$2:$Z167),'Per Line'!$AN$2:$AN$1001,0),"")</f>
        <v/>
      </c>
    </row>
    <row r="168">
      <c r="A168" s="12" t="n"/>
      <c r="B168">
        <f>IF($Z168="","",INDEX('Per Line'!$D$2:$D$1001,$Z168)&amp;"")</f>
        <v/>
      </c>
      <c r="C168">
        <f>IF($Z168="","",INDEX('Per Line'!$B$2:$B$1001,$Z168)&amp;"")</f>
        <v/>
      </c>
      <c r="D168">
        <f>IF($Z168="","",INDEX('Per Line'!$A$2:$A$1001,$Z168))</f>
        <v/>
      </c>
      <c r="E168">
        <f>IF($Z168="","",INDEX('Per Line'!$E$2:$E$1001,$Z168)&amp;"")</f>
        <v/>
      </c>
      <c r="F168">
        <f>IF($Z168="","",INDEX('Per Line'!$F$2:$F$1001,$Z168)&amp;"")</f>
        <v/>
      </c>
      <c r="G168" s="11">
        <f>IF($Z168="","",INDEX('Per Line'!$G$2:$G$1001,$Z168))</f>
        <v/>
      </c>
      <c r="H168">
        <f>IF($Z168="","",INDEX('Per Line'!$I$2:$I$1001,$Z168)&amp;"")</f>
        <v/>
      </c>
      <c r="I168">
        <f>IF($Z168="","",INDEX('Per Line'!$J$2:$J$1001,$Z168)&amp;"")</f>
        <v/>
      </c>
      <c r="J168">
        <f>IF($Z168="","",INDEX('Per Line'!$K$2:$K$1001,$Z168)&amp;"")</f>
        <v/>
      </c>
      <c r="K168">
        <f>IF($Z168="","",INDEX('Per Line'!$L$2:$L$1001,$Z168)&amp;"")</f>
        <v/>
      </c>
      <c r="L168">
        <f>IF($Z168="","",INDEX('Per Line'!$M$2:$M$1001,$Z168)&amp;"")</f>
        <v/>
      </c>
      <c r="M168">
        <f>IF($Z168="","",INDEX('Per Line'!$P$2:$P$1001,$Z168))</f>
        <v/>
      </c>
      <c r="N168" s="7">
        <f>IF($Z168="","",M168*X168/100)</f>
        <v/>
      </c>
      <c r="O168" s="7">
        <f>IF($Z168="","",SUMIFS('Per Line'!$Y$2:$Y$1001,'Per Line'!$D$2:$D$1001,$B168,'Per Line'!$AP$2:$AP$1001,1))</f>
        <v/>
      </c>
      <c r="P168">
        <f>IF($Z168="","",Settings!$C$7)</f>
        <v/>
      </c>
      <c r="Q168" s="7">
        <f>IF($Z168="","",SUMIFS('Per Line'!$Y$2:$Y$1001,'Per Line'!$D$2:$D$1001,$B168,'Per Line'!$AO$2:$AO$1001,0,'Per Line'!$AP$2:$AP$1001,0))</f>
        <v/>
      </c>
      <c r="R168" s="7">
        <f>IF($Z168="","",Q168*P168)</f>
        <v/>
      </c>
      <c r="S168">
        <f>IF($Z168="","",Settings!$C$6)</f>
        <v/>
      </c>
      <c r="T168" s="7">
        <f>IF($Z168="","",SUMIFS('Per Line'!$Y$2:$Y$1001,'Per Line'!$D$2:$D$1001,$B168,'Per Line'!$AO$2:$AO$1001,1,'Per Line'!$AP$2:$AP$1001,0))</f>
        <v/>
      </c>
      <c r="U168" s="7">
        <f>IF($Z168="","",T168*S168)</f>
        <v/>
      </c>
      <c r="V168" s="7">
        <f>IF($Z168="","",U168+R168)</f>
        <v/>
      </c>
      <c r="W168" s="7">
        <f>IF($Z168="","",X168-V168)</f>
        <v/>
      </c>
      <c r="X168" s="7">
        <f>IF($Z168="","",Q168+T168+O168)</f>
        <v/>
      </c>
      <c r="Y168" s="7">
        <f>IF($Z168="","",X168-V168-N168)</f>
        <v/>
      </c>
      <c r="Z168" s="13">
        <f>IF(ROWS($Z$2:$Z168)&lt;=MAX('Per Line'!$AN$2:$AN$1001),MATCH(ROWS($Z$2:$Z168),'Per Line'!$AN$2:$AN$1001,0),"")</f>
        <v/>
      </c>
    </row>
    <row r="169">
      <c r="A169" s="12" t="n"/>
      <c r="B169">
        <f>IF($Z169="","",INDEX('Per Line'!$D$2:$D$1001,$Z169)&amp;"")</f>
        <v/>
      </c>
      <c r="C169">
        <f>IF($Z169="","",INDEX('Per Line'!$B$2:$B$1001,$Z169)&amp;"")</f>
        <v/>
      </c>
      <c r="D169">
        <f>IF($Z169="","",INDEX('Per Line'!$A$2:$A$1001,$Z169))</f>
        <v/>
      </c>
      <c r="E169">
        <f>IF($Z169="","",INDEX('Per Line'!$E$2:$E$1001,$Z169)&amp;"")</f>
        <v/>
      </c>
      <c r="F169">
        <f>IF($Z169="","",INDEX('Per Line'!$F$2:$F$1001,$Z169)&amp;"")</f>
        <v/>
      </c>
      <c r="G169" s="11">
        <f>IF($Z169="","",INDEX('Per Line'!$G$2:$G$1001,$Z169))</f>
        <v/>
      </c>
      <c r="H169">
        <f>IF($Z169="","",INDEX('Per Line'!$I$2:$I$1001,$Z169)&amp;"")</f>
        <v/>
      </c>
      <c r="I169">
        <f>IF($Z169="","",INDEX('Per Line'!$J$2:$J$1001,$Z169)&amp;"")</f>
        <v/>
      </c>
      <c r="J169">
        <f>IF($Z169="","",INDEX('Per Line'!$K$2:$K$1001,$Z169)&amp;"")</f>
        <v/>
      </c>
      <c r="K169">
        <f>IF($Z169="","",INDEX('Per Line'!$L$2:$L$1001,$Z169)&amp;"")</f>
        <v/>
      </c>
      <c r="L169">
        <f>IF($Z169="","",INDEX('Per Line'!$M$2:$M$1001,$Z169)&amp;"")</f>
        <v/>
      </c>
      <c r="M169">
        <f>IF($Z169="","",INDEX('Per Line'!$P$2:$P$1001,$Z169))</f>
        <v/>
      </c>
      <c r="N169" s="7">
        <f>IF($Z169="","",M169*X169/100)</f>
        <v/>
      </c>
      <c r="O169" s="7">
        <f>IF($Z169="","",SUMIFS('Per Line'!$Y$2:$Y$1001,'Per Line'!$D$2:$D$1001,$B169,'Per Line'!$AP$2:$AP$1001,1))</f>
        <v/>
      </c>
      <c r="P169">
        <f>IF($Z169="","",Settings!$C$7)</f>
        <v/>
      </c>
      <c r="Q169" s="7">
        <f>IF($Z169="","",SUMIFS('Per Line'!$Y$2:$Y$1001,'Per Line'!$D$2:$D$1001,$B169,'Per Line'!$AO$2:$AO$1001,0,'Per Line'!$AP$2:$AP$1001,0))</f>
        <v/>
      </c>
      <c r="R169" s="7">
        <f>IF($Z169="","",Q169*P169)</f>
        <v/>
      </c>
      <c r="S169">
        <f>IF($Z169="","",Settings!$C$6)</f>
        <v/>
      </c>
      <c r="T169" s="7">
        <f>IF($Z169="","",SUMIFS('Per Line'!$Y$2:$Y$1001,'Per Line'!$D$2:$D$1001,$B169,'Per Line'!$AO$2:$AO$1001,1,'Per Line'!$AP$2:$AP$1001,0))</f>
        <v/>
      </c>
      <c r="U169" s="7">
        <f>IF($Z169="","",T169*S169)</f>
        <v/>
      </c>
      <c r="V169" s="7">
        <f>IF($Z169="","",U169+R169)</f>
        <v/>
      </c>
      <c r="W169" s="7">
        <f>IF($Z169="","",X169-V169)</f>
        <v/>
      </c>
      <c r="X169" s="7">
        <f>IF($Z169="","",Q169+T169+O169)</f>
        <v/>
      </c>
      <c r="Y169" s="7">
        <f>IF($Z169="","",X169-V169-N169)</f>
        <v/>
      </c>
      <c r="Z169" s="13">
        <f>IF(ROWS($Z$2:$Z169)&lt;=MAX('Per Line'!$AN$2:$AN$1001),MATCH(ROWS($Z$2:$Z169),'Per Line'!$AN$2:$AN$1001,0),"")</f>
        <v/>
      </c>
    </row>
    <row r="170">
      <c r="A170" s="12" t="n"/>
      <c r="B170">
        <f>IF($Z170="","",INDEX('Per Line'!$D$2:$D$1001,$Z170)&amp;"")</f>
        <v/>
      </c>
      <c r="C170">
        <f>IF($Z170="","",INDEX('Per Line'!$B$2:$B$1001,$Z170)&amp;"")</f>
        <v/>
      </c>
      <c r="D170">
        <f>IF($Z170="","",INDEX('Per Line'!$A$2:$A$1001,$Z170))</f>
        <v/>
      </c>
      <c r="E170">
        <f>IF($Z170="","",INDEX('Per Line'!$E$2:$E$1001,$Z170)&amp;"")</f>
        <v/>
      </c>
      <c r="F170">
        <f>IF($Z170="","",INDEX('Per Line'!$F$2:$F$1001,$Z170)&amp;"")</f>
        <v/>
      </c>
      <c r="G170" s="11">
        <f>IF($Z170="","",INDEX('Per Line'!$G$2:$G$1001,$Z170))</f>
        <v/>
      </c>
      <c r="H170">
        <f>IF($Z170="","",INDEX('Per Line'!$I$2:$I$1001,$Z170)&amp;"")</f>
        <v/>
      </c>
      <c r="I170">
        <f>IF($Z170="","",INDEX('Per Line'!$J$2:$J$1001,$Z170)&amp;"")</f>
        <v/>
      </c>
      <c r="J170">
        <f>IF($Z170="","",INDEX('Per Line'!$K$2:$K$1001,$Z170)&amp;"")</f>
        <v/>
      </c>
      <c r="K170">
        <f>IF($Z170="","",INDEX('Per Line'!$L$2:$L$1001,$Z170)&amp;"")</f>
        <v/>
      </c>
      <c r="L170">
        <f>IF($Z170="","",INDEX('Per Line'!$M$2:$M$1001,$Z170)&amp;"")</f>
        <v/>
      </c>
      <c r="M170">
        <f>IF($Z170="","",INDEX('Per Line'!$P$2:$P$1001,$Z170))</f>
        <v/>
      </c>
      <c r="N170" s="7">
        <f>IF($Z170="","",M170*X170/100)</f>
        <v/>
      </c>
      <c r="O170" s="7">
        <f>IF($Z170="","",SUMIFS('Per Line'!$Y$2:$Y$1001,'Per Line'!$D$2:$D$1001,$B170,'Per Line'!$AP$2:$AP$1001,1))</f>
        <v/>
      </c>
      <c r="P170">
        <f>IF($Z170="","",Settings!$C$7)</f>
        <v/>
      </c>
      <c r="Q170" s="7">
        <f>IF($Z170="","",SUMIFS('Per Line'!$Y$2:$Y$1001,'Per Line'!$D$2:$D$1001,$B170,'Per Line'!$AO$2:$AO$1001,0,'Per Line'!$AP$2:$AP$1001,0))</f>
        <v/>
      </c>
      <c r="R170" s="7">
        <f>IF($Z170="","",Q170*P170)</f>
        <v/>
      </c>
      <c r="S170">
        <f>IF($Z170="","",Settings!$C$6)</f>
        <v/>
      </c>
      <c r="T170" s="7">
        <f>IF($Z170="","",SUMIFS('Per Line'!$Y$2:$Y$1001,'Per Line'!$D$2:$D$1001,$B170,'Per Line'!$AO$2:$AO$1001,1,'Per Line'!$AP$2:$AP$1001,0))</f>
        <v/>
      </c>
      <c r="U170" s="7">
        <f>IF($Z170="","",T170*S170)</f>
        <v/>
      </c>
      <c r="V170" s="7">
        <f>IF($Z170="","",U170+R170)</f>
        <v/>
      </c>
      <c r="W170" s="7">
        <f>IF($Z170="","",X170-V170)</f>
        <v/>
      </c>
      <c r="X170" s="7">
        <f>IF($Z170="","",Q170+T170+O170)</f>
        <v/>
      </c>
      <c r="Y170" s="7">
        <f>IF($Z170="","",X170-V170-N170)</f>
        <v/>
      </c>
      <c r="Z170" s="13">
        <f>IF(ROWS($Z$2:$Z170)&lt;=MAX('Per Line'!$AN$2:$AN$1001),MATCH(ROWS($Z$2:$Z170),'Per Line'!$AN$2:$AN$1001,0),"")</f>
        <v/>
      </c>
    </row>
    <row r="171">
      <c r="A171" s="12" t="n"/>
      <c r="B171">
        <f>IF($Z171="","",INDEX('Per Line'!$D$2:$D$1001,$Z171)&amp;"")</f>
        <v/>
      </c>
      <c r="C171">
        <f>IF($Z171="","",INDEX('Per Line'!$B$2:$B$1001,$Z171)&amp;"")</f>
        <v/>
      </c>
      <c r="D171">
        <f>IF($Z171="","",INDEX('Per Line'!$A$2:$A$1001,$Z171))</f>
        <v/>
      </c>
      <c r="E171">
        <f>IF($Z171="","",INDEX('Per Line'!$E$2:$E$1001,$Z171)&amp;"")</f>
        <v/>
      </c>
      <c r="F171">
        <f>IF($Z171="","",INDEX('Per Line'!$F$2:$F$1001,$Z171)&amp;"")</f>
        <v/>
      </c>
      <c r="G171" s="11">
        <f>IF($Z171="","",INDEX('Per Line'!$G$2:$G$1001,$Z171))</f>
        <v/>
      </c>
      <c r="H171">
        <f>IF($Z171="","",INDEX('Per Line'!$I$2:$I$1001,$Z171)&amp;"")</f>
        <v/>
      </c>
      <c r="I171">
        <f>IF($Z171="","",INDEX('Per Line'!$J$2:$J$1001,$Z171)&amp;"")</f>
        <v/>
      </c>
      <c r="J171">
        <f>IF($Z171="","",INDEX('Per Line'!$K$2:$K$1001,$Z171)&amp;"")</f>
        <v/>
      </c>
      <c r="K171">
        <f>IF($Z171="","",INDEX('Per Line'!$L$2:$L$1001,$Z171)&amp;"")</f>
        <v/>
      </c>
      <c r="L171">
        <f>IF($Z171="","",INDEX('Per Line'!$M$2:$M$1001,$Z171)&amp;"")</f>
        <v/>
      </c>
      <c r="M171">
        <f>IF($Z171="","",INDEX('Per Line'!$P$2:$P$1001,$Z171))</f>
        <v/>
      </c>
      <c r="N171" s="7">
        <f>IF($Z171="","",M171*X171/100)</f>
        <v/>
      </c>
      <c r="O171" s="7">
        <f>IF($Z171="","",SUMIFS('Per Line'!$Y$2:$Y$1001,'Per Line'!$D$2:$D$1001,$B171,'Per Line'!$AP$2:$AP$1001,1))</f>
        <v/>
      </c>
      <c r="P171">
        <f>IF($Z171="","",Settings!$C$7)</f>
        <v/>
      </c>
      <c r="Q171" s="7">
        <f>IF($Z171="","",SUMIFS('Per Line'!$Y$2:$Y$1001,'Per Line'!$D$2:$D$1001,$B171,'Per Line'!$AO$2:$AO$1001,0,'Per Line'!$AP$2:$AP$1001,0))</f>
        <v/>
      </c>
      <c r="R171" s="7">
        <f>IF($Z171="","",Q171*P171)</f>
        <v/>
      </c>
      <c r="S171">
        <f>IF($Z171="","",Settings!$C$6)</f>
        <v/>
      </c>
      <c r="T171" s="7">
        <f>IF($Z171="","",SUMIFS('Per Line'!$Y$2:$Y$1001,'Per Line'!$D$2:$D$1001,$B171,'Per Line'!$AO$2:$AO$1001,1,'Per Line'!$AP$2:$AP$1001,0))</f>
        <v/>
      </c>
      <c r="U171" s="7">
        <f>IF($Z171="","",T171*S171)</f>
        <v/>
      </c>
      <c r="V171" s="7">
        <f>IF($Z171="","",U171+R171)</f>
        <v/>
      </c>
      <c r="W171" s="7">
        <f>IF($Z171="","",X171-V171)</f>
        <v/>
      </c>
      <c r="X171" s="7">
        <f>IF($Z171="","",Q171+T171+O171)</f>
        <v/>
      </c>
      <c r="Y171" s="7">
        <f>IF($Z171="","",X171-V171-N171)</f>
        <v/>
      </c>
      <c r="Z171" s="13">
        <f>IF(ROWS($Z$2:$Z171)&lt;=MAX('Per Line'!$AN$2:$AN$1001),MATCH(ROWS($Z$2:$Z171),'Per Line'!$AN$2:$AN$1001,0),"")</f>
        <v/>
      </c>
    </row>
    <row r="172">
      <c r="A172" s="12" t="n"/>
      <c r="B172">
        <f>IF($Z172="","",INDEX('Per Line'!$D$2:$D$1001,$Z172)&amp;"")</f>
        <v/>
      </c>
      <c r="C172">
        <f>IF($Z172="","",INDEX('Per Line'!$B$2:$B$1001,$Z172)&amp;"")</f>
        <v/>
      </c>
      <c r="D172">
        <f>IF($Z172="","",INDEX('Per Line'!$A$2:$A$1001,$Z172))</f>
        <v/>
      </c>
      <c r="E172">
        <f>IF($Z172="","",INDEX('Per Line'!$E$2:$E$1001,$Z172)&amp;"")</f>
        <v/>
      </c>
      <c r="F172">
        <f>IF($Z172="","",INDEX('Per Line'!$F$2:$F$1001,$Z172)&amp;"")</f>
        <v/>
      </c>
      <c r="G172" s="11">
        <f>IF($Z172="","",INDEX('Per Line'!$G$2:$G$1001,$Z172))</f>
        <v/>
      </c>
      <c r="H172">
        <f>IF($Z172="","",INDEX('Per Line'!$I$2:$I$1001,$Z172)&amp;"")</f>
        <v/>
      </c>
      <c r="I172">
        <f>IF($Z172="","",INDEX('Per Line'!$J$2:$J$1001,$Z172)&amp;"")</f>
        <v/>
      </c>
      <c r="J172">
        <f>IF($Z172="","",INDEX('Per Line'!$K$2:$K$1001,$Z172)&amp;"")</f>
        <v/>
      </c>
      <c r="K172">
        <f>IF($Z172="","",INDEX('Per Line'!$L$2:$L$1001,$Z172)&amp;"")</f>
        <v/>
      </c>
      <c r="L172">
        <f>IF($Z172="","",INDEX('Per Line'!$M$2:$M$1001,$Z172)&amp;"")</f>
        <v/>
      </c>
      <c r="M172">
        <f>IF($Z172="","",INDEX('Per Line'!$P$2:$P$1001,$Z172))</f>
        <v/>
      </c>
      <c r="N172" s="7">
        <f>IF($Z172="","",M172*X172/100)</f>
        <v/>
      </c>
      <c r="O172" s="7">
        <f>IF($Z172="","",SUMIFS('Per Line'!$Y$2:$Y$1001,'Per Line'!$D$2:$D$1001,$B172,'Per Line'!$AP$2:$AP$1001,1))</f>
        <v/>
      </c>
      <c r="P172">
        <f>IF($Z172="","",Settings!$C$7)</f>
        <v/>
      </c>
      <c r="Q172" s="7">
        <f>IF($Z172="","",SUMIFS('Per Line'!$Y$2:$Y$1001,'Per Line'!$D$2:$D$1001,$B172,'Per Line'!$AO$2:$AO$1001,0,'Per Line'!$AP$2:$AP$1001,0))</f>
        <v/>
      </c>
      <c r="R172" s="7">
        <f>IF($Z172="","",Q172*P172)</f>
        <v/>
      </c>
      <c r="S172">
        <f>IF($Z172="","",Settings!$C$6)</f>
        <v/>
      </c>
      <c r="T172" s="7">
        <f>IF($Z172="","",SUMIFS('Per Line'!$Y$2:$Y$1001,'Per Line'!$D$2:$D$1001,$B172,'Per Line'!$AO$2:$AO$1001,1,'Per Line'!$AP$2:$AP$1001,0))</f>
        <v/>
      </c>
      <c r="U172" s="7">
        <f>IF($Z172="","",T172*S172)</f>
        <v/>
      </c>
      <c r="V172" s="7">
        <f>IF($Z172="","",U172+R172)</f>
        <v/>
      </c>
      <c r="W172" s="7">
        <f>IF($Z172="","",X172-V172)</f>
        <v/>
      </c>
      <c r="X172" s="7">
        <f>IF($Z172="","",Q172+T172+O172)</f>
        <v/>
      </c>
      <c r="Y172" s="7">
        <f>IF($Z172="","",X172-V172-N172)</f>
        <v/>
      </c>
      <c r="Z172" s="13">
        <f>IF(ROWS($Z$2:$Z172)&lt;=MAX('Per Line'!$AN$2:$AN$1001),MATCH(ROWS($Z$2:$Z172),'Per Line'!$AN$2:$AN$1001,0),"")</f>
        <v/>
      </c>
    </row>
    <row r="173">
      <c r="A173" s="12" t="n"/>
      <c r="B173">
        <f>IF($Z173="","",INDEX('Per Line'!$D$2:$D$1001,$Z173)&amp;"")</f>
        <v/>
      </c>
      <c r="C173">
        <f>IF($Z173="","",INDEX('Per Line'!$B$2:$B$1001,$Z173)&amp;"")</f>
        <v/>
      </c>
      <c r="D173">
        <f>IF($Z173="","",INDEX('Per Line'!$A$2:$A$1001,$Z173))</f>
        <v/>
      </c>
      <c r="E173">
        <f>IF($Z173="","",INDEX('Per Line'!$E$2:$E$1001,$Z173)&amp;"")</f>
        <v/>
      </c>
      <c r="F173">
        <f>IF($Z173="","",INDEX('Per Line'!$F$2:$F$1001,$Z173)&amp;"")</f>
        <v/>
      </c>
      <c r="G173" s="11">
        <f>IF($Z173="","",INDEX('Per Line'!$G$2:$G$1001,$Z173))</f>
        <v/>
      </c>
      <c r="H173">
        <f>IF($Z173="","",INDEX('Per Line'!$I$2:$I$1001,$Z173)&amp;"")</f>
        <v/>
      </c>
      <c r="I173">
        <f>IF($Z173="","",INDEX('Per Line'!$J$2:$J$1001,$Z173)&amp;"")</f>
        <v/>
      </c>
      <c r="J173">
        <f>IF($Z173="","",INDEX('Per Line'!$K$2:$K$1001,$Z173)&amp;"")</f>
        <v/>
      </c>
      <c r="K173">
        <f>IF($Z173="","",INDEX('Per Line'!$L$2:$L$1001,$Z173)&amp;"")</f>
        <v/>
      </c>
      <c r="L173">
        <f>IF($Z173="","",INDEX('Per Line'!$M$2:$M$1001,$Z173)&amp;"")</f>
        <v/>
      </c>
      <c r="M173">
        <f>IF($Z173="","",INDEX('Per Line'!$P$2:$P$1001,$Z173))</f>
        <v/>
      </c>
      <c r="N173" s="7">
        <f>IF($Z173="","",M173*X173/100)</f>
        <v/>
      </c>
      <c r="O173" s="7">
        <f>IF($Z173="","",SUMIFS('Per Line'!$Y$2:$Y$1001,'Per Line'!$D$2:$D$1001,$B173,'Per Line'!$AP$2:$AP$1001,1))</f>
        <v/>
      </c>
      <c r="P173">
        <f>IF($Z173="","",Settings!$C$7)</f>
        <v/>
      </c>
      <c r="Q173" s="7">
        <f>IF($Z173="","",SUMIFS('Per Line'!$Y$2:$Y$1001,'Per Line'!$D$2:$D$1001,$B173,'Per Line'!$AO$2:$AO$1001,0,'Per Line'!$AP$2:$AP$1001,0))</f>
        <v/>
      </c>
      <c r="R173" s="7">
        <f>IF($Z173="","",Q173*P173)</f>
        <v/>
      </c>
      <c r="S173">
        <f>IF($Z173="","",Settings!$C$6)</f>
        <v/>
      </c>
      <c r="T173" s="7">
        <f>IF($Z173="","",SUMIFS('Per Line'!$Y$2:$Y$1001,'Per Line'!$D$2:$D$1001,$B173,'Per Line'!$AO$2:$AO$1001,1,'Per Line'!$AP$2:$AP$1001,0))</f>
        <v/>
      </c>
      <c r="U173" s="7">
        <f>IF($Z173="","",T173*S173)</f>
        <v/>
      </c>
      <c r="V173" s="7">
        <f>IF($Z173="","",U173+R173)</f>
        <v/>
      </c>
      <c r="W173" s="7">
        <f>IF($Z173="","",X173-V173)</f>
        <v/>
      </c>
      <c r="X173" s="7">
        <f>IF($Z173="","",Q173+T173+O173)</f>
        <v/>
      </c>
      <c r="Y173" s="7">
        <f>IF($Z173="","",X173-V173-N173)</f>
        <v/>
      </c>
      <c r="Z173" s="13">
        <f>IF(ROWS($Z$2:$Z173)&lt;=MAX('Per Line'!$AN$2:$AN$1001),MATCH(ROWS($Z$2:$Z173),'Per Line'!$AN$2:$AN$1001,0),"")</f>
        <v/>
      </c>
    </row>
    <row r="174">
      <c r="A174" s="12" t="n"/>
      <c r="B174">
        <f>IF($Z174="","",INDEX('Per Line'!$D$2:$D$1001,$Z174)&amp;"")</f>
        <v/>
      </c>
      <c r="C174">
        <f>IF($Z174="","",INDEX('Per Line'!$B$2:$B$1001,$Z174)&amp;"")</f>
        <v/>
      </c>
      <c r="D174">
        <f>IF($Z174="","",INDEX('Per Line'!$A$2:$A$1001,$Z174))</f>
        <v/>
      </c>
      <c r="E174">
        <f>IF($Z174="","",INDEX('Per Line'!$E$2:$E$1001,$Z174)&amp;"")</f>
        <v/>
      </c>
      <c r="F174">
        <f>IF($Z174="","",INDEX('Per Line'!$F$2:$F$1001,$Z174)&amp;"")</f>
        <v/>
      </c>
      <c r="G174" s="11">
        <f>IF($Z174="","",INDEX('Per Line'!$G$2:$G$1001,$Z174))</f>
        <v/>
      </c>
      <c r="H174">
        <f>IF($Z174="","",INDEX('Per Line'!$I$2:$I$1001,$Z174)&amp;"")</f>
        <v/>
      </c>
      <c r="I174">
        <f>IF($Z174="","",INDEX('Per Line'!$J$2:$J$1001,$Z174)&amp;"")</f>
        <v/>
      </c>
      <c r="J174">
        <f>IF($Z174="","",INDEX('Per Line'!$K$2:$K$1001,$Z174)&amp;"")</f>
        <v/>
      </c>
      <c r="K174">
        <f>IF($Z174="","",INDEX('Per Line'!$L$2:$L$1001,$Z174)&amp;"")</f>
        <v/>
      </c>
      <c r="L174">
        <f>IF($Z174="","",INDEX('Per Line'!$M$2:$M$1001,$Z174)&amp;"")</f>
        <v/>
      </c>
      <c r="M174">
        <f>IF($Z174="","",INDEX('Per Line'!$P$2:$P$1001,$Z174))</f>
        <v/>
      </c>
      <c r="N174" s="7">
        <f>IF($Z174="","",M174*X174/100)</f>
        <v/>
      </c>
      <c r="O174" s="7">
        <f>IF($Z174="","",SUMIFS('Per Line'!$Y$2:$Y$1001,'Per Line'!$D$2:$D$1001,$B174,'Per Line'!$AP$2:$AP$1001,1))</f>
        <v/>
      </c>
      <c r="P174">
        <f>IF($Z174="","",Settings!$C$7)</f>
        <v/>
      </c>
      <c r="Q174" s="7">
        <f>IF($Z174="","",SUMIFS('Per Line'!$Y$2:$Y$1001,'Per Line'!$D$2:$D$1001,$B174,'Per Line'!$AO$2:$AO$1001,0,'Per Line'!$AP$2:$AP$1001,0))</f>
        <v/>
      </c>
      <c r="R174" s="7">
        <f>IF($Z174="","",Q174*P174)</f>
        <v/>
      </c>
      <c r="S174">
        <f>IF($Z174="","",Settings!$C$6)</f>
        <v/>
      </c>
      <c r="T174" s="7">
        <f>IF($Z174="","",SUMIFS('Per Line'!$Y$2:$Y$1001,'Per Line'!$D$2:$D$1001,$B174,'Per Line'!$AO$2:$AO$1001,1,'Per Line'!$AP$2:$AP$1001,0))</f>
        <v/>
      </c>
      <c r="U174" s="7">
        <f>IF($Z174="","",T174*S174)</f>
        <v/>
      </c>
      <c r="V174" s="7">
        <f>IF($Z174="","",U174+R174)</f>
        <v/>
      </c>
      <c r="W174" s="7">
        <f>IF($Z174="","",X174-V174)</f>
        <v/>
      </c>
      <c r="X174" s="7">
        <f>IF($Z174="","",Q174+T174+O174)</f>
        <v/>
      </c>
      <c r="Y174" s="7">
        <f>IF($Z174="","",X174-V174-N174)</f>
        <v/>
      </c>
      <c r="Z174" s="13">
        <f>IF(ROWS($Z$2:$Z174)&lt;=MAX('Per Line'!$AN$2:$AN$1001),MATCH(ROWS($Z$2:$Z174),'Per Line'!$AN$2:$AN$1001,0),"")</f>
        <v/>
      </c>
    </row>
    <row r="175">
      <c r="A175" s="12" t="n"/>
      <c r="B175">
        <f>IF($Z175="","",INDEX('Per Line'!$D$2:$D$1001,$Z175)&amp;"")</f>
        <v/>
      </c>
      <c r="C175">
        <f>IF($Z175="","",INDEX('Per Line'!$B$2:$B$1001,$Z175)&amp;"")</f>
        <v/>
      </c>
      <c r="D175">
        <f>IF($Z175="","",INDEX('Per Line'!$A$2:$A$1001,$Z175))</f>
        <v/>
      </c>
      <c r="E175">
        <f>IF($Z175="","",INDEX('Per Line'!$E$2:$E$1001,$Z175)&amp;"")</f>
        <v/>
      </c>
      <c r="F175">
        <f>IF($Z175="","",INDEX('Per Line'!$F$2:$F$1001,$Z175)&amp;"")</f>
        <v/>
      </c>
      <c r="G175" s="11">
        <f>IF($Z175="","",INDEX('Per Line'!$G$2:$G$1001,$Z175))</f>
        <v/>
      </c>
      <c r="H175">
        <f>IF($Z175="","",INDEX('Per Line'!$I$2:$I$1001,$Z175)&amp;"")</f>
        <v/>
      </c>
      <c r="I175">
        <f>IF($Z175="","",INDEX('Per Line'!$J$2:$J$1001,$Z175)&amp;"")</f>
        <v/>
      </c>
      <c r="J175">
        <f>IF($Z175="","",INDEX('Per Line'!$K$2:$K$1001,$Z175)&amp;"")</f>
        <v/>
      </c>
      <c r="K175">
        <f>IF($Z175="","",INDEX('Per Line'!$L$2:$L$1001,$Z175)&amp;"")</f>
        <v/>
      </c>
      <c r="L175">
        <f>IF($Z175="","",INDEX('Per Line'!$M$2:$M$1001,$Z175)&amp;"")</f>
        <v/>
      </c>
      <c r="M175">
        <f>IF($Z175="","",INDEX('Per Line'!$P$2:$P$1001,$Z175))</f>
        <v/>
      </c>
      <c r="N175" s="7">
        <f>IF($Z175="","",M175*X175/100)</f>
        <v/>
      </c>
      <c r="O175" s="7">
        <f>IF($Z175="","",SUMIFS('Per Line'!$Y$2:$Y$1001,'Per Line'!$D$2:$D$1001,$B175,'Per Line'!$AP$2:$AP$1001,1))</f>
        <v/>
      </c>
      <c r="P175">
        <f>IF($Z175="","",Settings!$C$7)</f>
        <v/>
      </c>
      <c r="Q175" s="7">
        <f>IF($Z175="","",SUMIFS('Per Line'!$Y$2:$Y$1001,'Per Line'!$D$2:$D$1001,$B175,'Per Line'!$AO$2:$AO$1001,0,'Per Line'!$AP$2:$AP$1001,0))</f>
        <v/>
      </c>
      <c r="R175" s="7">
        <f>IF($Z175="","",Q175*P175)</f>
        <v/>
      </c>
      <c r="S175">
        <f>IF($Z175="","",Settings!$C$6)</f>
        <v/>
      </c>
      <c r="T175" s="7">
        <f>IF($Z175="","",SUMIFS('Per Line'!$Y$2:$Y$1001,'Per Line'!$D$2:$D$1001,$B175,'Per Line'!$AO$2:$AO$1001,1,'Per Line'!$AP$2:$AP$1001,0))</f>
        <v/>
      </c>
      <c r="U175" s="7">
        <f>IF($Z175="","",T175*S175)</f>
        <v/>
      </c>
      <c r="V175" s="7">
        <f>IF($Z175="","",U175+R175)</f>
        <v/>
      </c>
      <c r="W175" s="7">
        <f>IF($Z175="","",X175-V175)</f>
        <v/>
      </c>
      <c r="X175" s="7">
        <f>IF($Z175="","",Q175+T175+O175)</f>
        <v/>
      </c>
      <c r="Y175" s="7">
        <f>IF($Z175="","",X175-V175-N175)</f>
        <v/>
      </c>
      <c r="Z175" s="13">
        <f>IF(ROWS($Z$2:$Z175)&lt;=MAX('Per Line'!$AN$2:$AN$1001),MATCH(ROWS($Z$2:$Z175),'Per Line'!$AN$2:$AN$1001,0),"")</f>
        <v/>
      </c>
    </row>
    <row r="176">
      <c r="A176" s="12" t="n"/>
      <c r="B176">
        <f>IF($Z176="","",INDEX('Per Line'!$D$2:$D$1001,$Z176)&amp;"")</f>
        <v/>
      </c>
      <c r="C176">
        <f>IF($Z176="","",INDEX('Per Line'!$B$2:$B$1001,$Z176)&amp;"")</f>
        <v/>
      </c>
      <c r="D176">
        <f>IF($Z176="","",INDEX('Per Line'!$A$2:$A$1001,$Z176))</f>
        <v/>
      </c>
      <c r="E176">
        <f>IF($Z176="","",INDEX('Per Line'!$E$2:$E$1001,$Z176)&amp;"")</f>
        <v/>
      </c>
      <c r="F176">
        <f>IF($Z176="","",INDEX('Per Line'!$F$2:$F$1001,$Z176)&amp;"")</f>
        <v/>
      </c>
      <c r="G176" s="11">
        <f>IF($Z176="","",INDEX('Per Line'!$G$2:$G$1001,$Z176))</f>
        <v/>
      </c>
      <c r="H176">
        <f>IF($Z176="","",INDEX('Per Line'!$I$2:$I$1001,$Z176)&amp;"")</f>
        <v/>
      </c>
      <c r="I176">
        <f>IF($Z176="","",INDEX('Per Line'!$J$2:$J$1001,$Z176)&amp;"")</f>
        <v/>
      </c>
      <c r="J176">
        <f>IF($Z176="","",INDEX('Per Line'!$K$2:$K$1001,$Z176)&amp;"")</f>
        <v/>
      </c>
      <c r="K176">
        <f>IF($Z176="","",INDEX('Per Line'!$L$2:$L$1001,$Z176)&amp;"")</f>
        <v/>
      </c>
      <c r="L176">
        <f>IF($Z176="","",INDEX('Per Line'!$M$2:$M$1001,$Z176)&amp;"")</f>
        <v/>
      </c>
      <c r="M176">
        <f>IF($Z176="","",INDEX('Per Line'!$P$2:$P$1001,$Z176))</f>
        <v/>
      </c>
      <c r="N176" s="7">
        <f>IF($Z176="","",M176*X176/100)</f>
        <v/>
      </c>
      <c r="O176" s="7">
        <f>IF($Z176="","",SUMIFS('Per Line'!$Y$2:$Y$1001,'Per Line'!$D$2:$D$1001,$B176,'Per Line'!$AP$2:$AP$1001,1))</f>
        <v/>
      </c>
      <c r="P176">
        <f>IF($Z176="","",Settings!$C$7)</f>
        <v/>
      </c>
      <c r="Q176" s="7">
        <f>IF($Z176="","",SUMIFS('Per Line'!$Y$2:$Y$1001,'Per Line'!$D$2:$D$1001,$B176,'Per Line'!$AO$2:$AO$1001,0,'Per Line'!$AP$2:$AP$1001,0))</f>
        <v/>
      </c>
      <c r="R176" s="7">
        <f>IF($Z176="","",Q176*P176)</f>
        <v/>
      </c>
      <c r="S176">
        <f>IF($Z176="","",Settings!$C$6)</f>
        <v/>
      </c>
      <c r="T176" s="7">
        <f>IF($Z176="","",SUMIFS('Per Line'!$Y$2:$Y$1001,'Per Line'!$D$2:$D$1001,$B176,'Per Line'!$AO$2:$AO$1001,1,'Per Line'!$AP$2:$AP$1001,0))</f>
        <v/>
      </c>
      <c r="U176" s="7">
        <f>IF($Z176="","",T176*S176)</f>
        <v/>
      </c>
      <c r="V176" s="7">
        <f>IF($Z176="","",U176+R176)</f>
        <v/>
      </c>
      <c r="W176" s="7">
        <f>IF($Z176="","",X176-V176)</f>
        <v/>
      </c>
      <c r="X176" s="7">
        <f>IF($Z176="","",Q176+T176+O176)</f>
        <v/>
      </c>
      <c r="Y176" s="7">
        <f>IF($Z176="","",X176-V176-N176)</f>
        <v/>
      </c>
      <c r="Z176" s="13">
        <f>IF(ROWS($Z$2:$Z176)&lt;=MAX('Per Line'!$AN$2:$AN$1001),MATCH(ROWS($Z$2:$Z176),'Per Line'!$AN$2:$AN$1001,0),"")</f>
        <v/>
      </c>
    </row>
    <row r="177">
      <c r="A177" s="12" t="n"/>
      <c r="B177">
        <f>IF($Z177="","",INDEX('Per Line'!$D$2:$D$1001,$Z177)&amp;"")</f>
        <v/>
      </c>
      <c r="C177">
        <f>IF($Z177="","",INDEX('Per Line'!$B$2:$B$1001,$Z177)&amp;"")</f>
        <v/>
      </c>
      <c r="D177">
        <f>IF($Z177="","",INDEX('Per Line'!$A$2:$A$1001,$Z177))</f>
        <v/>
      </c>
      <c r="E177">
        <f>IF($Z177="","",INDEX('Per Line'!$E$2:$E$1001,$Z177)&amp;"")</f>
        <v/>
      </c>
      <c r="F177">
        <f>IF($Z177="","",INDEX('Per Line'!$F$2:$F$1001,$Z177)&amp;"")</f>
        <v/>
      </c>
      <c r="G177" s="11">
        <f>IF($Z177="","",INDEX('Per Line'!$G$2:$G$1001,$Z177))</f>
        <v/>
      </c>
      <c r="H177">
        <f>IF($Z177="","",INDEX('Per Line'!$I$2:$I$1001,$Z177)&amp;"")</f>
        <v/>
      </c>
      <c r="I177">
        <f>IF($Z177="","",INDEX('Per Line'!$J$2:$J$1001,$Z177)&amp;"")</f>
        <v/>
      </c>
      <c r="J177">
        <f>IF($Z177="","",INDEX('Per Line'!$K$2:$K$1001,$Z177)&amp;"")</f>
        <v/>
      </c>
      <c r="K177">
        <f>IF($Z177="","",INDEX('Per Line'!$L$2:$L$1001,$Z177)&amp;"")</f>
        <v/>
      </c>
      <c r="L177">
        <f>IF($Z177="","",INDEX('Per Line'!$M$2:$M$1001,$Z177)&amp;"")</f>
        <v/>
      </c>
      <c r="M177">
        <f>IF($Z177="","",INDEX('Per Line'!$P$2:$P$1001,$Z177))</f>
        <v/>
      </c>
      <c r="N177" s="7">
        <f>IF($Z177="","",M177*X177/100)</f>
        <v/>
      </c>
      <c r="O177" s="7">
        <f>IF($Z177="","",SUMIFS('Per Line'!$Y$2:$Y$1001,'Per Line'!$D$2:$D$1001,$B177,'Per Line'!$AP$2:$AP$1001,1))</f>
        <v/>
      </c>
      <c r="P177">
        <f>IF($Z177="","",Settings!$C$7)</f>
        <v/>
      </c>
      <c r="Q177" s="7">
        <f>IF($Z177="","",SUMIFS('Per Line'!$Y$2:$Y$1001,'Per Line'!$D$2:$D$1001,$B177,'Per Line'!$AO$2:$AO$1001,0,'Per Line'!$AP$2:$AP$1001,0))</f>
        <v/>
      </c>
      <c r="R177" s="7">
        <f>IF($Z177="","",Q177*P177)</f>
        <v/>
      </c>
      <c r="S177">
        <f>IF($Z177="","",Settings!$C$6)</f>
        <v/>
      </c>
      <c r="T177" s="7">
        <f>IF($Z177="","",SUMIFS('Per Line'!$Y$2:$Y$1001,'Per Line'!$D$2:$D$1001,$B177,'Per Line'!$AO$2:$AO$1001,1,'Per Line'!$AP$2:$AP$1001,0))</f>
        <v/>
      </c>
      <c r="U177" s="7">
        <f>IF($Z177="","",T177*S177)</f>
        <v/>
      </c>
      <c r="V177" s="7">
        <f>IF($Z177="","",U177+R177)</f>
        <v/>
      </c>
      <c r="W177" s="7">
        <f>IF($Z177="","",X177-V177)</f>
        <v/>
      </c>
      <c r="X177" s="7">
        <f>IF($Z177="","",Q177+T177+O177)</f>
        <v/>
      </c>
      <c r="Y177" s="7">
        <f>IF($Z177="","",X177-V177-N177)</f>
        <v/>
      </c>
      <c r="Z177" s="13">
        <f>IF(ROWS($Z$2:$Z177)&lt;=MAX('Per Line'!$AN$2:$AN$1001),MATCH(ROWS($Z$2:$Z177),'Per Line'!$AN$2:$AN$1001,0),"")</f>
        <v/>
      </c>
    </row>
    <row r="178">
      <c r="A178" s="12" t="n"/>
      <c r="B178">
        <f>IF($Z178="","",INDEX('Per Line'!$D$2:$D$1001,$Z178)&amp;"")</f>
        <v/>
      </c>
      <c r="C178">
        <f>IF($Z178="","",INDEX('Per Line'!$B$2:$B$1001,$Z178)&amp;"")</f>
        <v/>
      </c>
      <c r="D178">
        <f>IF($Z178="","",INDEX('Per Line'!$A$2:$A$1001,$Z178))</f>
        <v/>
      </c>
      <c r="E178">
        <f>IF($Z178="","",INDEX('Per Line'!$E$2:$E$1001,$Z178)&amp;"")</f>
        <v/>
      </c>
      <c r="F178">
        <f>IF($Z178="","",INDEX('Per Line'!$F$2:$F$1001,$Z178)&amp;"")</f>
        <v/>
      </c>
      <c r="G178" s="11">
        <f>IF($Z178="","",INDEX('Per Line'!$G$2:$G$1001,$Z178))</f>
        <v/>
      </c>
      <c r="H178">
        <f>IF($Z178="","",INDEX('Per Line'!$I$2:$I$1001,$Z178)&amp;"")</f>
        <v/>
      </c>
      <c r="I178">
        <f>IF($Z178="","",INDEX('Per Line'!$J$2:$J$1001,$Z178)&amp;"")</f>
        <v/>
      </c>
      <c r="J178">
        <f>IF($Z178="","",INDEX('Per Line'!$K$2:$K$1001,$Z178)&amp;"")</f>
        <v/>
      </c>
      <c r="K178">
        <f>IF($Z178="","",INDEX('Per Line'!$L$2:$L$1001,$Z178)&amp;"")</f>
        <v/>
      </c>
      <c r="L178">
        <f>IF($Z178="","",INDEX('Per Line'!$M$2:$M$1001,$Z178)&amp;"")</f>
        <v/>
      </c>
      <c r="M178">
        <f>IF($Z178="","",INDEX('Per Line'!$P$2:$P$1001,$Z178))</f>
        <v/>
      </c>
      <c r="N178" s="7">
        <f>IF($Z178="","",M178*X178/100)</f>
        <v/>
      </c>
      <c r="O178" s="7">
        <f>IF($Z178="","",SUMIFS('Per Line'!$Y$2:$Y$1001,'Per Line'!$D$2:$D$1001,$B178,'Per Line'!$AP$2:$AP$1001,1))</f>
        <v/>
      </c>
      <c r="P178">
        <f>IF($Z178="","",Settings!$C$7)</f>
        <v/>
      </c>
      <c r="Q178" s="7">
        <f>IF($Z178="","",SUMIFS('Per Line'!$Y$2:$Y$1001,'Per Line'!$D$2:$D$1001,$B178,'Per Line'!$AO$2:$AO$1001,0,'Per Line'!$AP$2:$AP$1001,0))</f>
        <v/>
      </c>
      <c r="R178" s="7">
        <f>IF($Z178="","",Q178*P178)</f>
        <v/>
      </c>
      <c r="S178">
        <f>IF($Z178="","",Settings!$C$6)</f>
        <v/>
      </c>
      <c r="T178" s="7">
        <f>IF($Z178="","",SUMIFS('Per Line'!$Y$2:$Y$1001,'Per Line'!$D$2:$D$1001,$B178,'Per Line'!$AO$2:$AO$1001,1,'Per Line'!$AP$2:$AP$1001,0))</f>
        <v/>
      </c>
      <c r="U178" s="7">
        <f>IF($Z178="","",T178*S178)</f>
        <v/>
      </c>
      <c r="V178" s="7">
        <f>IF($Z178="","",U178+R178)</f>
        <v/>
      </c>
      <c r="W178" s="7">
        <f>IF($Z178="","",X178-V178)</f>
        <v/>
      </c>
      <c r="X178" s="7">
        <f>IF($Z178="","",Q178+T178+O178)</f>
        <v/>
      </c>
      <c r="Y178" s="7">
        <f>IF($Z178="","",X178-V178-N178)</f>
        <v/>
      </c>
      <c r="Z178" s="13">
        <f>IF(ROWS($Z$2:$Z178)&lt;=MAX('Per Line'!$AN$2:$AN$1001),MATCH(ROWS($Z$2:$Z178),'Per Line'!$AN$2:$AN$1001,0),"")</f>
        <v/>
      </c>
    </row>
    <row r="179">
      <c r="A179" s="12" t="n"/>
      <c r="B179">
        <f>IF($Z179="","",INDEX('Per Line'!$D$2:$D$1001,$Z179)&amp;"")</f>
        <v/>
      </c>
      <c r="C179">
        <f>IF($Z179="","",INDEX('Per Line'!$B$2:$B$1001,$Z179)&amp;"")</f>
        <v/>
      </c>
      <c r="D179">
        <f>IF($Z179="","",INDEX('Per Line'!$A$2:$A$1001,$Z179))</f>
        <v/>
      </c>
      <c r="E179">
        <f>IF($Z179="","",INDEX('Per Line'!$E$2:$E$1001,$Z179)&amp;"")</f>
        <v/>
      </c>
      <c r="F179">
        <f>IF($Z179="","",INDEX('Per Line'!$F$2:$F$1001,$Z179)&amp;"")</f>
        <v/>
      </c>
      <c r="G179" s="11">
        <f>IF($Z179="","",INDEX('Per Line'!$G$2:$G$1001,$Z179))</f>
        <v/>
      </c>
      <c r="H179">
        <f>IF($Z179="","",INDEX('Per Line'!$I$2:$I$1001,$Z179)&amp;"")</f>
        <v/>
      </c>
      <c r="I179">
        <f>IF($Z179="","",INDEX('Per Line'!$J$2:$J$1001,$Z179)&amp;"")</f>
        <v/>
      </c>
      <c r="J179">
        <f>IF($Z179="","",INDEX('Per Line'!$K$2:$K$1001,$Z179)&amp;"")</f>
        <v/>
      </c>
      <c r="K179">
        <f>IF($Z179="","",INDEX('Per Line'!$L$2:$L$1001,$Z179)&amp;"")</f>
        <v/>
      </c>
      <c r="L179">
        <f>IF($Z179="","",INDEX('Per Line'!$M$2:$M$1001,$Z179)&amp;"")</f>
        <v/>
      </c>
      <c r="M179">
        <f>IF($Z179="","",INDEX('Per Line'!$P$2:$P$1001,$Z179))</f>
        <v/>
      </c>
      <c r="N179" s="7">
        <f>IF($Z179="","",M179*X179/100)</f>
        <v/>
      </c>
      <c r="O179" s="7">
        <f>IF($Z179="","",SUMIFS('Per Line'!$Y$2:$Y$1001,'Per Line'!$D$2:$D$1001,$B179,'Per Line'!$AP$2:$AP$1001,1))</f>
        <v/>
      </c>
      <c r="P179">
        <f>IF($Z179="","",Settings!$C$7)</f>
        <v/>
      </c>
      <c r="Q179" s="7">
        <f>IF($Z179="","",SUMIFS('Per Line'!$Y$2:$Y$1001,'Per Line'!$D$2:$D$1001,$B179,'Per Line'!$AO$2:$AO$1001,0,'Per Line'!$AP$2:$AP$1001,0))</f>
        <v/>
      </c>
      <c r="R179" s="7">
        <f>IF($Z179="","",Q179*P179)</f>
        <v/>
      </c>
      <c r="S179">
        <f>IF($Z179="","",Settings!$C$6)</f>
        <v/>
      </c>
      <c r="T179" s="7">
        <f>IF($Z179="","",SUMIFS('Per Line'!$Y$2:$Y$1001,'Per Line'!$D$2:$D$1001,$B179,'Per Line'!$AO$2:$AO$1001,1,'Per Line'!$AP$2:$AP$1001,0))</f>
        <v/>
      </c>
      <c r="U179" s="7">
        <f>IF($Z179="","",T179*S179)</f>
        <v/>
      </c>
      <c r="V179" s="7">
        <f>IF($Z179="","",U179+R179)</f>
        <v/>
      </c>
      <c r="W179" s="7">
        <f>IF($Z179="","",X179-V179)</f>
        <v/>
      </c>
      <c r="X179" s="7">
        <f>IF($Z179="","",Q179+T179+O179)</f>
        <v/>
      </c>
      <c r="Y179" s="7">
        <f>IF($Z179="","",X179-V179-N179)</f>
        <v/>
      </c>
      <c r="Z179" s="13">
        <f>IF(ROWS($Z$2:$Z179)&lt;=MAX('Per Line'!$AN$2:$AN$1001),MATCH(ROWS($Z$2:$Z179),'Per Line'!$AN$2:$AN$1001,0),"")</f>
        <v/>
      </c>
    </row>
    <row r="180">
      <c r="A180" s="12" t="n"/>
      <c r="B180">
        <f>IF($Z180="","",INDEX('Per Line'!$D$2:$D$1001,$Z180)&amp;"")</f>
        <v/>
      </c>
      <c r="C180">
        <f>IF($Z180="","",INDEX('Per Line'!$B$2:$B$1001,$Z180)&amp;"")</f>
        <v/>
      </c>
      <c r="D180">
        <f>IF($Z180="","",INDEX('Per Line'!$A$2:$A$1001,$Z180))</f>
        <v/>
      </c>
      <c r="E180">
        <f>IF($Z180="","",INDEX('Per Line'!$E$2:$E$1001,$Z180)&amp;"")</f>
        <v/>
      </c>
      <c r="F180">
        <f>IF($Z180="","",INDEX('Per Line'!$F$2:$F$1001,$Z180)&amp;"")</f>
        <v/>
      </c>
      <c r="G180" s="11">
        <f>IF($Z180="","",INDEX('Per Line'!$G$2:$G$1001,$Z180))</f>
        <v/>
      </c>
      <c r="H180">
        <f>IF($Z180="","",INDEX('Per Line'!$I$2:$I$1001,$Z180)&amp;"")</f>
        <v/>
      </c>
      <c r="I180">
        <f>IF($Z180="","",INDEX('Per Line'!$J$2:$J$1001,$Z180)&amp;"")</f>
        <v/>
      </c>
      <c r="J180">
        <f>IF($Z180="","",INDEX('Per Line'!$K$2:$K$1001,$Z180)&amp;"")</f>
        <v/>
      </c>
      <c r="K180">
        <f>IF($Z180="","",INDEX('Per Line'!$L$2:$L$1001,$Z180)&amp;"")</f>
        <v/>
      </c>
      <c r="L180">
        <f>IF($Z180="","",INDEX('Per Line'!$M$2:$M$1001,$Z180)&amp;"")</f>
        <v/>
      </c>
      <c r="M180">
        <f>IF($Z180="","",INDEX('Per Line'!$P$2:$P$1001,$Z180))</f>
        <v/>
      </c>
      <c r="N180" s="7">
        <f>IF($Z180="","",M180*X180/100)</f>
        <v/>
      </c>
      <c r="O180" s="7">
        <f>IF($Z180="","",SUMIFS('Per Line'!$Y$2:$Y$1001,'Per Line'!$D$2:$D$1001,$B180,'Per Line'!$AP$2:$AP$1001,1))</f>
        <v/>
      </c>
      <c r="P180">
        <f>IF($Z180="","",Settings!$C$7)</f>
        <v/>
      </c>
      <c r="Q180" s="7">
        <f>IF($Z180="","",SUMIFS('Per Line'!$Y$2:$Y$1001,'Per Line'!$D$2:$D$1001,$B180,'Per Line'!$AO$2:$AO$1001,0,'Per Line'!$AP$2:$AP$1001,0))</f>
        <v/>
      </c>
      <c r="R180" s="7">
        <f>IF($Z180="","",Q180*P180)</f>
        <v/>
      </c>
      <c r="S180">
        <f>IF($Z180="","",Settings!$C$6)</f>
        <v/>
      </c>
      <c r="T180" s="7">
        <f>IF($Z180="","",SUMIFS('Per Line'!$Y$2:$Y$1001,'Per Line'!$D$2:$D$1001,$B180,'Per Line'!$AO$2:$AO$1001,1,'Per Line'!$AP$2:$AP$1001,0))</f>
        <v/>
      </c>
      <c r="U180" s="7">
        <f>IF($Z180="","",T180*S180)</f>
        <v/>
      </c>
      <c r="V180" s="7">
        <f>IF($Z180="","",U180+R180)</f>
        <v/>
      </c>
      <c r="W180" s="7">
        <f>IF($Z180="","",X180-V180)</f>
        <v/>
      </c>
      <c r="X180" s="7">
        <f>IF($Z180="","",Q180+T180+O180)</f>
        <v/>
      </c>
      <c r="Y180" s="7">
        <f>IF($Z180="","",X180-V180-N180)</f>
        <v/>
      </c>
      <c r="Z180" s="13">
        <f>IF(ROWS($Z$2:$Z180)&lt;=MAX('Per Line'!$AN$2:$AN$1001),MATCH(ROWS($Z$2:$Z180),'Per Line'!$AN$2:$AN$1001,0),"")</f>
        <v/>
      </c>
    </row>
    <row r="181">
      <c r="A181" s="12" t="n"/>
      <c r="B181">
        <f>IF($Z181="","",INDEX('Per Line'!$D$2:$D$1001,$Z181)&amp;"")</f>
        <v/>
      </c>
      <c r="C181">
        <f>IF($Z181="","",INDEX('Per Line'!$B$2:$B$1001,$Z181)&amp;"")</f>
        <v/>
      </c>
      <c r="D181">
        <f>IF($Z181="","",INDEX('Per Line'!$A$2:$A$1001,$Z181))</f>
        <v/>
      </c>
      <c r="E181">
        <f>IF($Z181="","",INDEX('Per Line'!$E$2:$E$1001,$Z181)&amp;"")</f>
        <v/>
      </c>
      <c r="F181">
        <f>IF($Z181="","",INDEX('Per Line'!$F$2:$F$1001,$Z181)&amp;"")</f>
        <v/>
      </c>
      <c r="G181" s="11">
        <f>IF($Z181="","",INDEX('Per Line'!$G$2:$G$1001,$Z181))</f>
        <v/>
      </c>
      <c r="H181">
        <f>IF($Z181="","",INDEX('Per Line'!$I$2:$I$1001,$Z181)&amp;"")</f>
        <v/>
      </c>
      <c r="I181">
        <f>IF($Z181="","",INDEX('Per Line'!$J$2:$J$1001,$Z181)&amp;"")</f>
        <v/>
      </c>
      <c r="J181">
        <f>IF($Z181="","",INDEX('Per Line'!$K$2:$K$1001,$Z181)&amp;"")</f>
        <v/>
      </c>
      <c r="K181">
        <f>IF($Z181="","",INDEX('Per Line'!$L$2:$L$1001,$Z181)&amp;"")</f>
        <v/>
      </c>
      <c r="L181">
        <f>IF($Z181="","",INDEX('Per Line'!$M$2:$M$1001,$Z181)&amp;"")</f>
        <v/>
      </c>
      <c r="M181">
        <f>IF($Z181="","",INDEX('Per Line'!$P$2:$P$1001,$Z181))</f>
        <v/>
      </c>
      <c r="N181" s="7">
        <f>IF($Z181="","",M181*X181/100)</f>
        <v/>
      </c>
      <c r="O181" s="7">
        <f>IF($Z181="","",SUMIFS('Per Line'!$Y$2:$Y$1001,'Per Line'!$D$2:$D$1001,$B181,'Per Line'!$AP$2:$AP$1001,1))</f>
        <v/>
      </c>
      <c r="P181">
        <f>IF($Z181="","",Settings!$C$7)</f>
        <v/>
      </c>
      <c r="Q181" s="7">
        <f>IF($Z181="","",SUMIFS('Per Line'!$Y$2:$Y$1001,'Per Line'!$D$2:$D$1001,$B181,'Per Line'!$AO$2:$AO$1001,0,'Per Line'!$AP$2:$AP$1001,0))</f>
        <v/>
      </c>
      <c r="R181" s="7">
        <f>IF($Z181="","",Q181*P181)</f>
        <v/>
      </c>
      <c r="S181">
        <f>IF($Z181="","",Settings!$C$6)</f>
        <v/>
      </c>
      <c r="T181" s="7">
        <f>IF($Z181="","",SUMIFS('Per Line'!$Y$2:$Y$1001,'Per Line'!$D$2:$D$1001,$B181,'Per Line'!$AO$2:$AO$1001,1,'Per Line'!$AP$2:$AP$1001,0))</f>
        <v/>
      </c>
      <c r="U181" s="7">
        <f>IF($Z181="","",T181*S181)</f>
        <v/>
      </c>
      <c r="V181" s="7">
        <f>IF($Z181="","",U181+R181)</f>
        <v/>
      </c>
      <c r="W181" s="7">
        <f>IF($Z181="","",X181-V181)</f>
        <v/>
      </c>
      <c r="X181" s="7">
        <f>IF($Z181="","",Q181+T181+O181)</f>
        <v/>
      </c>
      <c r="Y181" s="7">
        <f>IF($Z181="","",X181-V181-N181)</f>
        <v/>
      </c>
      <c r="Z181" s="13">
        <f>IF(ROWS($Z$2:$Z181)&lt;=MAX('Per Line'!$AN$2:$AN$1001),MATCH(ROWS($Z$2:$Z181),'Per Line'!$AN$2:$AN$1001,0),"")</f>
        <v/>
      </c>
    </row>
    <row r="182">
      <c r="A182" s="12" t="n"/>
      <c r="B182">
        <f>IF($Z182="","",INDEX('Per Line'!$D$2:$D$1001,$Z182)&amp;"")</f>
        <v/>
      </c>
      <c r="C182">
        <f>IF($Z182="","",INDEX('Per Line'!$B$2:$B$1001,$Z182)&amp;"")</f>
        <v/>
      </c>
      <c r="D182">
        <f>IF($Z182="","",INDEX('Per Line'!$A$2:$A$1001,$Z182))</f>
        <v/>
      </c>
      <c r="E182">
        <f>IF($Z182="","",INDEX('Per Line'!$E$2:$E$1001,$Z182)&amp;"")</f>
        <v/>
      </c>
      <c r="F182">
        <f>IF($Z182="","",INDEX('Per Line'!$F$2:$F$1001,$Z182)&amp;"")</f>
        <v/>
      </c>
      <c r="G182" s="11">
        <f>IF($Z182="","",INDEX('Per Line'!$G$2:$G$1001,$Z182))</f>
        <v/>
      </c>
      <c r="H182">
        <f>IF($Z182="","",INDEX('Per Line'!$I$2:$I$1001,$Z182)&amp;"")</f>
        <v/>
      </c>
      <c r="I182">
        <f>IF($Z182="","",INDEX('Per Line'!$J$2:$J$1001,$Z182)&amp;"")</f>
        <v/>
      </c>
      <c r="J182">
        <f>IF($Z182="","",INDEX('Per Line'!$K$2:$K$1001,$Z182)&amp;"")</f>
        <v/>
      </c>
      <c r="K182">
        <f>IF($Z182="","",INDEX('Per Line'!$L$2:$L$1001,$Z182)&amp;"")</f>
        <v/>
      </c>
      <c r="L182">
        <f>IF($Z182="","",INDEX('Per Line'!$M$2:$M$1001,$Z182)&amp;"")</f>
        <v/>
      </c>
      <c r="M182">
        <f>IF($Z182="","",INDEX('Per Line'!$P$2:$P$1001,$Z182))</f>
        <v/>
      </c>
      <c r="N182" s="7">
        <f>IF($Z182="","",M182*X182/100)</f>
        <v/>
      </c>
      <c r="O182" s="7">
        <f>IF($Z182="","",SUMIFS('Per Line'!$Y$2:$Y$1001,'Per Line'!$D$2:$D$1001,$B182,'Per Line'!$AP$2:$AP$1001,1))</f>
        <v/>
      </c>
      <c r="P182">
        <f>IF($Z182="","",Settings!$C$7)</f>
        <v/>
      </c>
      <c r="Q182" s="7">
        <f>IF($Z182="","",SUMIFS('Per Line'!$Y$2:$Y$1001,'Per Line'!$D$2:$D$1001,$B182,'Per Line'!$AO$2:$AO$1001,0,'Per Line'!$AP$2:$AP$1001,0))</f>
        <v/>
      </c>
      <c r="R182" s="7">
        <f>IF($Z182="","",Q182*P182)</f>
        <v/>
      </c>
      <c r="S182">
        <f>IF($Z182="","",Settings!$C$6)</f>
        <v/>
      </c>
      <c r="T182" s="7">
        <f>IF($Z182="","",SUMIFS('Per Line'!$Y$2:$Y$1001,'Per Line'!$D$2:$D$1001,$B182,'Per Line'!$AO$2:$AO$1001,1,'Per Line'!$AP$2:$AP$1001,0))</f>
        <v/>
      </c>
      <c r="U182" s="7">
        <f>IF($Z182="","",T182*S182)</f>
        <v/>
      </c>
      <c r="V182" s="7">
        <f>IF($Z182="","",U182+R182)</f>
        <v/>
      </c>
      <c r="W182" s="7">
        <f>IF($Z182="","",X182-V182)</f>
        <v/>
      </c>
      <c r="X182" s="7">
        <f>IF($Z182="","",Q182+T182+O182)</f>
        <v/>
      </c>
      <c r="Y182" s="7">
        <f>IF($Z182="","",X182-V182-N182)</f>
        <v/>
      </c>
      <c r="Z182" s="13">
        <f>IF(ROWS($Z$2:$Z182)&lt;=MAX('Per Line'!$AN$2:$AN$1001),MATCH(ROWS($Z$2:$Z182),'Per Line'!$AN$2:$AN$1001,0),"")</f>
        <v/>
      </c>
    </row>
    <row r="183">
      <c r="A183" s="12" t="n"/>
      <c r="B183">
        <f>IF($Z183="","",INDEX('Per Line'!$D$2:$D$1001,$Z183)&amp;"")</f>
        <v/>
      </c>
      <c r="C183">
        <f>IF($Z183="","",INDEX('Per Line'!$B$2:$B$1001,$Z183)&amp;"")</f>
        <v/>
      </c>
      <c r="D183">
        <f>IF($Z183="","",INDEX('Per Line'!$A$2:$A$1001,$Z183))</f>
        <v/>
      </c>
      <c r="E183">
        <f>IF($Z183="","",INDEX('Per Line'!$E$2:$E$1001,$Z183)&amp;"")</f>
        <v/>
      </c>
      <c r="F183">
        <f>IF($Z183="","",INDEX('Per Line'!$F$2:$F$1001,$Z183)&amp;"")</f>
        <v/>
      </c>
      <c r="G183" s="11">
        <f>IF($Z183="","",INDEX('Per Line'!$G$2:$G$1001,$Z183))</f>
        <v/>
      </c>
      <c r="H183">
        <f>IF($Z183="","",INDEX('Per Line'!$I$2:$I$1001,$Z183)&amp;"")</f>
        <v/>
      </c>
      <c r="I183">
        <f>IF($Z183="","",INDEX('Per Line'!$J$2:$J$1001,$Z183)&amp;"")</f>
        <v/>
      </c>
      <c r="J183">
        <f>IF($Z183="","",INDEX('Per Line'!$K$2:$K$1001,$Z183)&amp;"")</f>
        <v/>
      </c>
      <c r="K183">
        <f>IF($Z183="","",INDEX('Per Line'!$L$2:$L$1001,$Z183)&amp;"")</f>
        <v/>
      </c>
      <c r="L183">
        <f>IF($Z183="","",INDEX('Per Line'!$M$2:$M$1001,$Z183)&amp;"")</f>
        <v/>
      </c>
      <c r="M183">
        <f>IF($Z183="","",INDEX('Per Line'!$P$2:$P$1001,$Z183))</f>
        <v/>
      </c>
      <c r="N183" s="7">
        <f>IF($Z183="","",M183*X183/100)</f>
        <v/>
      </c>
      <c r="O183" s="7">
        <f>IF($Z183="","",SUMIFS('Per Line'!$Y$2:$Y$1001,'Per Line'!$D$2:$D$1001,$B183,'Per Line'!$AP$2:$AP$1001,1))</f>
        <v/>
      </c>
      <c r="P183">
        <f>IF($Z183="","",Settings!$C$7)</f>
        <v/>
      </c>
      <c r="Q183" s="7">
        <f>IF($Z183="","",SUMIFS('Per Line'!$Y$2:$Y$1001,'Per Line'!$D$2:$D$1001,$B183,'Per Line'!$AO$2:$AO$1001,0,'Per Line'!$AP$2:$AP$1001,0))</f>
        <v/>
      </c>
      <c r="R183" s="7">
        <f>IF($Z183="","",Q183*P183)</f>
        <v/>
      </c>
      <c r="S183">
        <f>IF($Z183="","",Settings!$C$6)</f>
        <v/>
      </c>
      <c r="T183" s="7">
        <f>IF($Z183="","",SUMIFS('Per Line'!$Y$2:$Y$1001,'Per Line'!$D$2:$D$1001,$B183,'Per Line'!$AO$2:$AO$1001,1,'Per Line'!$AP$2:$AP$1001,0))</f>
        <v/>
      </c>
      <c r="U183" s="7">
        <f>IF($Z183="","",T183*S183)</f>
        <v/>
      </c>
      <c r="V183" s="7">
        <f>IF($Z183="","",U183+R183)</f>
        <v/>
      </c>
      <c r="W183" s="7">
        <f>IF($Z183="","",X183-V183)</f>
        <v/>
      </c>
      <c r="X183" s="7">
        <f>IF($Z183="","",Q183+T183+O183)</f>
        <v/>
      </c>
      <c r="Y183" s="7">
        <f>IF($Z183="","",X183-V183-N183)</f>
        <v/>
      </c>
      <c r="Z183" s="13">
        <f>IF(ROWS($Z$2:$Z183)&lt;=MAX('Per Line'!$AN$2:$AN$1001),MATCH(ROWS($Z$2:$Z183),'Per Line'!$AN$2:$AN$1001,0),"")</f>
        <v/>
      </c>
    </row>
    <row r="184">
      <c r="A184" s="12" t="n"/>
      <c r="B184">
        <f>IF($Z184="","",INDEX('Per Line'!$D$2:$D$1001,$Z184)&amp;"")</f>
        <v/>
      </c>
      <c r="C184">
        <f>IF($Z184="","",INDEX('Per Line'!$B$2:$B$1001,$Z184)&amp;"")</f>
        <v/>
      </c>
      <c r="D184">
        <f>IF($Z184="","",INDEX('Per Line'!$A$2:$A$1001,$Z184))</f>
        <v/>
      </c>
      <c r="E184">
        <f>IF($Z184="","",INDEX('Per Line'!$E$2:$E$1001,$Z184)&amp;"")</f>
        <v/>
      </c>
      <c r="F184">
        <f>IF($Z184="","",INDEX('Per Line'!$F$2:$F$1001,$Z184)&amp;"")</f>
        <v/>
      </c>
      <c r="G184" s="11">
        <f>IF($Z184="","",INDEX('Per Line'!$G$2:$G$1001,$Z184))</f>
        <v/>
      </c>
      <c r="H184">
        <f>IF($Z184="","",INDEX('Per Line'!$I$2:$I$1001,$Z184)&amp;"")</f>
        <v/>
      </c>
      <c r="I184">
        <f>IF($Z184="","",INDEX('Per Line'!$J$2:$J$1001,$Z184)&amp;"")</f>
        <v/>
      </c>
      <c r="J184">
        <f>IF($Z184="","",INDEX('Per Line'!$K$2:$K$1001,$Z184)&amp;"")</f>
        <v/>
      </c>
      <c r="K184">
        <f>IF($Z184="","",INDEX('Per Line'!$L$2:$L$1001,$Z184)&amp;"")</f>
        <v/>
      </c>
      <c r="L184">
        <f>IF($Z184="","",INDEX('Per Line'!$M$2:$M$1001,$Z184)&amp;"")</f>
        <v/>
      </c>
      <c r="M184">
        <f>IF($Z184="","",INDEX('Per Line'!$P$2:$P$1001,$Z184))</f>
        <v/>
      </c>
      <c r="N184" s="7">
        <f>IF($Z184="","",M184*X184/100)</f>
        <v/>
      </c>
      <c r="O184" s="7">
        <f>IF($Z184="","",SUMIFS('Per Line'!$Y$2:$Y$1001,'Per Line'!$D$2:$D$1001,$B184,'Per Line'!$AP$2:$AP$1001,1))</f>
        <v/>
      </c>
      <c r="P184">
        <f>IF($Z184="","",Settings!$C$7)</f>
        <v/>
      </c>
      <c r="Q184" s="7">
        <f>IF($Z184="","",SUMIFS('Per Line'!$Y$2:$Y$1001,'Per Line'!$D$2:$D$1001,$B184,'Per Line'!$AO$2:$AO$1001,0,'Per Line'!$AP$2:$AP$1001,0))</f>
        <v/>
      </c>
      <c r="R184" s="7">
        <f>IF($Z184="","",Q184*P184)</f>
        <v/>
      </c>
      <c r="S184">
        <f>IF($Z184="","",Settings!$C$6)</f>
        <v/>
      </c>
      <c r="T184" s="7">
        <f>IF($Z184="","",SUMIFS('Per Line'!$Y$2:$Y$1001,'Per Line'!$D$2:$D$1001,$B184,'Per Line'!$AO$2:$AO$1001,1,'Per Line'!$AP$2:$AP$1001,0))</f>
        <v/>
      </c>
      <c r="U184" s="7">
        <f>IF($Z184="","",T184*S184)</f>
        <v/>
      </c>
      <c r="V184" s="7">
        <f>IF($Z184="","",U184+R184)</f>
        <v/>
      </c>
      <c r="W184" s="7">
        <f>IF($Z184="","",X184-V184)</f>
        <v/>
      </c>
      <c r="X184" s="7">
        <f>IF($Z184="","",Q184+T184+O184)</f>
        <v/>
      </c>
      <c r="Y184" s="7">
        <f>IF($Z184="","",X184-V184-N184)</f>
        <v/>
      </c>
      <c r="Z184" s="13">
        <f>IF(ROWS($Z$2:$Z184)&lt;=MAX('Per Line'!$AN$2:$AN$1001),MATCH(ROWS($Z$2:$Z184),'Per Line'!$AN$2:$AN$1001,0),"")</f>
        <v/>
      </c>
    </row>
    <row r="185">
      <c r="A185" s="12" t="n"/>
      <c r="B185">
        <f>IF($Z185="","",INDEX('Per Line'!$D$2:$D$1001,$Z185)&amp;"")</f>
        <v/>
      </c>
      <c r="C185">
        <f>IF($Z185="","",INDEX('Per Line'!$B$2:$B$1001,$Z185)&amp;"")</f>
        <v/>
      </c>
      <c r="D185">
        <f>IF($Z185="","",INDEX('Per Line'!$A$2:$A$1001,$Z185))</f>
        <v/>
      </c>
      <c r="E185">
        <f>IF($Z185="","",INDEX('Per Line'!$E$2:$E$1001,$Z185)&amp;"")</f>
        <v/>
      </c>
      <c r="F185">
        <f>IF($Z185="","",INDEX('Per Line'!$F$2:$F$1001,$Z185)&amp;"")</f>
        <v/>
      </c>
      <c r="G185" s="11">
        <f>IF($Z185="","",INDEX('Per Line'!$G$2:$G$1001,$Z185))</f>
        <v/>
      </c>
      <c r="H185">
        <f>IF($Z185="","",INDEX('Per Line'!$I$2:$I$1001,$Z185)&amp;"")</f>
        <v/>
      </c>
      <c r="I185">
        <f>IF($Z185="","",INDEX('Per Line'!$J$2:$J$1001,$Z185)&amp;"")</f>
        <v/>
      </c>
      <c r="J185">
        <f>IF($Z185="","",INDEX('Per Line'!$K$2:$K$1001,$Z185)&amp;"")</f>
        <v/>
      </c>
      <c r="K185">
        <f>IF($Z185="","",INDEX('Per Line'!$L$2:$L$1001,$Z185)&amp;"")</f>
        <v/>
      </c>
      <c r="L185">
        <f>IF($Z185="","",INDEX('Per Line'!$M$2:$M$1001,$Z185)&amp;"")</f>
        <v/>
      </c>
      <c r="M185">
        <f>IF($Z185="","",INDEX('Per Line'!$P$2:$P$1001,$Z185))</f>
        <v/>
      </c>
      <c r="N185" s="7">
        <f>IF($Z185="","",M185*X185/100)</f>
        <v/>
      </c>
      <c r="O185" s="7">
        <f>IF($Z185="","",SUMIFS('Per Line'!$Y$2:$Y$1001,'Per Line'!$D$2:$D$1001,$B185,'Per Line'!$AP$2:$AP$1001,1))</f>
        <v/>
      </c>
      <c r="P185">
        <f>IF($Z185="","",Settings!$C$7)</f>
        <v/>
      </c>
      <c r="Q185" s="7">
        <f>IF($Z185="","",SUMIFS('Per Line'!$Y$2:$Y$1001,'Per Line'!$D$2:$D$1001,$B185,'Per Line'!$AO$2:$AO$1001,0,'Per Line'!$AP$2:$AP$1001,0))</f>
        <v/>
      </c>
      <c r="R185" s="7">
        <f>IF($Z185="","",Q185*P185)</f>
        <v/>
      </c>
      <c r="S185">
        <f>IF($Z185="","",Settings!$C$6)</f>
        <v/>
      </c>
      <c r="T185" s="7">
        <f>IF($Z185="","",SUMIFS('Per Line'!$Y$2:$Y$1001,'Per Line'!$D$2:$D$1001,$B185,'Per Line'!$AO$2:$AO$1001,1,'Per Line'!$AP$2:$AP$1001,0))</f>
        <v/>
      </c>
      <c r="U185" s="7">
        <f>IF($Z185="","",T185*S185)</f>
        <v/>
      </c>
      <c r="V185" s="7">
        <f>IF($Z185="","",U185+R185)</f>
        <v/>
      </c>
      <c r="W185" s="7">
        <f>IF($Z185="","",X185-V185)</f>
        <v/>
      </c>
      <c r="X185" s="7">
        <f>IF($Z185="","",Q185+T185+O185)</f>
        <v/>
      </c>
      <c r="Y185" s="7">
        <f>IF($Z185="","",X185-V185-N185)</f>
        <v/>
      </c>
      <c r="Z185" s="13">
        <f>IF(ROWS($Z$2:$Z185)&lt;=MAX('Per Line'!$AN$2:$AN$1001),MATCH(ROWS($Z$2:$Z185),'Per Line'!$AN$2:$AN$1001,0),"")</f>
        <v/>
      </c>
    </row>
    <row r="186">
      <c r="A186" s="12" t="n"/>
      <c r="B186">
        <f>IF($Z186="","",INDEX('Per Line'!$D$2:$D$1001,$Z186)&amp;"")</f>
        <v/>
      </c>
      <c r="C186">
        <f>IF($Z186="","",INDEX('Per Line'!$B$2:$B$1001,$Z186)&amp;"")</f>
        <v/>
      </c>
      <c r="D186">
        <f>IF($Z186="","",INDEX('Per Line'!$A$2:$A$1001,$Z186))</f>
        <v/>
      </c>
      <c r="E186">
        <f>IF($Z186="","",INDEX('Per Line'!$E$2:$E$1001,$Z186)&amp;"")</f>
        <v/>
      </c>
      <c r="F186">
        <f>IF($Z186="","",INDEX('Per Line'!$F$2:$F$1001,$Z186)&amp;"")</f>
        <v/>
      </c>
      <c r="G186" s="11">
        <f>IF($Z186="","",INDEX('Per Line'!$G$2:$G$1001,$Z186))</f>
        <v/>
      </c>
      <c r="H186">
        <f>IF($Z186="","",INDEX('Per Line'!$I$2:$I$1001,$Z186)&amp;"")</f>
        <v/>
      </c>
      <c r="I186">
        <f>IF($Z186="","",INDEX('Per Line'!$J$2:$J$1001,$Z186)&amp;"")</f>
        <v/>
      </c>
      <c r="J186">
        <f>IF($Z186="","",INDEX('Per Line'!$K$2:$K$1001,$Z186)&amp;"")</f>
        <v/>
      </c>
      <c r="K186">
        <f>IF($Z186="","",INDEX('Per Line'!$L$2:$L$1001,$Z186)&amp;"")</f>
        <v/>
      </c>
      <c r="L186">
        <f>IF($Z186="","",INDEX('Per Line'!$M$2:$M$1001,$Z186)&amp;"")</f>
        <v/>
      </c>
      <c r="M186">
        <f>IF($Z186="","",INDEX('Per Line'!$P$2:$P$1001,$Z186))</f>
        <v/>
      </c>
      <c r="N186" s="7">
        <f>IF($Z186="","",M186*X186/100)</f>
        <v/>
      </c>
      <c r="O186" s="7">
        <f>IF($Z186="","",SUMIFS('Per Line'!$Y$2:$Y$1001,'Per Line'!$D$2:$D$1001,$B186,'Per Line'!$AP$2:$AP$1001,1))</f>
        <v/>
      </c>
      <c r="P186">
        <f>IF($Z186="","",Settings!$C$7)</f>
        <v/>
      </c>
      <c r="Q186" s="7">
        <f>IF($Z186="","",SUMIFS('Per Line'!$Y$2:$Y$1001,'Per Line'!$D$2:$D$1001,$B186,'Per Line'!$AO$2:$AO$1001,0,'Per Line'!$AP$2:$AP$1001,0))</f>
        <v/>
      </c>
      <c r="R186" s="7">
        <f>IF($Z186="","",Q186*P186)</f>
        <v/>
      </c>
      <c r="S186">
        <f>IF($Z186="","",Settings!$C$6)</f>
        <v/>
      </c>
      <c r="T186" s="7">
        <f>IF($Z186="","",SUMIFS('Per Line'!$Y$2:$Y$1001,'Per Line'!$D$2:$D$1001,$B186,'Per Line'!$AO$2:$AO$1001,1,'Per Line'!$AP$2:$AP$1001,0))</f>
        <v/>
      </c>
      <c r="U186" s="7">
        <f>IF($Z186="","",T186*S186)</f>
        <v/>
      </c>
      <c r="V186" s="7">
        <f>IF($Z186="","",U186+R186)</f>
        <v/>
      </c>
      <c r="W186" s="7">
        <f>IF($Z186="","",X186-V186)</f>
        <v/>
      </c>
      <c r="X186" s="7">
        <f>IF($Z186="","",Q186+T186+O186)</f>
        <v/>
      </c>
      <c r="Y186" s="7">
        <f>IF($Z186="","",X186-V186-N186)</f>
        <v/>
      </c>
      <c r="Z186" s="13">
        <f>IF(ROWS($Z$2:$Z186)&lt;=MAX('Per Line'!$AN$2:$AN$1001),MATCH(ROWS($Z$2:$Z186),'Per Line'!$AN$2:$AN$1001,0),"")</f>
        <v/>
      </c>
    </row>
    <row r="187">
      <c r="A187" s="12" t="n"/>
      <c r="B187">
        <f>IF($Z187="","",INDEX('Per Line'!$D$2:$D$1001,$Z187)&amp;"")</f>
        <v/>
      </c>
      <c r="C187">
        <f>IF($Z187="","",INDEX('Per Line'!$B$2:$B$1001,$Z187)&amp;"")</f>
        <v/>
      </c>
      <c r="D187">
        <f>IF($Z187="","",INDEX('Per Line'!$A$2:$A$1001,$Z187))</f>
        <v/>
      </c>
      <c r="E187">
        <f>IF($Z187="","",INDEX('Per Line'!$E$2:$E$1001,$Z187)&amp;"")</f>
        <v/>
      </c>
      <c r="F187">
        <f>IF($Z187="","",INDEX('Per Line'!$F$2:$F$1001,$Z187)&amp;"")</f>
        <v/>
      </c>
      <c r="G187" s="11">
        <f>IF($Z187="","",INDEX('Per Line'!$G$2:$G$1001,$Z187))</f>
        <v/>
      </c>
      <c r="H187">
        <f>IF($Z187="","",INDEX('Per Line'!$I$2:$I$1001,$Z187)&amp;"")</f>
        <v/>
      </c>
      <c r="I187">
        <f>IF($Z187="","",INDEX('Per Line'!$J$2:$J$1001,$Z187)&amp;"")</f>
        <v/>
      </c>
      <c r="J187">
        <f>IF($Z187="","",INDEX('Per Line'!$K$2:$K$1001,$Z187)&amp;"")</f>
        <v/>
      </c>
      <c r="K187">
        <f>IF($Z187="","",INDEX('Per Line'!$L$2:$L$1001,$Z187)&amp;"")</f>
        <v/>
      </c>
      <c r="L187">
        <f>IF($Z187="","",INDEX('Per Line'!$M$2:$M$1001,$Z187)&amp;"")</f>
        <v/>
      </c>
      <c r="M187">
        <f>IF($Z187="","",INDEX('Per Line'!$P$2:$P$1001,$Z187))</f>
        <v/>
      </c>
      <c r="N187" s="7">
        <f>IF($Z187="","",M187*X187/100)</f>
        <v/>
      </c>
      <c r="O187" s="7">
        <f>IF($Z187="","",SUMIFS('Per Line'!$Y$2:$Y$1001,'Per Line'!$D$2:$D$1001,$B187,'Per Line'!$AP$2:$AP$1001,1))</f>
        <v/>
      </c>
      <c r="P187">
        <f>IF($Z187="","",Settings!$C$7)</f>
        <v/>
      </c>
      <c r="Q187" s="7">
        <f>IF($Z187="","",SUMIFS('Per Line'!$Y$2:$Y$1001,'Per Line'!$D$2:$D$1001,$B187,'Per Line'!$AO$2:$AO$1001,0,'Per Line'!$AP$2:$AP$1001,0))</f>
        <v/>
      </c>
      <c r="R187" s="7">
        <f>IF($Z187="","",Q187*P187)</f>
        <v/>
      </c>
      <c r="S187">
        <f>IF($Z187="","",Settings!$C$6)</f>
        <v/>
      </c>
      <c r="T187" s="7">
        <f>IF($Z187="","",SUMIFS('Per Line'!$Y$2:$Y$1001,'Per Line'!$D$2:$D$1001,$B187,'Per Line'!$AO$2:$AO$1001,1,'Per Line'!$AP$2:$AP$1001,0))</f>
        <v/>
      </c>
      <c r="U187" s="7">
        <f>IF($Z187="","",T187*S187)</f>
        <v/>
      </c>
      <c r="V187" s="7">
        <f>IF($Z187="","",U187+R187)</f>
        <v/>
      </c>
      <c r="W187" s="7">
        <f>IF($Z187="","",X187-V187)</f>
        <v/>
      </c>
      <c r="X187" s="7">
        <f>IF($Z187="","",Q187+T187+O187)</f>
        <v/>
      </c>
      <c r="Y187" s="7">
        <f>IF($Z187="","",X187-V187-N187)</f>
        <v/>
      </c>
      <c r="Z187" s="13">
        <f>IF(ROWS($Z$2:$Z187)&lt;=MAX('Per Line'!$AN$2:$AN$1001),MATCH(ROWS($Z$2:$Z187),'Per Line'!$AN$2:$AN$1001,0),"")</f>
        <v/>
      </c>
    </row>
    <row r="188">
      <c r="A188" s="12" t="n"/>
      <c r="B188">
        <f>IF($Z188="","",INDEX('Per Line'!$D$2:$D$1001,$Z188)&amp;"")</f>
        <v/>
      </c>
      <c r="C188">
        <f>IF($Z188="","",INDEX('Per Line'!$B$2:$B$1001,$Z188)&amp;"")</f>
        <v/>
      </c>
      <c r="D188">
        <f>IF($Z188="","",INDEX('Per Line'!$A$2:$A$1001,$Z188))</f>
        <v/>
      </c>
      <c r="E188">
        <f>IF($Z188="","",INDEX('Per Line'!$E$2:$E$1001,$Z188)&amp;"")</f>
        <v/>
      </c>
      <c r="F188">
        <f>IF($Z188="","",INDEX('Per Line'!$F$2:$F$1001,$Z188)&amp;"")</f>
        <v/>
      </c>
      <c r="G188" s="11">
        <f>IF($Z188="","",INDEX('Per Line'!$G$2:$G$1001,$Z188))</f>
        <v/>
      </c>
      <c r="H188">
        <f>IF($Z188="","",INDEX('Per Line'!$I$2:$I$1001,$Z188)&amp;"")</f>
        <v/>
      </c>
      <c r="I188">
        <f>IF($Z188="","",INDEX('Per Line'!$J$2:$J$1001,$Z188)&amp;"")</f>
        <v/>
      </c>
      <c r="J188">
        <f>IF($Z188="","",INDEX('Per Line'!$K$2:$K$1001,$Z188)&amp;"")</f>
        <v/>
      </c>
      <c r="K188">
        <f>IF($Z188="","",INDEX('Per Line'!$L$2:$L$1001,$Z188)&amp;"")</f>
        <v/>
      </c>
      <c r="L188">
        <f>IF($Z188="","",INDEX('Per Line'!$M$2:$M$1001,$Z188)&amp;"")</f>
        <v/>
      </c>
      <c r="M188">
        <f>IF($Z188="","",INDEX('Per Line'!$P$2:$P$1001,$Z188))</f>
        <v/>
      </c>
      <c r="N188" s="7">
        <f>IF($Z188="","",M188*X188/100)</f>
        <v/>
      </c>
      <c r="O188" s="7">
        <f>IF($Z188="","",SUMIFS('Per Line'!$Y$2:$Y$1001,'Per Line'!$D$2:$D$1001,$B188,'Per Line'!$AP$2:$AP$1001,1))</f>
        <v/>
      </c>
      <c r="P188">
        <f>IF($Z188="","",Settings!$C$7)</f>
        <v/>
      </c>
      <c r="Q188" s="7">
        <f>IF($Z188="","",SUMIFS('Per Line'!$Y$2:$Y$1001,'Per Line'!$D$2:$D$1001,$B188,'Per Line'!$AO$2:$AO$1001,0,'Per Line'!$AP$2:$AP$1001,0))</f>
        <v/>
      </c>
      <c r="R188" s="7">
        <f>IF($Z188="","",Q188*P188)</f>
        <v/>
      </c>
      <c r="S188">
        <f>IF($Z188="","",Settings!$C$6)</f>
        <v/>
      </c>
      <c r="T188" s="7">
        <f>IF($Z188="","",SUMIFS('Per Line'!$Y$2:$Y$1001,'Per Line'!$D$2:$D$1001,$B188,'Per Line'!$AO$2:$AO$1001,1,'Per Line'!$AP$2:$AP$1001,0))</f>
        <v/>
      </c>
      <c r="U188" s="7">
        <f>IF($Z188="","",T188*S188)</f>
        <v/>
      </c>
      <c r="V188" s="7">
        <f>IF($Z188="","",U188+R188)</f>
        <v/>
      </c>
      <c r="W188" s="7">
        <f>IF($Z188="","",X188-V188)</f>
        <v/>
      </c>
      <c r="X188" s="7">
        <f>IF($Z188="","",Q188+T188+O188)</f>
        <v/>
      </c>
      <c r="Y188" s="7">
        <f>IF($Z188="","",X188-V188-N188)</f>
        <v/>
      </c>
      <c r="Z188" s="13">
        <f>IF(ROWS($Z$2:$Z188)&lt;=MAX('Per Line'!$AN$2:$AN$1001),MATCH(ROWS($Z$2:$Z188),'Per Line'!$AN$2:$AN$1001,0),"")</f>
        <v/>
      </c>
    </row>
    <row r="189">
      <c r="A189" s="12" t="n"/>
      <c r="B189">
        <f>IF($Z189="","",INDEX('Per Line'!$D$2:$D$1001,$Z189)&amp;"")</f>
        <v/>
      </c>
      <c r="C189">
        <f>IF($Z189="","",INDEX('Per Line'!$B$2:$B$1001,$Z189)&amp;"")</f>
        <v/>
      </c>
      <c r="D189">
        <f>IF($Z189="","",INDEX('Per Line'!$A$2:$A$1001,$Z189))</f>
        <v/>
      </c>
      <c r="E189">
        <f>IF($Z189="","",INDEX('Per Line'!$E$2:$E$1001,$Z189)&amp;"")</f>
        <v/>
      </c>
      <c r="F189">
        <f>IF($Z189="","",INDEX('Per Line'!$F$2:$F$1001,$Z189)&amp;"")</f>
        <v/>
      </c>
      <c r="G189" s="11">
        <f>IF($Z189="","",INDEX('Per Line'!$G$2:$G$1001,$Z189))</f>
        <v/>
      </c>
      <c r="H189">
        <f>IF($Z189="","",INDEX('Per Line'!$I$2:$I$1001,$Z189)&amp;"")</f>
        <v/>
      </c>
      <c r="I189">
        <f>IF($Z189="","",INDEX('Per Line'!$J$2:$J$1001,$Z189)&amp;"")</f>
        <v/>
      </c>
      <c r="J189">
        <f>IF($Z189="","",INDEX('Per Line'!$K$2:$K$1001,$Z189)&amp;"")</f>
        <v/>
      </c>
      <c r="K189">
        <f>IF($Z189="","",INDEX('Per Line'!$L$2:$L$1001,$Z189)&amp;"")</f>
        <v/>
      </c>
      <c r="L189">
        <f>IF($Z189="","",INDEX('Per Line'!$M$2:$M$1001,$Z189)&amp;"")</f>
        <v/>
      </c>
      <c r="M189">
        <f>IF($Z189="","",INDEX('Per Line'!$P$2:$P$1001,$Z189))</f>
        <v/>
      </c>
      <c r="N189" s="7">
        <f>IF($Z189="","",M189*X189/100)</f>
        <v/>
      </c>
      <c r="O189" s="7">
        <f>IF($Z189="","",SUMIFS('Per Line'!$Y$2:$Y$1001,'Per Line'!$D$2:$D$1001,$B189,'Per Line'!$AP$2:$AP$1001,1))</f>
        <v/>
      </c>
      <c r="P189">
        <f>IF($Z189="","",Settings!$C$7)</f>
        <v/>
      </c>
      <c r="Q189" s="7">
        <f>IF($Z189="","",SUMIFS('Per Line'!$Y$2:$Y$1001,'Per Line'!$D$2:$D$1001,$B189,'Per Line'!$AO$2:$AO$1001,0,'Per Line'!$AP$2:$AP$1001,0))</f>
        <v/>
      </c>
      <c r="R189" s="7">
        <f>IF($Z189="","",Q189*P189)</f>
        <v/>
      </c>
      <c r="S189">
        <f>IF($Z189="","",Settings!$C$6)</f>
        <v/>
      </c>
      <c r="T189" s="7">
        <f>IF($Z189="","",SUMIFS('Per Line'!$Y$2:$Y$1001,'Per Line'!$D$2:$D$1001,$B189,'Per Line'!$AO$2:$AO$1001,1,'Per Line'!$AP$2:$AP$1001,0))</f>
        <v/>
      </c>
      <c r="U189" s="7">
        <f>IF($Z189="","",T189*S189)</f>
        <v/>
      </c>
      <c r="V189" s="7">
        <f>IF($Z189="","",U189+R189)</f>
        <v/>
      </c>
      <c r="W189" s="7">
        <f>IF($Z189="","",X189-V189)</f>
        <v/>
      </c>
      <c r="X189" s="7">
        <f>IF($Z189="","",Q189+T189+O189)</f>
        <v/>
      </c>
      <c r="Y189" s="7">
        <f>IF($Z189="","",X189-V189-N189)</f>
        <v/>
      </c>
      <c r="Z189" s="13">
        <f>IF(ROWS($Z$2:$Z189)&lt;=MAX('Per Line'!$AN$2:$AN$1001),MATCH(ROWS($Z$2:$Z189),'Per Line'!$AN$2:$AN$1001,0),"")</f>
        <v/>
      </c>
    </row>
    <row r="190">
      <c r="A190" s="12" t="n"/>
      <c r="B190">
        <f>IF($Z190="","",INDEX('Per Line'!$D$2:$D$1001,$Z190)&amp;"")</f>
        <v/>
      </c>
      <c r="C190">
        <f>IF($Z190="","",INDEX('Per Line'!$B$2:$B$1001,$Z190)&amp;"")</f>
        <v/>
      </c>
      <c r="D190">
        <f>IF($Z190="","",INDEX('Per Line'!$A$2:$A$1001,$Z190))</f>
        <v/>
      </c>
      <c r="E190">
        <f>IF($Z190="","",INDEX('Per Line'!$E$2:$E$1001,$Z190)&amp;"")</f>
        <v/>
      </c>
      <c r="F190">
        <f>IF($Z190="","",INDEX('Per Line'!$F$2:$F$1001,$Z190)&amp;"")</f>
        <v/>
      </c>
      <c r="G190" s="11">
        <f>IF($Z190="","",INDEX('Per Line'!$G$2:$G$1001,$Z190))</f>
        <v/>
      </c>
      <c r="H190">
        <f>IF($Z190="","",INDEX('Per Line'!$I$2:$I$1001,$Z190)&amp;"")</f>
        <v/>
      </c>
      <c r="I190">
        <f>IF($Z190="","",INDEX('Per Line'!$J$2:$J$1001,$Z190)&amp;"")</f>
        <v/>
      </c>
      <c r="J190">
        <f>IF($Z190="","",INDEX('Per Line'!$K$2:$K$1001,$Z190)&amp;"")</f>
        <v/>
      </c>
      <c r="K190">
        <f>IF($Z190="","",INDEX('Per Line'!$L$2:$L$1001,$Z190)&amp;"")</f>
        <v/>
      </c>
      <c r="L190">
        <f>IF($Z190="","",INDEX('Per Line'!$M$2:$M$1001,$Z190)&amp;"")</f>
        <v/>
      </c>
      <c r="M190">
        <f>IF($Z190="","",INDEX('Per Line'!$P$2:$P$1001,$Z190))</f>
        <v/>
      </c>
      <c r="N190" s="7">
        <f>IF($Z190="","",M190*X190/100)</f>
        <v/>
      </c>
      <c r="O190" s="7">
        <f>IF($Z190="","",SUMIFS('Per Line'!$Y$2:$Y$1001,'Per Line'!$D$2:$D$1001,$B190,'Per Line'!$AP$2:$AP$1001,1))</f>
        <v/>
      </c>
      <c r="P190">
        <f>IF($Z190="","",Settings!$C$7)</f>
        <v/>
      </c>
      <c r="Q190" s="7">
        <f>IF($Z190="","",SUMIFS('Per Line'!$Y$2:$Y$1001,'Per Line'!$D$2:$D$1001,$B190,'Per Line'!$AO$2:$AO$1001,0,'Per Line'!$AP$2:$AP$1001,0))</f>
        <v/>
      </c>
      <c r="R190" s="7">
        <f>IF($Z190="","",Q190*P190)</f>
        <v/>
      </c>
      <c r="S190">
        <f>IF($Z190="","",Settings!$C$6)</f>
        <v/>
      </c>
      <c r="T190" s="7">
        <f>IF($Z190="","",SUMIFS('Per Line'!$Y$2:$Y$1001,'Per Line'!$D$2:$D$1001,$B190,'Per Line'!$AO$2:$AO$1001,1,'Per Line'!$AP$2:$AP$1001,0))</f>
        <v/>
      </c>
      <c r="U190" s="7">
        <f>IF($Z190="","",T190*S190)</f>
        <v/>
      </c>
      <c r="V190" s="7">
        <f>IF($Z190="","",U190+R190)</f>
        <v/>
      </c>
      <c r="W190" s="7">
        <f>IF($Z190="","",X190-V190)</f>
        <v/>
      </c>
      <c r="X190" s="7">
        <f>IF($Z190="","",Q190+T190+O190)</f>
        <v/>
      </c>
      <c r="Y190" s="7">
        <f>IF($Z190="","",X190-V190-N190)</f>
        <v/>
      </c>
      <c r="Z190" s="13">
        <f>IF(ROWS($Z$2:$Z190)&lt;=MAX('Per Line'!$AN$2:$AN$1001),MATCH(ROWS($Z$2:$Z190),'Per Line'!$AN$2:$AN$1001,0),"")</f>
        <v/>
      </c>
    </row>
    <row r="191">
      <c r="A191" s="12" t="n"/>
      <c r="B191">
        <f>IF($Z191="","",INDEX('Per Line'!$D$2:$D$1001,$Z191)&amp;"")</f>
        <v/>
      </c>
      <c r="C191">
        <f>IF($Z191="","",INDEX('Per Line'!$B$2:$B$1001,$Z191)&amp;"")</f>
        <v/>
      </c>
      <c r="D191">
        <f>IF($Z191="","",INDEX('Per Line'!$A$2:$A$1001,$Z191))</f>
        <v/>
      </c>
      <c r="E191">
        <f>IF($Z191="","",INDEX('Per Line'!$E$2:$E$1001,$Z191)&amp;"")</f>
        <v/>
      </c>
      <c r="F191">
        <f>IF($Z191="","",INDEX('Per Line'!$F$2:$F$1001,$Z191)&amp;"")</f>
        <v/>
      </c>
      <c r="G191" s="11">
        <f>IF($Z191="","",INDEX('Per Line'!$G$2:$G$1001,$Z191))</f>
        <v/>
      </c>
      <c r="H191">
        <f>IF($Z191="","",INDEX('Per Line'!$I$2:$I$1001,$Z191)&amp;"")</f>
        <v/>
      </c>
      <c r="I191">
        <f>IF($Z191="","",INDEX('Per Line'!$J$2:$J$1001,$Z191)&amp;"")</f>
        <v/>
      </c>
      <c r="J191">
        <f>IF($Z191="","",INDEX('Per Line'!$K$2:$K$1001,$Z191)&amp;"")</f>
        <v/>
      </c>
      <c r="K191">
        <f>IF($Z191="","",INDEX('Per Line'!$L$2:$L$1001,$Z191)&amp;"")</f>
        <v/>
      </c>
      <c r="L191">
        <f>IF($Z191="","",INDEX('Per Line'!$M$2:$M$1001,$Z191)&amp;"")</f>
        <v/>
      </c>
      <c r="M191">
        <f>IF($Z191="","",INDEX('Per Line'!$P$2:$P$1001,$Z191))</f>
        <v/>
      </c>
      <c r="N191" s="7">
        <f>IF($Z191="","",M191*X191/100)</f>
        <v/>
      </c>
      <c r="O191" s="7">
        <f>IF($Z191="","",SUMIFS('Per Line'!$Y$2:$Y$1001,'Per Line'!$D$2:$D$1001,$B191,'Per Line'!$AP$2:$AP$1001,1))</f>
        <v/>
      </c>
      <c r="P191">
        <f>IF($Z191="","",Settings!$C$7)</f>
        <v/>
      </c>
      <c r="Q191" s="7">
        <f>IF($Z191="","",SUMIFS('Per Line'!$Y$2:$Y$1001,'Per Line'!$D$2:$D$1001,$B191,'Per Line'!$AO$2:$AO$1001,0,'Per Line'!$AP$2:$AP$1001,0))</f>
        <v/>
      </c>
      <c r="R191" s="7">
        <f>IF($Z191="","",Q191*P191)</f>
        <v/>
      </c>
      <c r="S191">
        <f>IF($Z191="","",Settings!$C$6)</f>
        <v/>
      </c>
      <c r="T191" s="7">
        <f>IF($Z191="","",SUMIFS('Per Line'!$Y$2:$Y$1001,'Per Line'!$D$2:$D$1001,$B191,'Per Line'!$AO$2:$AO$1001,1,'Per Line'!$AP$2:$AP$1001,0))</f>
        <v/>
      </c>
      <c r="U191" s="7">
        <f>IF($Z191="","",T191*S191)</f>
        <v/>
      </c>
      <c r="V191" s="7">
        <f>IF($Z191="","",U191+R191)</f>
        <v/>
      </c>
      <c r="W191" s="7">
        <f>IF($Z191="","",X191-V191)</f>
        <v/>
      </c>
      <c r="X191" s="7">
        <f>IF($Z191="","",Q191+T191+O191)</f>
        <v/>
      </c>
      <c r="Y191" s="7">
        <f>IF($Z191="","",X191-V191-N191)</f>
        <v/>
      </c>
      <c r="Z191" s="13">
        <f>IF(ROWS($Z$2:$Z191)&lt;=MAX('Per Line'!$AN$2:$AN$1001),MATCH(ROWS($Z$2:$Z191),'Per Line'!$AN$2:$AN$1001,0),"")</f>
        <v/>
      </c>
    </row>
    <row r="192">
      <c r="A192" s="12" t="n"/>
      <c r="B192">
        <f>IF($Z192="","",INDEX('Per Line'!$D$2:$D$1001,$Z192)&amp;"")</f>
        <v/>
      </c>
      <c r="C192">
        <f>IF($Z192="","",INDEX('Per Line'!$B$2:$B$1001,$Z192)&amp;"")</f>
        <v/>
      </c>
      <c r="D192">
        <f>IF($Z192="","",INDEX('Per Line'!$A$2:$A$1001,$Z192))</f>
        <v/>
      </c>
      <c r="E192">
        <f>IF($Z192="","",INDEX('Per Line'!$E$2:$E$1001,$Z192)&amp;"")</f>
        <v/>
      </c>
      <c r="F192">
        <f>IF($Z192="","",INDEX('Per Line'!$F$2:$F$1001,$Z192)&amp;"")</f>
        <v/>
      </c>
      <c r="G192" s="11">
        <f>IF($Z192="","",INDEX('Per Line'!$G$2:$G$1001,$Z192))</f>
        <v/>
      </c>
      <c r="H192">
        <f>IF($Z192="","",INDEX('Per Line'!$I$2:$I$1001,$Z192)&amp;"")</f>
        <v/>
      </c>
      <c r="I192">
        <f>IF($Z192="","",INDEX('Per Line'!$J$2:$J$1001,$Z192)&amp;"")</f>
        <v/>
      </c>
      <c r="J192">
        <f>IF($Z192="","",INDEX('Per Line'!$K$2:$K$1001,$Z192)&amp;"")</f>
        <v/>
      </c>
      <c r="K192">
        <f>IF($Z192="","",INDEX('Per Line'!$L$2:$L$1001,$Z192)&amp;"")</f>
        <v/>
      </c>
      <c r="L192">
        <f>IF($Z192="","",INDEX('Per Line'!$M$2:$M$1001,$Z192)&amp;"")</f>
        <v/>
      </c>
      <c r="M192">
        <f>IF($Z192="","",INDEX('Per Line'!$P$2:$P$1001,$Z192))</f>
        <v/>
      </c>
      <c r="N192" s="7">
        <f>IF($Z192="","",M192*X192/100)</f>
        <v/>
      </c>
      <c r="O192" s="7">
        <f>IF($Z192="","",SUMIFS('Per Line'!$Y$2:$Y$1001,'Per Line'!$D$2:$D$1001,$B192,'Per Line'!$AP$2:$AP$1001,1))</f>
        <v/>
      </c>
      <c r="P192">
        <f>IF($Z192="","",Settings!$C$7)</f>
        <v/>
      </c>
      <c r="Q192" s="7">
        <f>IF($Z192="","",SUMIFS('Per Line'!$Y$2:$Y$1001,'Per Line'!$D$2:$D$1001,$B192,'Per Line'!$AO$2:$AO$1001,0,'Per Line'!$AP$2:$AP$1001,0))</f>
        <v/>
      </c>
      <c r="R192" s="7">
        <f>IF($Z192="","",Q192*P192)</f>
        <v/>
      </c>
      <c r="S192">
        <f>IF($Z192="","",Settings!$C$6)</f>
        <v/>
      </c>
      <c r="T192" s="7">
        <f>IF($Z192="","",SUMIFS('Per Line'!$Y$2:$Y$1001,'Per Line'!$D$2:$D$1001,$B192,'Per Line'!$AO$2:$AO$1001,1,'Per Line'!$AP$2:$AP$1001,0))</f>
        <v/>
      </c>
      <c r="U192" s="7">
        <f>IF($Z192="","",T192*S192)</f>
        <v/>
      </c>
      <c r="V192" s="7">
        <f>IF($Z192="","",U192+R192)</f>
        <v/>
      </c>
      <c r="W192" s="7">
        <f>IF($Z192="","",X192-V192)</f>
        <v/>
      </c>
      <c r="X192" s="7">
        <f>IF($Z192="","",Q192+T192+O192)</f>
        <v/>
      </c>
      <c r="Y192" s="7">
        <f>IF($Z192="","",X192-V192-N192)</f>
        <v/>
      </c>
      <c r="Z192" s="13">
        <f>IF(ROWS($Z$2:$Z192)&lt;=MAX('Per Line'!$AN$2:$AN$1001),MATCH(ROWS($Z$2:$Z192),'Per Line'!$AN$2:$AN$1001,0),"")</f>
        <v/>
      </c>
    </row>
    <row r="193">
      <c r="A193" s="12" t="n"/>
      <c r="B193">
        <f>IF($Z193="","",INDEX('Per Line'!$D$2:$D$1001,$Z193)&amp;"")</f>
        <v/>
      </c>
      <c r="C193">
        <f>IF($Z193="","",INDEX('Per Line'!$B$2:$B$1001,$Z193)&amp;"")</f>
        <v/>
      </c>
      <c r="D193">
        <f>IF($Z193="","",INDEX('Per Line'!$A$2:$A$1001,$Z193))</f>
        <v/>
      </c>
      <c r="E193">
        <f>IF($Z193="","",INDEX('Per Line'!$E$2:$E$1001,$Z193)&amp;"")</f>
        <v/>
      </c>
      <c r="F193">
        <f>IF($Z193="","",INDEX('Per Line'!$F$2:$F$1001,$Z193)&amp;"")</f>
        <v/>
      </c>
      <c r="G193" s="11">
        <f>IF($Z193="","",INDEX('Per Line'!$G$2:$G$1001,$Z193))</f>
        <v/>
      </c>
      <c r="H193">
        <f>IF($Z193="","",INDEX('Per Line'!$I$2:$I$1001,$Z193)&amp;"")</f>
        <v/>
      </c>
      <c r="I193">
        <f>IF($Z193="","",INDEX('Per Line'!$J$2:$J$1001,$Z193)&amp;"")</f>
        <v/>
      </c>
      <c r="J193">
        <f>IF($Z193="","",INDEX('Per Line'!$K$2:$K$1001,$Z193)&amp;"")</f>
        <v/>
      </c>
      <c r="K193">
        <f>IF($Z193="","",INDEX('Per Line'!$L$2:$L$1001,$Z193)&amp;"")</f>
        <v/>
      </c>
      <c r="L193">
        <f>IF($Z193="","",INDEX('Per Line'!$M$2:$M$1001,$Z193)&amp;"")</f>
        <v/>
      </c>
      <c r="M193">
        <f>IF($Z193="","",INDEX('Per Line'!$P$2:$P$1001,$Z193))</f>
        <v/>
      </c>
      <c r="N193" s="7">
        <f>IF($Z193="","",M193*X193/100)</f>
        <v/>
      </c>
      <c r="O193" s="7">
        <f>IF($Z193="","",SUMIFS('Per Line'!$Y$2:$Y$1001,'Per Line'!$D$2:$D$1001,$B193,'Per Line'!$AP$2:$AP$1001,1))</f>
        <v/>
      </c>
      <c r="P193">
        <f>IF($Z193="","",Settings!$C$7)</f>
        <v/>
      </c>
      <c r="Q193" s="7">
        <f>IF($Z193="","",SUMIFS('Per Line'!$Y$2:$Y$1001,'Per Line'!$D$2:$D$1001,$B193,'Per Line'!$AO$2:$AO$1001,0,'Per Line'!$AP$2:$AP$1001,0))</f>
        <v/>
      </c>
      <c r="R193" s="7">
        <f>IF($Z193="","",Q193*P193)</f>
        <v/>
      </c>
      <c r="S193">
        <f>IF($Z193="","",Settings!$C$6)</f>
        <v/>
      </c>
      <c r="T193" s="7">
        <f>IF($Z193="","",SUMIFS('Per Line'!$Y$2:$Y$1001,'Per Line'!$D$2:$D$1001,$B193,'Per Line'!$AO$2:$AO$1001,1,'Per Line'!$AP$2:$AP$1001,0))</f>
        <v/>
      </c>
      <c r="U193" s="7">
        <f>IF($Z193="","",T193*S193)</f>
        <v/>
      </c>
      <c r="V193" s="7">
        <f>IF($Z193="","",U193+R193)</f>
        <v/>
      </c>
      <c r="W193" s="7">
        <f>IF($Z193="","",X193-V193)</f>
        <v/>
      </c>
      <c r="X193" s="7">
        <f>IF($Z193="","",Q193+T193+O193)</f>
        <v/>
      </c>
      <c r="Y193" s="7">
        <f>IF($Z193="","",X193-V193-N193)</f>
        <v/>
      </c>
      <c r="Z193" s="13">
        <f>IF(ROWS($Z$2:$Z193)&lt;=MAX('Per Line'!$AN$2:$AN$1001),MATCH(ROWS($Z$2:$Z193),'Per Line'!$AN$2:$AN$1001,0),"")</f>
        <v/>
      </c>
    </row>
    <row r="194">
      <c r="A194" s="12" t="n"/>
      <c r="B194">
        <f>IF($Z194="","",INDEX('Per Line'!$D$2:$D$1001,$Z194)&amp;"")</f>
        <v/>
      </c>
      <c r="C194">
        <f>IF($Z194="","",INDEX('Per Line'!$B$2:$B$1001,$Z194)&amp;"")</f>
        <v/>
      </c>
      <c r="D194">
        <f>IF($Z194="","",INDEX('Per Line'!$A$2:$A$1001,$Z194))</f>
        <v/>
      </c>
      <c r="E194">
        <f>IF($Z194="","",INDEX('Per Line'!$E$2:$E$1001,$Z194)&amp;"")</f>
        <v/>
      </c>
      <c r="F194">
        <f>IF($Z194="","",INDEX('Per Line'!$F$2:$F$1001,$Z194)&amp;"")</f>
        <v/>
      </c>
      <c r="G194" s="11">
        <f>IF($Z194="","",INDEX('Per Line'!$G$2:$G$1001,$Z194))</f>
        <v/>
      </c>
      <c r="H194">
        <f>IF($Z194="","",INDEX('Per Line'!$I$2:$I$1001,$Z194)&amp;"")</f>
        <v/>
      </c>
      <c r="I194">
        <f>IF($Z194="","",INDEX('Per Line'!$J$2:$J$1001,$Z194)&amp;"")</f>
        <v/>
      </c>
      <c r="J194">
        <f>IF($Z194="","",INDEX('Per Line'!$K$2:$K$1001,$Z194)&amp;"")</f>
        <v/>
      </c>
      <c r="K194">
        <f>IF($Z194="","",INDEX('Per Line'!$L$2:$L$1001,$Z194)&amp;"")</f>
        <v/>
      </c>
      <c r="L194">
        <f>IF($Z194="","",INDEX('Per Line'!$M$2:$M$1001,$Z194)&amp;"")</f>
        <v/>
      </c>
      <c r="M194">
        <f>IF($Z194="","",INDEX('Per Line'!$P$2:$P$1001,$Z194))</f>
        <v/>
      </c>
      <c r="N194" s="7">
        <f>IF($Z194="","",M194*X194/100)</f>
        <v/>
      </c>
      <c r="O194" s="7">
        <f>IF($Z194="","",SUMIFS('Per Line'!$Y$2:$Y$1001,'Per Line'!$D$2:$D$1001,$B194,'Per Line'!$AP$2:$AP$1001,1))</f>
        <v/>
      </c>
      <c r="P194">
        <f>IF($Z194="","",Settings!$C$7)</f>
        <v/>
      </c>
      <c r="Q194" s="7">
        <f>IF($Z194="","",SUMIFS('Per Line'!$Y$2:$Y$1001,'Per Line'!$D$2:$D$1001,$B194,'Per Line'!$AO$2:$AO$1001,0,'Per Line'!$AP$2:$AP$1001,0))</f>
        <v/>
      </c>
      <c r="R194" s="7">
        <f>IF($Z194="","",Q194*P194)</f>
        <v/>
      </c>
      <c r="S194">
        <f>IF($Z194="","",Settings!$C$6)</f>
        <v/>
      </c>
      <c r="T194" s="7">
        <f>IF($Z194="","",SUMIFS('Per Line'!$Y$2:$Y$1001,'Per Line'!$D$2:$D$1001,$B194,'Per Line'!$AO$2:$AO$1001,1,'Per Line'!$AP$2:$AP$1001,0))</f>
        <v/>
      </c>
      <c r="U194" s="7">
        <f>IF($Z194="","",T194*S194)</f>
        <v/>
      </c>
      <c r="V194" s="7">
        <f>IF($Z194="","",U194+R194)</f>
        <v/>
      </c>
      <c r="W194" s="7">
        <f>IF($Z194="","",X194-V194)</f>
        <v/>
      </c>
      <c r="X194" s="7">
        <f>IF($Z194="","",Q194+T194+O194)</f>
        <v/>
      </c>
      <c r="Y194" s="7">
        <f>IF($Z194="","",X194-V194-N194)</f>
        <v/>
      </c>
      <c r="Z194" s="13">
        <f>IF(ROWS($Z$2:$Z194)&lt;=MAX('Per Line'!$AN$2:$AN$1001),MATCH(ROWS($Z$2:$Z194),'Per Line'!$AN$2:$AN$1001,0),"")</f>
        <v/>
      </c>
    </row>
    <row r="195">
      <c r="A195" s="12" t="n"/>
      <c r="B195">
        <f>IF($Z195="","",INDEX('Per Line'!$D$2:$D$1001,$Z195)&amp;"")</f>
        <v/>
      </c>
      <c r="C195">
        <f>IF($Z195="","",INDEX('Per Line'!$B$2:$B$1001,$Z195)&amp;"")</f>
        <v/>
      </c>
      <c r="D195">
        <f>IF($Z195="","",INDEX('Per Line'!$A$2:$A$1001,$Z195))</f>
        <v/>
      </c>
      <c r="E195">
        <f>IF($Z195="","",INDEX('Per Line'!$E$2:$E$1001,$Z195)&amp;"")</f>
        <v/>
      </c>
      <c r="F195">
        <f>IF($Z195="","",INDEX('Per Line'!$F$2:$F$1001,$Z195)&amp;"")</f>
        <v/>
      </c>
      <c r="G195" s="11">
        <f>IF($Z195="","",INDEX('Per Line'!$G$2:$G$1001,$Z195))</f>
        <v/>
      </c>
      <c r="H195">
        <f>IF($Z195="","",INDEX('Per Line'!$I$2:$I$1001,$Z195)&amp;"")</f>
        <v/>
      </c>
      <c r="I195">
        <f>IF($Z195="","",INDEX('Per Line'!$J$2:$J$1001,$Z195)&amp;"")</f>
        <v/>
      </c>
      <c r="J195">
        <f>IF($Z195="","",INDEX('Per Line'!$K$2:$K$1001,$Z195)&amp;"")</f>
        <v/>
      </c>
      <c r="K195">
        <f>IF($Z195="","",INDEX('Per Line'!$L$2:$L$1001,$Z195)&amp;"")</f>
        <v/>
      </c>
      <c r="L195">
        <f>IF($Z195="","",INDEX('Per Line'!$M$2:$M$1001,$Z195)&amp;"")</f>
        <v/>
      </c>
      <c r="M195">
        <f>IF($Z195="","",INDEX('Per Line'!$P$2:$P$1001,$Z195))</f>
        <v/>
      </c>
      <c r="N195" s="7">
        <f>IF($Z195="","",M195*X195/100)</f>
        <v/>
      </c>
      <c r="O195" s="7">
        <f>IF($Z195="","",SUMIFS('Per Line'!$Y$2:$Y$1001,'Per Line'!$D$2:$D$1001,$B195,'Per Line'!$AP$2:$AP$1001,1))</f>
        <v/>
      </c>
      <c r="P195">
        <f>IF($Z195="","",Settings!$C$7)</f>
        <v/>
      </c>
      <c r="Q195" s="7">
        <f>IF($Z195="","",SUMIFS('Per Line'!$Y$2:$Y$1001,'Per Line'!$D$2:$D$1001,$B195,'Per Line'!$AO$2:$AO$1001,0,'Per Line'!$AP$2:$AP$1001,0))</f>
        <v/>
      </c>
      <c r="R195" s="7">
        <f>IF($Z195="","",Q195*P195)</f>
        <v/>
      </c>
      <c r="S195">
        <f>IF($Z195="","",Settings!$C$6)</f>
        <v/>
      </c>
      <c r="T195" s="7">
        <f>IF($Z195="","",SUMIFS('Per Line'!$Y$2:$Y$1001,'Per Line'!$D$2:$D$1001,$B195,'Per Line'!$AO$2:$AO$1001,1,'Per Line'!$AP$2:$AP$1001,0))</f>
        <v/>
      </c>
      <c r="U195" s="7">
        <f>IF($Z195="","",T195*S195)</f>
        <v/>
      </c>
      <c r="V195" s="7">
        <f>IF($Z195="","",U195+R195)</f>
        <v/>
      </c>
      <c r="W195" s="7">
        <f>IF($Z195="","",X195-V195)</f>
        <v/>
      </c>
      <c r="X195" s="7">
        <f>IF($Z195="","",Q195+T195+O195)</f>
        <v/>
      </c>
      <c r="Y195" s="7">
        <f>IF($Z195="","",X195-V195-N195)</f>
        <v/>
      </c>
      <c r="Z195" s="13">
        <f>IF(ROWS($Z$2:$Z195)&lt;=MAX('Per Line'!$AN$2:$AN$1001),MATCH(ROWS($Z$2:$Z195),'Per Line'!$AN$2:$AN$1001,0),"")</f>
        <v/>
      </c>
    </row>
    <row r="196">
      <c r="A196" s="12" t="n"/>
      <c r="B196">
        <f>IF($Z196="","",INDEX('Per Line'!$D$2:$D$1001,$Z196)&amp;"")</f>
        <v/>
      </c>
      <c r="C196">
        <f>IF($Z196="","",INDEX('Per Line'!$B$2:$B$1001,$Z196)&amp;"")</f>
        <v/>
      </c>
      <c r="D196">
        <f>IF($Z196="","",INDEX('Per Line'!$A$2:$A$1001,$Z196))</f>
        <v/>
      </c>
      <c r="E196">
        <f>IF($Z196="","",INDEX('Per Line'!$E$2:$E$1001,$Z196)&amp;"")</f>
        <v/>
      </c>
      <c r="F196">
        <f>IF($Z196="","",INDEX('Per Line'!$F$2:$F$1001,$Z196)&amp;"")</f>
        <v/>
      </c>
      <c r="G196" s="11">
        <f>IF($Z196="","",INDEX('Per Line'!$G$2:$G$1001,$Z196))</f>
        <v/>
      </c>
      <c r="H196">
        <f>IF($Z196="","",INDEX('Per Line'!$I$2:$I$1001,$Z196)&amp;"")</f>
        <v/>
      </c>
      <c r="I196">
        <f>IF($Z196="","",INDEX('Per Line'!$J$2:$J$1001,$Z196)&amp;"")</f>
        <v/>
      </c>
      <c r="J196">
        <f>IF($Z196="","",INDEX('Per Line'!$K$2:$K$1001,$Z196)&amp;"")</f>
        <v/>
      </c>
      <c r="K196">
        <f>IF($Z196="","",INDEX('Per Line'!$L$2:$L$1001,$Z196)&amp;"")</f>
        <v/>
      </c>
      <c r="L196">
        <f>IF($Z196="","",INDEX('Per Line'!$M$2:$M$1001,$Z196)&amp;"")</f>
        <v/>
      </c>
      <c r="M196">
        <f>IF($Z196="","",INDEX('Per Line'!$P$2:$P$1001,$Z196))</f>
        <v/>
      </c>
      <c r="N196" s="7">
        <f>IF($Z196="","",M196*X196/100)</f>
        <v/>
      </c>
      <c r="O196" s="7">
        <f>IF($Z196="","",SUMIFS('Per Line'!$Y$2:$Y$1001,'Per Line'!$D$2:$D$1001,$B196,'Per Line'!$AP$2:$AP$1001,1))</f>
        <v/>
      </c>
      <c r="P196">
        <f>IF($Z196="","",Settings!$C$7)</f>
        <v/>
      </c>
      <c r="Q196" s="7">
        <f>IF($Z196="","",SUMIFS('Per Line'!$Y$2:$Y$1001,'Per Line'!$D$2:$D$1001,$B196,'Per Line'!$AO$2:$AO$1001,0,'Per Line'!$AP$2:$AP$1001,0))</f>
        <v/>
      </c>
      <c r="R196" s="7">
        <f>IF($Z196="","",Q196*P196)</f>
        <v/>
      </c>
      <c r="S196">
        <f>IF($Z196="","",Settings!$C$6)</f>
        <v/>
      </c>
      <c r="T196" s="7">
        <f>IF($Z196="","",SUMIFS('Per Line'!$Y$2:$Y$1001,'Per Line'!$D$2:$D$1001,$B196,'Per Line'!$AO$2:$AO$1001,1,'Per Line'!$AP$2:$AP$1001,0))</f>
        <v/>
      </c>
      <c r="U196" s="7">
        <f>IF($Z196="","",T196*S196)</f>
        <v/>
      </c>
      <c r="V196" s="7">
        <f>IF($Z196="","",U196+R196)</f>
        <v/>
      </c>
      <c r="W196" s="7">
        <f>IF($Z196="","",X196-V196)</f>
        <v/>
      </c>
      <c r="X196" s="7">
        <f>IF($Z196="","",Q196+T196+O196)</f>
        <v/>
      </c>
      <c r="Y196" s="7">
        <f>IF($Z196="","",X196-V196-N196)</f>
        <v/>
      </c>
      <c r="Z196" s="13">
        <f>IF(ROWS($Z$2:$Z196)&lt;=MAX('Per Line'!$AN$2:$AN$1001),MATCH(ROWS($Z$2:$Z196),'Per Line'!$AN$2:$AN$1001,0),"")</f>
        <v/>
      </c>
    </row>
    <row r="197">
      <c r="A197" s="12" t="n"/>
      <c r="B197">
        <f>IF($Z197="","",INDEX('Per Line'!$D$2:$D$1001,$Z197)&amp;"")</f>
        <v/>
      </c>
      <c r="C197">
        <f>IF($Z197="","",INDEX('Per Line'!$B$2:$B$1001,$Z197)&amp;"")</f>
        <v/>
      </c>
      <c r="D197">
        <f>IF($Z197="","",INDEX('Per Line'!$A$2:$A$1001,$Z197))</f>
        <v/>
      </c>
      <c r="E197">
        <f>IF($Z197="","",INDEX('Per Line'!$E$2:$E$1001,$Z197)&amp;"")</f>
        <v/>
      </c>
      <c r="F197">
        <f>IF($Z197="","",INDEX('Per Line'!$F$2:$F$1001,$Z197)&amp;"")</f>
        <v/>
      </c>
      <c r="G197" s="11">
        <f>IF($Z197="","",INDEX('Per Line'!$G$2:$G$1001,$Z197))</f>
        <v/>
      </c>
      <c r="H197">
        <f>IF($Z197="","",INDEX('Per Line'!$I$2:$I$1001,$Z197)&amp;"")</f>
        <v/>
      </c>
      <c r="I197">
        <f>IF($Z197="","",INDEX('Per Line'!$J$2:$J$1001,$Z197)&amp;"")</f>
        <v/>
      </c>
      <c r="J197">
        <f>IF($Z197="","",INDEX('Per Line'!$K$2:$K$1001,$Z197)&amp;"")</f>
        <v/>
      </c>
      <c r="K197">
        <f>IF($Z197="","",INDEX('Per Line'!$L$2:$L$1001,$Z197)&amp;"")</f>
        <v/>
      </c>
      <c r="L197">
        <f>IF($Z197="","",INDEX('Per Line'!$M$2:$M$1001,$Z197)&amp;"")</f>
        <v/>
      </c>
      <c r="M197">
        <f>IF($Z197="","",INDEX('Per Line'!$P$2:$P$1001,$Z197))</f>
        <v/>
      </c>
      <c r="N197" s="7">
        <f>IF($Z197="","",M197*X197/100)</f>
        <v/>
      </c>
      <c r="O197" s="7">
        <f>IF($Z197="","",SUMIFS('Per Line'!$Y$2:$Y$1001,'Per Line'!$D$2:$D$1001,$B197,'Per Line'!$AP$2:$AP$1001,1))</f>
        <v/>
      </c>
      <c r="P197">
        <f>IF($Z197="","",Settings!$C$7)</f>
        <v/>
      </c>
      <c r="Q197" s="7">
        <f>IF($Z197="","",SUMIFS('Per Line'!$Y$2:$Y$1001,'Per Line'!$D$2:$D$1001,$B197,'Per Line'!$AO$2:$AO$1001,0,'Per Line'!$AP$2:$AP$1001,0))</f>
        <v/>
      </c>
      <c r="R197" s="7">
        <f>IF($Z197="","",Q197*P197)</f>
        <v/>
      </c>
      <c r="S197">
        <f>IF($Z197="","",Settings!$C$6)</f>
        <v/>
      </c>
      <c r="T197" s="7">
        <f>IF($Z197="","",SUMIFS('Per Line'!$Y$2:$Y$1001,'Per Line'!$D$2:$D$1001,$B197,'Per Line'!$AO$2:$AO$1001,1,'Per Line'!$AP$2:$AP$1001,0))</f>
        <v/>
      </c>
      <c r="U197" s="7">
        <f>IF($Z197="","",T197*S197)</f>
        <v/>
      </c>
      <c r="V197" s="7">
        <f>IF($Z197="","",U197+R197)</f>
        <v/>
      </c>
      <c r="W197" s="7">
        <f>IF($Z197="","",X197-V197)</f>
        <v/>
      </c>
      <c r="X197" s="7">
        <f>IF($Z197="","",Q197+T197+O197)</f>
        <v/>
      </c>
      <c r="Y197" s="7">
        <f>IF($Z197="","",X197-V197-N197)</f>
        <v/>
      </c>
      <c r="Z197" s="13">
        <f>IF(ROWS($Z$2:$Z197)&lt;=MAX('Per Line'!$AN$2:$AN$1001),MATCH(ROWS($Z$2:$Z197),'Per Line'!$AN$2:$AN$1001,0),"")</f>
        <v/>
      </c>
    </row>
    <row r="198">
      <c r="A198" s="12" t="n"/>
      <c r="B198">
        <f>IF($Z198="","",INDEX('Per Line'!$D$2:$D$1001,$Z198)&amp;"")</f>
        <v/>
      </c>
      <c r="C198">
        <f>IF($Z198="","",INDEX('Per Line'!$B$2:$B$1001,$Z198)&amp;"")</f>
        <v/>
      </c>
      <c r="D198">
        <f>IF($Z198="","",INDEX('Per Line'!$A$2:$A$1001,$Z198))</f>
        <v/>
      </c>
      <c r="E198">
        <f>IF($Z198="","",INDEX('Per Line'!$E$2:$E$1001,$Z198)&amp;"")</f>
        <v/>
      </c>
      <c r="F198">
        <f>IF($Z198="","",INDEX('Per Line'!$F$2:$F$1001,$Z198)&amp;"")</f>
        <v/>
      </c>
      <c r="G198" s="11">
        <f>IF($Z198="","",INDEX('Per Line'!$G$2:$G$1001,$Z198))</f>
        <v/>
      </c>
      <c r="H198">
        <f>IF($Z198="","",INDEX('Per Line'!$I$2:$I$1001,$Z198)&amp;"")</f>
        <v/>
      </c>
      <c r="I198">
        <f>IF($Z198="","",INDEX('Per Line'!$J$2:$J$1001,$Z198)&amp;"")</f>
        <v/>
      </c>
      <c r="J198">
        <f>IF($Z198="","",INDEX('Per Line'!$K$2:$K$1001,$Z198)&amp;"")</f>
        <v/>
      </c>
      <c r="K198">
        <f>IF($Z198="","",INDEX('Per Line'!$L$2:$L$1001,$Z198)&amp;"")</f>
        <v/>
      </c>
      <c r="L198">
        <f>IF($Z198="","",INDEX('Per Line'!$M$2:$M$1001,$Z198)&amp;"")</f>
        <v/>
      </c>
      <c r="M198">
        <f>IF($Z198="","",INDEX('Per Line'!$P$2:$P$1001,$Z198))</f>
        <v/>
      </c>
      <c r="N198" s="7">
        <f>IF($Z198="","",M198*X198/100)</f>
        <v/>
      </c>
      <c r="O198" s="7">
        <f>IF($Z198="","",SUMIFS('Per Line'!$Y$2:$Y$1001,'Per Line'!$D$2:$D$1001,$B198,'Per Line'!$AP$2:$AP$1001,1))</f>
        <v/>
      </c>
      <c r="P198">
        <f>IF($Z198="","",Settings!$C$7)</f>
        <v/>
      </c>
      <c r="Q198" s="7">
        <f>IF($Z198="","",SUMIFS('Per Line'!$Y$2:$Y$1001,'Per Line'!$D$2:$D$1001,$B198,'Per Line'!$AO$2:$AO$1001,0,'Per Line'!$AP$2:$AP$1001,0))</f>
        <v/>
      </c>
      <c r="R198" s="7">
        <f>IF($Z198="","",Q198*P198)</f>
        <v/>
      </c>
      <c r="S198">
        <f>IF($Z198="","",Settings!$C$6)</f>
        <v/>
      </c>
      <c r="T198" s="7">
        <f>IF($Z198="","",SUMIFS('Per Line'!$Y$2:$Y$1001,'Per Line'!$D$2:$D$1001,$B198,'Per Line'!$AO$2:$AO$1001,1,'Per Line'!$AP$2:$AP$1001,0))</f>
        <v/>
      </c>
      <c r="U198" s="7">
        <f>IF($Z198="","",T198*S198)</f>
        <v/>
      </c>
      <c r="V198" s="7">
        <f>IF($Z198="","",U198+R198)</f>
        <v/>
      </c>
      <c r="W198" s="7">
        <f>IF($Z198="","",X198-V198)</f>
        <v/>
      </c>
      <c r="X198" s="7">
        <f>IF($Z198="","",Q198+T198+O198)</f>
        <v/>
      </c>
      <c r="Y198" s="7">
        <f>IF($Z198="","",X198-V198-N198)</f>
        <v/>
      </c>
      <c r="Z198" s="13">
        <f>IF(ROWS($Z$2:$Z198)&lt;=MAX('Per Line'!$AN$2:$AN$1001),MATCH(ROWS($Z$2:$Z198),'Per Line'!$AN$2:$AN$1001,0),"")</f>
        <v/>
      </c>
    </row>
    <row r="199">
      <c r="A199" s="12" t="n"/>
      <c r="B199">
        <f>IF($Z199="","",INDEX('Per Line'!$D$2:$D$1001,$Z199)&amp;"")</f>
        <v/>
      </c>
      <c r="C199">
        <f>IF($Z199="","",INDEX('Per Line'!$B$2:$B$1001,$Z199)&amp;"")</f>
        <v/>
      </c>
      <c r="D199">
        <f>IF($Z199="","",INDEX('Per Line'!$A$2:$A$1001,$Z199))</f>
        <v/>
      </c>
      <c r="E199">
        <f>IF($Z199="","",INDEX('Per Line'!$E$2:$E$1001,$Z199)&amp;"")</f>
        <v/>
      </c>
      <c r="F199">
        <f>IF($Z199="","",INDEX('Per Line'!$F$2:$F$1001,$Z199)&amp;"")</f>
        <v/>
      </c>
      <c r="G199" s="11">
        <f>IF($Z199="","",INDEX('Per Line'!$G$2:$G$1001,$Z199))</f>
        <v/>
      </c>
      <c r="H199">
        <f>IF($Z199="","",INDEX('Per Line'!$I$2:$I$1001,$Z199)&amp;"")</f>
        <v/>
      </c>
      <c r="I199">
        <f>IF($Z199="","",INDEX('Per Line'!$J$2:$J$1001,$Z199)&amp;"")</f>
        <v/>
      </c>
      <c r="J199">
        <f>IF($Z199="","",INDEX('Per Line'!$K$2:$K$1001,$Z199)&amp;"")</f>
        <v/>
      </c>
      <c r="K199">
        <f>IF($Z199="","",INDEX('Per Line'!$L$2:$L$1001,$Z199)&amp;"")</f>
        <v/>
      </c>
      <c r="L199">
        <f>IF($Z199="","",INDEX('Per Line'!$M$2:$M$1001,$Z199)&amp;"")</f>
        <v/>
      </c>
      <c r="M199">
        <f>IF($Z199="","",INDEX('Per Line'!$P$2:$P$1001,$Z199))</f>
        <v/>
      </c>
      <c r="N199" s="7">
        <f>IF($Z199="","",M199*X199/100)</f>
        <v/>
      </c>
      <c r="O199" s="7">
        <f>IF($Z199="","",SUMIFS('Per Line'!$Y$2:$Y$1001,'Per Line'!$D$2:$D$1001,$B199,'Per Line'!$AP$2:$AP$1001,1))</f>
        <v/>
      </c>
      <c r="P199">
        <f>IF($Z199="","",Settings!$C$7)</f>
        <v/>
      </c>
      <c r="Q199" s="7">
        <f>IF($Z199="","",SUMIFS('Per Line'!$Y$2:$Y$1001,'Per Line'!$D$2:$D$1001,$B199,'Per Line'!$AO$2:$AO$1001,0,'Per Line'!$AP$2:$AP$1001,0))</f>
        <v/>
      </c>
      <c r="R199" s="7">
        <f>IF($Z199="","",Q199*P199)</f>
        <v/>
      </c>
      <c r="S199">
        <f>IF($Z199="","",Settings!$C$6)</f>
        <v/>
      </c>
      <c r="T199" s="7">
        <f>IF($Z199="","",SUMIFS('Per Line'!$Y$2:$Y$1001,'Per Line'!$D$2:$D$1001,$B199,'Per Line'!$AO$2:$AO$1001,1,'Per Line'!$AP$2:$AP$1001,0))</f>
        <v/>
      </c>
      <c r="U199" s="7">
        <f>IF($Z199="","",T199*S199)</f>
        <v/>
      </c>
      <c r="V199" s="7">
        <f>IF($Z199="","",U199+R199)</f>
        <v/>
      </c>
      <c r="W199" s="7">
        <f>IF($Z199="","",X199-V199)</f>
        <v/>
      </c>
      <c r="X199" s="7">
        <f>IF($Z199="","",Q199+T199+O199)</f>
        <v/>
      </c>
      <c r="Y199" s="7">
        <f>IF($Z199="","",X199-V199-N199)</f>
        <v/>
      </c>
      <c r="Z199" s="13">
        <f>IF(ROWS($Z$2:$Z199)&lt;=MAX('Per Line'!$AN$2:$AN$1001),MATCH(ROWS($Z$2:$Z199),'Per Line'!$AN$2:$AN$1001,0),"")</f>
        <v/>
      </c>
    </row>
    <row r="200">
      <c r="A200" s="12" t="n"/>
      <c r="B200">
        <f>IF($Z200="","",INDEX('Per Line'!$D$2:$D$1001,$Z200)&amp;"")</f>
        <v/>
      </c>
      <c r="C200">
        <f>IF($Z200="","",INDEX('Per Line'!$B$2:$B$1001,$Z200)&amp;"")</f>
        <v/>
      </c>
      <c r="D200">
        <f>IF($Z200="","",INDEX('Per Line'!$A$2:$A$1001,$Z200))</f>
        <v/>
      </c>
      <c r="E200">
        <f>IF($Z200="","",INDEX('Per Line'!$E$2:$E$1001,$Z200)&amp;"")</f>
        <v/>
      </c>
      <c r="F200">
        <f>IF($Z200="","",INDEX('Per Line'!$F$2:$F$1001,$Z200)&amp;"")</f>
        <v/>
      </c>
      <c r="G200" s="11">
        <f>IF($Z200="","",INDEX('Per Line'!$G$2:$G$1001,$Z200))</f>
        <v/>
      </c>
      <c r="H200">
        <f>IF($Z200="","",INDEX('Per Line'!$I$2:$I$1001,$Z200)&amp;"")</f>
        <v/>
      </c>
      <c r="I200">
        <f>IF($Z200="","",INDEX('Per Line'!$J$2:$J$1001,$Z200)&amp;"")</f>
        <v/>
      </c>
      <c r="J200">
        <f>IF($Z200="","",INDEX('Per Line'!$K$2:$K$1001,$Z200)&amp;"")</f>
        <v/>
      </c>
      <c r="K200">
        <f>IF($Z200="","",INDEX('Per Line'!$L$2:$L$1001,$Z200)&amp;"")</f>
        <v/>
      </c>
      <c r="L200">
        <f>IF($Z200="","",INDEX('Per Line'!$M$2:$M$1001,$Z200)&amp;"")</f>
        <v/>
      </c>
      <c r="M200">
        <f>IF($Z200="","",INDEX('Per Line'!$P$2:$P$1001,$Z200))</f>
        <v/>
      </c>
      <c r="N200" s="7">
        <f>IF($Z200="","",M200*X200/100)</f>
        <v/>
      </c>
      <c r="O200" s="7">
        <f>IF($Z200="","",SUMIFS('Per Line'!$Y$2:$Y$1001,'Per Line'!$D$2:$D$1001,$B200,'Per Line'!$AP$2:$AP$1001,1))</f>
        <v/>
      </c>
      <c r="P200">
        <f>IF($Z200="","",Settings!$C$7)</f>
        <v/>
      </c>
      <c r="Q200" s="7">
        <f>IF($Z200="","",SUMIFS('Per Line'!$Y$2:$Y$1001,'Per Line'!$D$2:$D$1001,$B200,'Per Line'!$AO$2:$AO$1001,0,'Per Line'!$AP$2:$AP$1001,0))</f>
        <v/>
      </c>
      <c r="R200" s="7">
        <f>IF($Z200="","",Q200*P200)</f>
        <v/>
      </c>
      <c r="S200">
        <f>IF($Z200="","",Settings!$C$6)</f>
        <v/>
      </c>
      <c r="T200" s="7">
        <f>IF($Z200="","",SUMIFS('Per Line'!$Y$2:$Y$1001,'Per Line'!$D$2:$D$1001,$B200,'Per Line'!$AO$2:$AO$1001,1,'Per Line'!$AP$2:$AP$1001,0))</f>
        <v/>
      </c>
      <c r="U200" s="7">
        <f>IF($Z200="","",T200*S200)</f>
        <v/>
      </c>
      <c r="V200" s="7">
        <f>IF($Z200="","",U200+R200)</f>
        <v/>
      </c>
      <c r="W200" s="7">
        <f>IF($Z200="","",X200-V200)</f>
        <v/>
      </c>
      <c r="X200" s="7">
        <f>IF($Z200="","",Q200+T200+O200)</f>
        <v/>
      </c>
      <c r="Y200" s="7">
        <f>IF($Z200="","",X200-V200-N200)</f>
        <v/>
      </c>
      <c r="Z200" s="13">
        <f>IF(ROWS($Z$2:$Z200)&lt;=MAX('Per Line'!$AN$2:$AN$1001),MATCH(ROWS($Z$2:$Z200),'Per Line'!$AN$2:$AN$1001,0),"")</f>
        <v/>
      </c>
    </row>
    <row r="201">
      <c r="A201" s="12" t="n"/>
      <c r="B201">
        <f>IF($Z201="","",INDEX('Per Line'!$D$2:$D$1001,$Z201)&amp;"")</f>
        <v/>
      </c>
      <c r="C201">
        <f>IF($Z201="","",INDEX('Per Line'!$B$2:$B$1001,$Z201)&amp;"")</f>
        <v/>
      </c>
      <c r="D201">
        <f>IF($Z201="","",INDEX('Per Line'!$A$2:$A$1001,$Z201))</f>
        <v/>
      </c>
      <c r="E201">
        <f>IF($Z201="","",INDEX('Per Line'!$E$2:$E$1001,$Z201)&amp;"")</f>
        <v/>
      </c>
      <c r="F201">
        <f>IF($Z201="","",INDEX('Per Line'!$F$2:$F$1001,$Z201)&amp;"")</f>
        <v/>
      </c>
      <c r="G201" s="11">
        <f>IF($Z201="","",INDEX('Per Line'!$G$2:$G$1001,$Z201))</f>
        <v/>
      </c>
      <c r="H201">
        <f>IF($Z201="","",INDEX('Per Line'!$I$2:$I$1001,$Z201)&amp;"")</f>
        <v/>
      </c>
      <c r="I201">
        <f>IF($Z201="","",INDEX('Per Line'!$J$2:$J$1001,$Z201)&amp;"")</f>
        <v/>
      </c>
      <c r="J201">
        <f>IF($Z201="","",INDEX('Per Line'!$K$2:$K$1001,$Z201)&amp;"")</f>
        <v/>
      </c>
      <c r="K201">
        <f>IF($Z201="","",INDEX('Per Line'!$L$2:$L$1001,$Z201)&amp;"")</f>
        <v/>
      </c>
      <c r="L201">
        <f>IF($Z201="","",INDEX('Per Line'!$M$2:$M$1001,$Z201)&amp;"")</f>
        <v/>
      </c>
      <c r="M201">
        <f>IF($Z201="","",INDEX('Per Line'!$P$2:$P$1001,$Z201))</f>
        <v/>
      </c>
      <c r="N201" s="7">
        <f>IF($Z201="","",M201*X201/100)</f>
        <v/>
      </c>
      <c r="O201" s="7">
        <f>IF($Z201="","",SUMIFS('Per Line'!$Y$2:$Y$1001,'Per Line'!$D$2:$D$1001,$B201,'Per Line'!$AP$2:$AP$1001,1))</f>
        <v/>
      </c>
      <c r="P201">
        <f>IF($Z201="","",Settings!$C$7)</f>
        <v/>
      </c>
      <c r="Q201" s="7">
        <f>IF($Z201="","",SUMIFS('Per Line'!$Y$2:$Y$1001,'Per Line'!$D$2:$D$1001,$B201,'Per Line'!$AO$2:$AO$1001,0,'Per Line'!$AP$2:$AP$1001,0))</f>
        <v/>
      </c>
      <c r="R201" s="7">
        <f>IF($Z201="","",Q201*P201)</f>
        <v/>
      </c>
      <c r="S201">
        <f>IF($Z201="","",Settings!$C$6)</f>
        <v/>
      </c>
      <c r="T201" s="7">
        <f>IF($Z201="","",SUMIFS('Per Line'!$Y$2:$Y$1001,'Per Line'!$D$2:$D$1001,$B201,'Per Line'!$AO$2:$AO$1001,1,'Per Line'!$AP$2:$AP$1001,0))</f>
        <v/>
      </c>
      <c r="U201" s="7">
        <f>IF($Z201="","",T201*S201)</f>
        <v/>
      </c>
      <c r="V201" s="7">
        <f>IF($Z201="","",U201+R201)</f>
        <v/>
      </c>
      <c r="W201" s="7">
        <f>IF($Z201="","",X201-V201)</f>
        <v/>
      </c>
      <c r="X201" s="7">
        <f>IF($Z201="","",Q201+T201+O201)</f>
        <v/>
      </c>
      <c r="Y201" s="7">
        <f>IF($Z201="","",X201-V201-N201)</f>
        <v/>
      </c>
      <c r="Z201" s="13">
        <f>IF(ROWS($Z$2:$Z201)&lt;=MAX('Per Line'!$AN$2:$AN$1001),MATCH(ROWS($Z$2:$Z201),'Per Line'!$AN$2:$AN$1001,0),"")</f>
        <v/>
      </c>
    </row>
    <row r="202">
      <c r="A202" s="12" t="n"/>
      <c r="B202">
        <f>IF($Z202="","",INDEX('Per Line'!$D$2:$D$1001,$Z202)&amp;"")</f>
        <v/>
      </c>
      <c r="C202">
        <f>IF($Z202="","",INDEX('Per Line'!$B$2:$B$1001,$Z202)&amp;"")</f>
        <v/>
      </c>
      <c r="D202">
        <f>IF($Z202="","",INDEX('Per Line'!$A$2:$A$1001,$Z202))</f>
        <v/>
      </c>
      <c r="E202">
        <f>IF($Z202="","",INDEX('Per Line'!$E$2:$E$1001,$Z202)&amp;"")</f>
        <v/>
      </c>
      <c r="F202">
        <f>IF($Z202="","",INDEX('Per Line'!$F$2:$F$1001,$Z202)&amp;"")</f>
        <v/>
      </c>
      <c r="G202" s="11">
        <f>IF($Z202="","",INDEX('Per Line'!$G$2:$G$1001,$Z202))</f>
        <v/>
      </c>
      <c r="H202">
        <f>IF($Z202="","",INDEX('Per Line'!$I$2:$I$1001,$Z202)&amp;"")</f>
        <v/>
      </c>
      <c r="I202">
        <f>IF($Z202="","",INDEX('Per Line'!$J$2:$J$1001,$Z202)&amp;"")</f>
        <v/>
      </c>
      <c r="J202">
        <f>IF($Z202="","",INDEX('Per Line'!$K$2:$K$1001,$Z202)&amp;"")</f>
        <v/>
      </c>
      <c r="K202">
        <f>IF($Z202="","",INDEX('Per Line'!$L$2:$L$1001,$Z202)&amp;"")</f>
        <v/>
      </c>
      <c r="L202">
        <f>IF($Z202="","",INDEX('Per Line'!$M$2:$M$1001,$Z202)&amp;"")</f>
        <v/>
      </c>
      <c r="M202">
        <f>IF($Z202="","",INDEX('Per Line'!$P$2:$P$1001,$Z202))</f>
        <v/>
      </c>
      <c r="N202" s="7">
        <f>IF($Z202="","",M202*X202/100)</f>
        <v/>
      </c>
      <c r="O202" s="7">
        <f>IF($Z202="","",SUMIFS('Per Line'!$Y$2:$Y$1001,'Per Line'!$D$2:$D$1001,$B202,'Per Line'!$AP$2:$AP$1001,1))</f>
        <v/>
      </c>
      <c r="P202">
        <f>IF($Z202="","",Settings!$C$7)</f>
        <v/>
      </c>
      <c r="Q202" s="7">
        <f>IF($Z202="","",SUMIFS('Per Line'!$Y$2:$Y$1001,'Per Line'!$D$2:$D$1001,$B202,'Per Line'!$AO$2:$AO$1001,0,'Per Line'!$AP$2:$AP$1001,0))</f>
        <v/>
      </c>
      <c r="R202" s="7">
        <f>IF($Z202="","",Q202*P202)</f>
        <v/>
      </c>
      <c r="S202">
        <f>IF($Z202="","",Settings!$C$6)</f>
        <v/>
      </c>
      <c r="T202" s="7">
        <f>IF($Z202="","",SUMIFS('Per Line'!$Y$2:$Y$1001,'Per Line'!$D$2:$D$1001,$B202,'Per Line'!$AO$2:$AO$1001,1,'Per Line'!$AP$2:$AP$1001,0))</f>
        <v/>
      </c>
      <c r="U202" s="7">
        <f>IF($Z202="","",T202*S202)</f>
        <v/>
      </c>
      <c r="V202" s="7">
        <f>IF($Z202="","",U202+R202)</f>
        <v/>
      </c>
      <c r="W202" s="7">
        <f>IF($Z202="","",X202-V202)</f>
        <v/>
      </c>
      <c r="X202" s="7">
        <f>IF($Z202="","",Q202+T202+O202)</f>
        <v/>
      </c>
      <c r="Y202" s="7">
        <f>IF($Z202="","",X202-V202-N202)</f>
        <v/>
      </c>
      <c r="Z202" s="13">
        <f>IF(ROWS($Z$2:$Z202)&lt;=MAX('Per Line'!$AN$2:$AN$1001),MATCH(ROWS($Z$2:$Z202),'Per Line'!$AN$2:$AN$1001,0),"")</f>
        <v/>
      </c>
    </row>
    <row r="203">
      <c r="A203" s="12" t="n"/>
      <c r="B203">
        <f>IF($Z203="","",INDEX('Per Line'!$D$2:$D$1001,$Z203)&amp;"")</f>
        <v/>
      </c>
      <c r="C203">
        <f>IF($Z203="","",INDEX('Per Line'!$B$2:$B$1001,$Z203)&amp;"")</f>
        <v/>
      </c>
      <c r="D203">
        <f>IF($Z203="","",INDEX('Per Line'!$A$2:$A$1001,$Z203))</f>
        <v/>
      </c>
      <c r="E203">
        <f>IF($Z203="","",INDEX('Per Line'!$E$2:$E$1001,$Z203)&amp;"")</f>
        <v/>
      </c>
      <c r="F203">
        <f>IF($Z203="","",INDEX('Per Line'!$F$2:$F$1001,$Z203)&amp;"")</f>
        <v/>
      </c>
      <c r="G203" s="11">
        <f>IF($Z203="","",INDEX('Per Line'!$G$2:$G$1001,$Z203))</f>
        <v/>
      </c>
      <c r="H203">
        <f>IF($Z203="","",INDEX('Per Line'!$I$2:$I$1001,$Z203)&amp;"")</f>
        <v/>
      </c>
      <c r="I203">
        <f>IF($Z203="","",INDEX('Per Line'!$J$2:$J$1001,$Z203)&amp;"")</f>
        <v/>
      </c>
      <c r="J203">
        <f>IF($Z203="","",INDEX('Per Line'!$K$2:$K$1001,$Z203)&amp;"")</f>
        <v/>
      </c>
      <c r="K203">
        <f>IF($Z203="","",INDEX('Per Line'!$L$2:$L$1001,$Z203)&amp;"")</f>
        <v/>
      </c>
      <c r="L203">
        <f>IF($Z203="","",INDEX('Per Line'!$M$2:$M$1001,$Z203)&amp;"")</f>
        <v/>
      </c>
      <c r="M203">
        <f>IF($Z203="","",INDEX('Per Line'!$P$2:$P$1001,$Z203))</f>
        <v/>
      </c>
      <c r="N203" s="7">
        <f>IF($Z203="","",M203*X203/100)</f>
        <v/>
      </c>
      <c r="O203" s="7">
        <f>IF($Z203="","",SUMIFS('Per Line'!$Y$2:$Y$1001,'Per Line'!$D$2:$D$1001,$B203,'Per Line'!$AP$2:$AP$1001,1))</f>
        <v/>
      </c>
      <c r="P203">
        <f>IF($Z203="","",Settings!$C$7)</f>
        <v/>
      </c>
      <c r="Q203" s="7">
        <f>IF($Z203="","",SUMIFS('Per Line'!$Y$2:$Y$1001,'Per Line'!$D$2:$D$1001,$B203,'Per Line'!$AO$2:$AO$1001,0,'Per Line'!$AP$2:$AP$1001,0))</f>
        <v/>
      </c>
      <c r="R203" s="7">
        <f>IF($Z203="","",Q203*P203)</f>
        <v/>
      </c>
      <c r="S203">
        <f>IF($Z203="","",Settings!$C$6)</f>
        <v/>
      </c>
      <c r="T203" s="7">
        <f>IF($Z203="","",SUMIFS('Per Line'!$Y$2:$Y$1001,'Per Line'!$D$2:$D$1001,$B203,'Per Line'!$AO$2:$AO$1001,1,'Per Line'!$AP$2:$AP$1001,0))</f>
        <v/>
      </c>
      <c r="U203" s="7">
        <f>IF($Z203="","",T203*S203)</f>
        <v/>
      </c>
      <c r="V203" s="7">
        <f>IF($Z203="","",U203+R203)</f>
        <v/>
      </c>
      <c r="W203" s="7">
        <f>IF($Z203="","",X203-V203)</f>
        <v/>
      </c>
      <c r="X203" s="7">
        <f>IF($Z203="","",Q203+T203+O203)</f>
        <v/>
      </c>
      <c r="Y203" s="7">
        <f>IF($Z203="","",X203-V203-N203)</f>
        <v/>
      </c>
      <c r="Z203" s="13">
        <f>IF(ROWS($Z$2:$Z203)&lt;=MAX('Per Line'!$AN$2:$AN$1001),MATCH(ROWS($Z$2:$Z203),'Per Line'!$AN$2:$AN$1001,0),"")</f>
        <v/>
      </c>
    </row>
    <row r="204">
      <c r="A204" s="12" t="n"/>
      <c r="B204">
        <f>IF($Z204="","",INDEX('Per Line'!$D$2:$D$1001,$Z204)&amp;"")</f>
        <v/>
      </c>
      <c r="C204">
        <f>IF($Z204="","",INDEX('Per Line'!$B$2:$B$1001,$Z204)&amp;"")</f>
        <v/>
      </c>
      <c r="D204">
        <f>IF($Z204="","",INDEX('Per Line'!$A$2:$A$1001,$Z204))</f>
        <v/>
      </c>
      <c r="E204">
        <f>IF($Z204="","",INDEX('Per Line'!$E$2:$E$1001,$Z204)&amp;"")</f>
        <v/>
      </c>
      <c r="F204">
        <f>IF($Z204="","",INDEX('Per Line'!$F$2:$F$1001,$Z204)&amp;"")</f>
        <v/>
      </c>
      <c r="G204" s="11">
        <f>IF($Z204="","",INDEX('Per Line'!$G$2:$G$1001,$Z204))</f>
        <v/>
      </c>
      <c r="H204">
        <f>IF($Z204="","",INDEX('Per Line'!$I$2:$I$1001,$Z204)&amp;"")</f>
        <v/>
      </c>
      <c r="I204">
        <f>IF($Z204="","",INDEX('Per Line'!$J$2:$J$1001,$Z204)&amp;"")</f>
        <v/>
      </c>
      <c r="J204">
        <f>IF($Z204="","",INDEX('Per Line'!$K$2:$K$1001,$Z204)&amp;"")</f>
        <v/>
      </c>
      <c r="K204">
        <f>IF($Z204="","",INDEX('Per Line'!$L$2:$L$1001,$Z204)&amp;"")</f>
        <v/>
      </c>
      <c r="L204">
        <f>IF($Z204="","",INDEX('Per Line'!$M$2:$M$1001,$Z204)&amp;"")</f>
        <v/>
      </c>
      <c r="M204">
        <f>IF($Z204="","",INDEX('Per Line'!$P$2:$P$1001,$Z204))</f>
        <v/>
      </c>
      <c r="N204" s="7">
        <f>IF($Z204="","",M204*X204/100)</f>
        <v/>
      </c>
      <c r="O204" s="7">
        <f>IF($Z204="","",SUMIFS('Per Line'!$Y$2:$Y$1001,'Per Line'!$D$2:$D$1001,$B204,'Per Line'!$AP$2:$AP$1001,1))</f>
        <v/>
      </c>
      <c r="P204">
        <f>IF($Z204="","",Settings!$C$7)</f>
        <v/>
      </c>
      <c r="Q204" s="7">
        <f>IF($Z204="","",SUMIFS('Per Line'!$Y$2:$Y$1001,'Per Line'!$D$2:$D$1001,$B204,'Per Line'!$AO$2:$AO$1001,0,'Per Line'!$AP$2:$AP$1001,0))</f>
        <v/>
      </c>
      <c r="R204" s="7">
        <f>IF($Z204="","",Q204*P204)</f>
        <v/>
      </c>
      <c r="S204">
        <f>IF($Z204="","",Settings!$C$6)</f>
        <v/>
      </c>
      <c r="T204" s="7">
        <f>IF($Z204="","",SUMIFS('Per Line'!$Y$2:$Y$1001,'Per Line'!$D$2:$D$1001,$B204,'Per Line'!$AO$2:$AO$1001,1,'Per Line'!$AP$2:$AP$1001,0))</f>
        <v/>
      </c>
      <c r="U204" s="7">
        <f>IF($Z204="","",T204*S204)</f>
        <v/>
      </c>
      <c r="V204" s="7">
        <f>IF($Z204="","",U204+R204)</f>
        <v/>
      </c>
      <c r="W204" s="7">
        <f>IF($Z204="","",X204-V204)</f>
        <v/>
      </c>
      <c r="X204" s="7">
        <f>IF($Z204="","",Q204+T204+O204)</f>
        <v/>
      </c>
      <c r="Y204" s="7">
        <f>IF($Z204="","",X204-V204-N204)</f>
        <v/>
      </c>
      <c r="Z204" s="13">
        <f>IF(ROWS($Z$2:$Z204)&lt;=MAX('Per Line'!$AN$2:$AN$1001),MATCH(ROWS($Z$2:$Z204),'Per Line'!$AN$2:$AN$1001,0),"")</f>
        <v/>
      </c>
    </row>
    <row r="205">
      <c r="A205" s="12" t="n"/>
      <c r="B205">
        <f>IF($Z205="","",INDEX('Per Line'!$D$2:$D$1001,$Z205)&amp;"")</f>
        <v/>
      </c>
      <c r="C205">
        <f>IF($Z205="","",INDEX('Per Line'!$B$2:$B$1001,$Z205)&amp;"")</f>
        <v/>
      </c>
      <c r="D205">
        <f>IF($Z205="","",INDEX('Per Line'!$A$2:$A$1001,$Z205))</f>
        <v/>
      </c>
      <c r="E205">
        <f>IF($Z205="","",INDEX('Per Line'!$E$2:$E$1001,$Z205)&amp;"")</f>
        <v/>
      </c>
      <c r="F205">
        <f>IF($Z205="","",INDEX('Per Line'!$F$2:$F$1001,$Z205)&amp;"")</f>
        <v/>
      </c>
      <c r="G205" s="11">
        <f>IF($Z205="","",INDEX('Per Line'!$G$2:$G$1001,$Z205))</f>
        <v/>
      </c>
      <c r="H205">
        <f>IF($Z205="","",INDEX('Per Line'!$I$2:$I$1001,$Z205)&amp;"")</f>
        <v/>
      </c>
      <c r="I205">
        <f>IF($Z205="","",INDEX('Per Line'!$J$2:$J$1001,$Z205)&amp;"")</f>
        <v/>
      </c>
      <c r="J205">
        <f>IF($Z205="","",INDEX('Per Line'!$K$2:$K$1001,$Z205)&amp;"")</f>
        <v/>
      </c>
      <c r="K205">
        <f>IF($Z205="","",INDEX('Per Line'!$L$2:$L$1001,$Z205)&amp;"")</f>
        <v/>
      </c>
      <c r="L205">
        <f>IF($Z205="","",INDEX('Per Line'!$M$2:$M$1001,$Z205)&amp;"")</f>
        <v/>
      </c>
      <c r="M205">
        <f>IF($Z205="","",INDEX('Per Line'!$P$2:$P$1001,$Z205))</f>
        <v/>
      </c>
      <c r="N205" s="7">
        <f>IF($Z205="","",M205*X205/100)</f>
        <v/>
      </c>
      <c r="O205" s="7">
        <f>IF($Z205="","",SUMIFS('Per Line'!$Y$2:$Y$1001,'Per Line'!$D$2:$D$1001,$B205,'Per Line'!$AP$2:$AP$1001,1))</f>
        <v/>
      </c>
      <c r="P205">
        <f>IF($Z205="","",Settings!$C$7)</f>
        <v/>
      </c>
      <c r="Q205" s="7">
        <f>IF($Z205="","",SUMIFS('Per Line'!$Y$2:$Y$1001,'Per Line'!$D$2:$D$1001,$B205,'Per Line'!$AO$2:$AO$1001,0,'Per Line'!$AP$2:$AP$1001,0))</f>
        <v/>
      </c>
      <c r="R205" s="7">
        <f>IF($Z205="","",Q205*P205)</f>
        <v/>
      </c>
      <c r="S205">
        <f>IF($Z205="","",Settings!$C$6)</f>
        <v/>
      </c>
      <c r="T205" s="7">
        <f>IF($Z205="","",SUMIFS('Per Line'!$Y$2:$Y$1001,'Per Line'!$D$2:$D$1001,$B205,'Per Line'!$AO$2:$AO$1001,1,'Per Line'!$AP$2:$AP$1001,0))</f>
        <v/>
      </c>
      <c r="U205" s="7">
        <f>IF($Z205="","",T205*S205)</f>
        <v/>
      </c>
      <c r="V205" s="7">
        <f>IF($Z205="","",U205+R205)</f>
        <v/>
      </c>
      <c r="W205" s="7">
        <f>IF($Z205="","",X205-V205)</f>
        <v/>
      </c>
      <c r="X205" s="7">
        <f>IF($Z205="","",Q205+T205+O205)</f>
        <v/>
      </c>
      <c r="Y205" s="7">
        <f>IF($Z205="","",X205-V205-N205)</f>
        <v/>
      </c>
      <c r="Z205" s="13">
        <f>IF(ROWS($Z$2:$Z205)&lt;=MAX('Per Line'!$AN$2:$AN$1001),MATCH(ROWS($Z$2:$Z205),'Per Line'!$AN$2:$AN$1001,0),"")</f>
        <v/>
      </c>
    </row>
    <row r="206">
      <c r="A206" s="12" t="n"/>
      <c r="B206">
        <f>IF($Z206="","",INDEX('Per Line'!$D$2:$D$1001,$Z206)&amp;"")</f>
        <v/>
      </c>
      <c r="C206">
        <f>IF($Z206="","",INDEX('Per Line'!$B$2:$B$1001,$Z206)&amp;"")</f>
        <v/>
      </c>
      <c r="D206">
        <f>IF($Z206="","",INDEX('Per Line'!$A$2:$A$1001,$Z206))</f>
        <v/>
      </c>
      <c r="E206">
        <f>IF($Z206="","",INDEX('Per Line'!$E$2:$E$1001,$Z206)&amp;"")</f>
        <v/>
      </c>
      <c r="F206">
        <f>IF($Z206="","",INDEX('Per Line'!$F$2:$F$1001,$Z206)&amp;"")</f>
        <v/>
      </c>
      <c r="G206" s="11">
        <f>IF($Z206="","",INDEX('Per Line'!$G$2:$G$1001,$Z206))</f>
        <v/>
      </c>
      <c r="H206">
        <f>IF($Z206="","",INDEX('Per Line'!$I$2:$I$1001,$Z206)&amp;"")</f>
        <v/>
      </c>
      <c r="I206">
        <f>IF($Z206="","",INDEX('Per Line'!$J$2:$J$1001,$Z206)&amp;"")</f>
        <v/>
      </c>
      <c r="J206">
        <f>IF($Z206="","",INDEX('Per Line'!$K$2:$K$1001,$Z206)&amp;"")</f>
        <v/>
      </c>
      <c r="K206">
        <f>IF($Z206="","",INDEX('Per Line'!$L$2:$L$1001,$Z206)&amp;"")</f>
        <v/>
      </c>
      <c r="L206">
        <f>IF($Z206="","",INDEX('Per Line'!$M$2:$M$1001,$Z206)&amp;"")</f>
        <v/>
      </c>
      <c r="M206">
        <f>IF($Z206="","",INDEX('Per Line'!$P$2:$P$1001,$Z206))</f>
        <v/>
      </c>
      <c r="N206" s="7">
        <f>IF($Z206="","",M206*X206/100)</f>
        <v/>
      </c>
      <c r="O206" s="7">
        <f>IF($Z206="","",SUMIFS('Per Line'!$Y$2:$Y$1001,'Per Line'!$D$2:$D$1001,$B206,'Per Line'!$AP$2:$AP$1001,1))</f>
        <v/>
      </c>
      <c r="P206">
        <f>IF($Z206="","",Settings!$C$7)</f>
        <v/>
      </c>
      <c r="Q206" s="7">
        <f>IF($Z206="","",SUMIFS('Per Line'!$Y$2:$Y$1001,'Per Line'!$D$2:$D$1001,$B206,'Per Line'!$AO$2:$AO$1001,0,'Per Line'!$AP$2:$AP$1001,0))</f>
        <v/>
      </c>
      <c r="R206" s="7">
        <f>IF($Z206="","",Q206*P206)</f>
        <v/>
      </c>
      <c r="S206">
        <f>IF($Z206="","",Settings!$C$6)</f>
        <v/>
      </c>
      <c r="T206" s="7">
        <f>IF($Z206="","",SUMIFS('Per Line'!$Y$2:$Y$1001,'Per Line'!$D$2:$D$1001,$B206,'Per Line'!$AO$2:$AO$1001,1,'Per Line'!$AP$2:$AP$1001,0))</f>
        <v/>
      </c>
      <c r="U206" s="7">
        <f>IF($Z206="","",T206*S206)</f>
        <v/>
      </c>
      <c r="V206" s="7">
        <f>IF($Z206="","",U206+R206)</f>
        <v/>
      </c>
      <c r="W206" s="7">
        <f>IF($Z206="","",X206-V206)</f>
        <v/>
      </c>
      <c r="X206" s="7">
        <f>IF($Z206="","",Q206+T206+O206)</f>
        <v/>
      </c>
      <c r="Y206" s="7">
        <f>IF($Z206="","",X206-V206-N206)</f>
        <v/>
      </c>
      <c r="Z206" s="13">
        <f>IF(ROWS($Z$2:$Z206)&lt;=MAX('Per Line'!$AN$2:$AN$1001),MATCH(ROWS($Z$2:$Z206),'Per Line'!$AN$2:$AN$1001,0),"")</f>
        <v/>
      </c>
    </row>
    <row r="207">
      <c r="A207" s="12" t="n"/>
      <c r="B207">
        <f>IF($Z207="","",INDEX('Per Line'!$D$2:$D$1001,$Z207)&amp;"")</f>
        <v/>
      </c>
      <c r="C207">
        <f>IF($Z207="","",INDEX('Per Line'!$B$2:$B$1001,$Z207)&amp;"")</f>
        <v/>
      </c>
      <c r="D207">
        <f>IF($Z207="","",INDEX('Per Line'!$A$2:$A$1001,$Z207))</f>
        <v/>
      </c>
      <c r="E207">
        <f>IF($Z207="","",INDEX('Per Line'!$E$2:$E$1001,$Z207)&amp;"")</f>
        <v/>
      </c>
      <c r="F207">
        <f>IF($Z207="","",INDEX('Per Line'!$F$2:$F$1001,$Z207)&amp;"")</f>
        <v/>
      </c>
      <c r="G207" s="11">
        <f>IF($Z207="","",INDEX('Per Line'!$G$2:$G$1001,$Z207))</f>
        <v/>
      </c>
      <c r="H207">
        <f>IF($Z207="","",INDEX('Per Line'!$I$2:$I$1001,$Z207)&amp;"")</f>
        <v/>
      </c>
      <c r="I207">
        <f>IF($Z207="","",INDEX('Per Line'!$J$2:$J$1001,$Z207)&amp;"")</f>
        <v/>
      </c>
      <c r="J207">
        <f>IF($Z207="","",INDEX('Per Line'!$K$2:$K$1001,$Z207)&amp;"")</f>
        <v/>
      </c>
      <c r="K207">
        <f>IF($Z207="","",INDEX('Per Line'!$L$2:$L$1001,$Z207)&amp;"")</f>
        <v/>
      </c>
      <c r="L207">
        <f>IF($Z207="","",INDEX('Per Line'!$M$2:$M$1001,$Z207)&amp;"")</f>
        <v/>
      </c>
      <c r="M207">
        <f>IF($Z207="","",INDEX('Per Line'!$P$2:$P$1001,$Z207))</f>
        <v/>
      </c>
      <c r="N207" s="7">
        <f>IF($Z207="","",M207*X207/100)</f>
        <v/>
      </c>
      <c r="O207" s="7">
        <f>IF($Z207="","",SUMIFS('Per Line'!$Y$2:$Y$1001,'Per Line'!$D$2:$D$1001,$B207,'Per Line'!$AP$2:$AP$1001,1))</f>
        <v/>
      </c>
      <c r="P207">
        <f>IF($Z207="","",Settings!$C$7)</f>
        <v/>
      </c>
      <c r="Q207" s="7">
        <f>IF($Z207="","",SUMIFS('Per Line'!$Y$2:$Y$1001,'Per Line'!$D$2:$D$1001,$B207,'Per Line'!$AO$2:$AO$1001,0,'Per Line'!$AP$2:$AP$1001,0))</f>
        <v/>
      </c>
      <c r="R207" s="7">
        <f>IF($Z207="","",Q207*P207)</f>
        <v/>
      </c>
      <c r="S207">
        <f>IF($Z207="","",Settings!$C$6)</f>
        <v/>
      </c>
      <c r="T207" s="7">
        <f>IF($Z207="","",SUMIFS('Per Line'!$Y$2:$Y$1001,'Per Line'!$D$2:$D$1001,$B207,'Per Line'!$AO$2:$AO$1001,1,'Per Line'!$AP$2:$AP$1001,0))</f>
        <v/>
      </c>
      <c r="U207" s="7">
        <f>IF($Z207="","",T207*S207)</f>
        <v/>
      </c>
      <c r="V207" s="7">
        <f>IF($Z207="","",U207+R207)</f>
        <v/>
      </c>
      <c r="W207" s="7">
        <f>IF($Z207="","",X207-V207)</f>
        <v/>
      </c>
      <c r="X207" s="7">
        <f>IF($Z207="","",Q207+T207+O207)</f>
        <v/>
      </c>
      <c r="Y207" s="7">
        <f>IF($Z207="","",X207-V207-N207)</f>
        <v/>
      </c>
      <c r="Z207" s="13">
        <f>IF(ROWS($Z$2:$Z207)&lt;=MAX('Per Line'!$AN$2:$AN$1001),MATCH(ROWS($Z$2:$Z207),'Per Line'!$AN$2:$AN$1001,0),"")</f>
        <v/>
      </c>
    </row>
    <row r="208">
      <c r="A208" s="12" t="n"/>
      <c r="B208">
        <f>IF($Z208="","",INDEX('Per Line'!$D$2:$D$1001,$Z208)&amp;"")</f>
        <v/>
      </c>
      <c r="C208">
        <f>IF($Z208="","",INDEX('Per Line'!$B$2:$B$1001,$Z208)&amp;"")</f>
        <v/>
      </c>
      <c r="D208">
        <f>IF($Z208="","",INDEX('Per Line'!$A$2:$A$1001,$Z208))</f>
        <v/>
      </c>
      <c r="E208">
        <f>IF($Z208="","",INDEX('Per Line'!$E$2:$E$1001,$Z208)&amp;"")</f>
        <v/>
      </c>
      <c r="F208">
        <f>IF($Z208="","",INDEX('Per Line'!$F$2:$F$1001,$Z208)&amp;"")</f>
        <v/>
      </c>
      <c r="G208" s="11">
        <f>IF($Z208="","",INDEX('Per Line'!$G$2:$G$1001,$Z208))</f>
        <v/>
      </c>
      <c r="H208">
        <f>IF($Z208="","",INDEX('Per Line'!$I$2:$I$1001,$Z208)&amp;"")</f>
        <v/>
      </c>
      <c r="I208">
        <f>IF($Z208="","",INDEX('Per Line'!$J$2:$J$1001,$Z208)&amp;"")</f>
        <v/>
      </c>
      <c r="J208">
        <f>IF($Z208="","",INDEX('Per Line'!$K$2:$K$1001,$Z208)&amp;"")</f>
        <v/>
      </c>
      <c r="K208">
        <f>IF($Z208="","",INDEX('Per Line'!$L$2:$L$1001,$Z208)&amp;"")</f>
        <v/>
      </c>
      <c r="L208">
        <f>IF($Z208="","",INDEX('Per Line'!$M$2:$M$1001,$Z208)&amp;"")</f>
        <v/>
      </c>
      <c r="M208">
        <f>IF($Z208="","",INDEX('Per Line'!$P$2:$P$1001,$Z208))</f>
        <v/>
      </c>
      <c r="N208" s="7">
        <f>IF($Z208="","",M208*X208/100)</f>
        <v/>
      </c>
      <c r="O208" s="7">
        <f>IF($Z208="","",SUMIFS('Per Line'!$Y$2:$Y$1001,'Per Line'!$D$2:$D$1001,$B208,'Per Line'!$AP$2:$AP$1001,1))</f>
        <v/>
      </c>
      <c r="P208">
        <f>IF($Z208="","",Settings!$C$7)</f>
        <v/>
      </c>
      <c r="Q208" s="7">
        <f>IF($Z208="","",SUMIFS('Per Line'!$Y$2:$Y$1001,'Per Line'!$D$2:$D$1001,$B208,'Per Line'!$AO$2:$AO$1001,0,'Per Line'!$AP$2:$AP$1001,0))</f>
        <v/>
      </c>
      <c r="R208" s="7">
        <f>IF($Z208="","",Q208*P208)</f>
        <v/>
      </c>
      <c r="S208">
        <f>IF($Z208="","",Settings!$C$6)</f>
        <v/>
      </c>
      <c r="T208" s="7">
        <f>IF($Z208="","",SUMIFS('Per Line'!$Y$2:$Y$1001,'Per Line'!$D$2:$D$1001,$B208,'Per Line'!$AO$2:$AO$1001,1,'Per Line'!$AP$2:$AP$1001,0))</f>
        <v/>
      </c>
      <c r="U208" s="7">
        <f>IF($Z208="","",T208*S208)</f>
        <v/>
      </c>
      <c r="V208" s="7">
        <f>IF($Z208="","",U208+R208)</f>
        <v/>
      </c>
      <c r="W208" s="7">
        <f>IF($Z208="","",X208-V208)</f>
        <v/>
      </c>
      <c r="X208" s="7">
        <f>IF($Z208="","",Q208+T208+O208)</f>
        <v/>
      </c>
      <c r="Y208" s="7">
        <f>IF($Z208="","",X208-V208-N208)</f>
        <v/>
      </c>
      <c r="Z208" s="13">
        <f>IF(ROWS($Z$2:$Z208)&lt;=MAX('Per Line'!$AN$2:$AN$1001),MATCH(ROWS($Z$2:$Z208),'Per Line'!$AN$2:$AN$1001,0),"")</f>
        <v/>
      </c>
    </row>
    <row r="209">
      <c r="A209" s="12" t="n"/>
      <c r="B209">
        <f>IF($Z209="","",INDEX('Per Line'!$D$2:$D$1001,$Z209)&amp;"")</f>
        <v/>
      </c>
      <c r="C209">
        <f>IF($Z209="","",INDEX('Per Line'!$B$2:$B$1001,$Z209)&amp;"")</f>
        <v/>
      </c>
      <c r="D209">
        <f>IF($Z209="","",INDEX('Per Line'!$A$2:$A$1001,$Z209))</f>
        <v/>
      </c>
      <c r="E209">
        <f>IF($Z209="","",INDEX('Per Line'!$E$2:$E$1001,$Z209)&amp;"")</f>
        <v/>
      </c>
      <c r="F209">
        <f>IF($Z209="","",INDEX('Per Line'!$F$2:$F$1001,$Z209)&amp;"")</f>
        <v/>
      </c>
      <c r="G209" s="11">
        <f>IF($Z209="","",INDEX('Per Line'!$G$2:$G$1001,$Z209))</f>
        <v/>
      </c>
      <c r="H209">
        <f>IF($Z209="","",INDEX('Per Line'!$I$2:$I$1001,$Z209)&amp;"")</f>
        <v/>
      </c>
      <c r="I209">
        <f>IF($Z209="","",INDEX('Per Line'!$J$2:$J$1001,$Z209)&amp;"")</f>
        <v/>
      </c>
      <c r="J209">
        <f>IF($Z209="","",INDEX('Per Line'!$K$2:$K$1001,$Z209)&amp;"")</f>
        <v/>
      </c>
      <c r="K209">
        <f>IF($Z209="","",INDEX('Per Line'!$L$2:$L$1001,$Z209)&amp;"")</f>
        <v/>
      </c>
      <c r="L209">
        <f>IF($Z209="","",INDEX('Per Line'!$M$2:$M$1001,$Z209)&amp;"")</f>
        <v/>
      </c>
      <c r="M209">
        <f>IF($Z209="","",INDEX('Per Line'!$P$2:$P$1001,$Z209))</f>
        <v/>
      </c>
      <c r="N209" s="7">
        <f>IF($Z209="","",M209*X209/100)</f>
        <v/>
      </c>
      <c r="O209" s="7">
        <f>IF($Z209="","",SUMIFS('Per Line'!$Y$2:$Y$1001,'Per Line'!$D$2:$D$1001,$B209,'Per Line'!$AP$2:$AP$1001,1))</f>
        <v/>
      </c>
      <c r="P209">
        <f>IF($Z209="","",Settings!$C$7)</f>
        <v/>
      </c>
      <c r="Q209" s="7">
        <f>IF($Z209="","",SUMIFS('Per Line'!$Y$2:$Y$1001,'Per Line'!$D$2:$D$1001,$B209,'Per Line'!$AO$2:$AO$1001,0,'Per Line'!$AP$2:$AP$1001,0))</f>
        <v/>
      </c>
      <c r="R209" s="7">
        <f>IF($Z209="","",Q209*P209)</f>
        <v/>
      </c>
      <c r="S209">
        <f>IF($Z209="","",Settings!$C$6)</f>
        <v/>
      </c>
      <c r="T209" s="7">
        <f>IF($Z209="","",SUMIFS('Per Line'!$Y$2:$Y$1001,'Per Line'!$D$2:$D$1001,$B209,'Per Line'!$AO$2:$AO$1001,1,'Per Line'!$AP$2:$AP$1001,0))</f>
        <v/>
      </c>
      <c r="U209" s="7">
        <f>IF($Z209="","",T209*S209)</f>
        <v/>
      </c>
      <c r="V209" s="7">
        <f>IF($Z209="","",U209+R209)</f>
        <v/>
      </c>
      <c r="W209" s="7">
        <f>IF($Z209="","",X209-V209)</f>
        <v/>
      </c>
      <c r="X209" s="7">
        <f>IF($Z209="","",Q209+T209+O209)</f>
        <v/>
      </c>
      <c r="Y209" s="7">
        <f>IF($Z209="","",X209-V209-N209)</f>
        <v/>
      </c>
      <c r="Z209" s="13">
        <f>IF(ROWS($Z$2:$Z209)&lt;=MAX('Per Line'!$AN$2:$AN$1001),MATCH(ROWS($Z$2:$Z209),'Per Line'!$AN$2:$AN$1001,0),"")</f>
        <v/>
      </c>
    </row>
    <row r="210">
      <c r="A210" s="12" t="n"/>
      <c r="B210">
        <f>IF($Z210="","",INDEX('Per Line'!$D$2:$D$1001,$Z210)&amp;"")</f>
        <v/>
      </c>
      <c r="C210">
        <f>IF($Z210="","",INDEX('Per Line'!$B$2:$B$1001,$Z210)&amp;"")</f>
        <v/>
      </c>
      <c r="D210">
        <f>IF($Z210="","",INDEX('Per Line'!$A$2:$A$1001,$Z210))</f>
        <v/>
      </c>
      <c r="E210">
        <f>IF($Z210="","",INDEX('Per Line'!$E$2:$E$1001,$Z210)&amp;"")</f>
        <v/>
      </c>
      <c r="F210">
        <f>IF($Z210="","",INDEX('Per Line'!$F$2:$F$1001,$Z210)&amp;"")</f>
        <v/>
      </c>
      <c r="G210" s="11">
        <f>IF($Z210="","",INDEX('Per Line'!$G$2:$G$1001,$Z210))</f>
        <v/>
      </c>
      <c r="H210">
        <f>IF($Z210="","",INDEX('Per Line'!$I$2:$I$1001,$Z210)&amp;"")</f>
        <v/>
      </c>
      <c r="I210">
        <f>IF($Z210="","",INDEX('Per Line'!$J$2:$J$1001,$Z210)&amp;"")</f>
        <v/>
      </c>
      <c r="J210">
        <f>IF($Z210="","",INDEX('Per Line'!$K$2:$K$1001,$Z210)&amp;"")</f>
        <v/>
      </c>
      <c r="K210">
        <f>IF($Z210="","",INDEX('Per Line'!$L$2:$L$1001,$Z210)&amp;"")</f>
        <v/>
      </c>
      <c r="L210">
        <f>IF($Z210="","",INDEX('Per Line'!$M$2:$M$1001,$Z210)&amp;"")</f>
        <v/>
      </c>
      <c r="M210">
        <f>IF($Z210="","",INDEX('Per Line'!$P$2:$P$1001,$Z210))</f>
        <v/>
      </c>
      <c r="N210" s="7">
        <f>IF($Z210="","",M210*X210/100)</f>
        <v/>
      </c>
      <c r="O210" s="7">
        <f>IF($Z210="","",SUMIFS('Per Line'!$Y$2:$Y$1001,'Per Line'!$D$2:$D$1001,$B210,'Per Line'!$AP$2:$AP$1001,1))</f>
        <v/>
      </c>
      <c r="P210">
        <f>IF($Z210="","",Settings!$C$7)</f>
        <v/>
      </c>
      <c r="Q210" s="7">
        <f>IF($Z210="","",SUMIFS('Per Line'!$Y$2:$Y$1001,'Per Line'!$D$2:$D$1001,$B210,'Per Line'!$AO$2:$AO$1001,0,'Per Line'!$AP$2:$AP$1001,0))</f>
        <v/>
      </c>
      <c r="R210" s="7">
        <f>IF($Z210="","",Q210*P210)</f>
        <v/>
      </c>
      <c r="S210">
        <f>IF($Z210="","",Settings!$C$6)</f>
        <v/>
      </c>
      <c r="T210" s="7">
        <f>IF($Z210="","",SUMIFS('Per Line'!$Y$2:$Y$1001,'Per Line'!$D$2:$D$1001,$B210,'Per Line'!$AO$2:$AO$1001,1,'Per Line'!$AP$2:$AP$1001,0))</f>
        <v/>
      </c>
      <c r="U210" s="7">
        <f>IF($Z210="","",T210*S210)</f>
        <v/>
      </c>
      <c r="V210" s="7">
        <f>IF($Z210="","",U210+R210)</f>
        <v/>
      </c>
      <c r="W210" s="7">
        <f>IF($Z210="","",X210-V210)</f>
        <v/>
      </c>
      <c r="X210" s="7">
        <f>IF($Z210="","",Q210+T210+O210)</f>
        <v/>
      </c>
      <c r="Y210" s="7">
        <f>IF($Z210="","",X210-V210-N210)</f>
        <v/>
      </c>
      <c r="Z210" s="13">
        <f>IF(ROWS($Z$2:$Z210)&lt;=MAX('Per Line'!$AN$2:$AN$1001),MATCH(ROWS($Z$2:$Z210),'Per Line'!$AN$2:$AN$1001,0),"")</f>
        <v/>
      </c>
    </row>
    <row r="211">
      <c r="A211" s="12" t="n"/>
      <c r="B211">
        <f>IF($Z211="","",INDEX('Per Line'!$D$2:$D$1001,$Z211)&amp;"")</f>
        <v/>
      </c>
      <c r="C211">
        <f>IF($Z211="","",INDEX('Per Line'!$B$2:$B$1001,$Z211)&amp;"")</f>
        <v/>
      </c>
      <c r="D211">
        <f>IF($Z211="","",INDEX('Per Line'!$A$2:$A$1001,$Z211))</f>
        <v/>
      </c>
      <c r="E211">
        <f>IF($Z211="","",INDEX('Per Line'!$E$2:$E$1001,$Z211)&amp;"")</f>
        <v/>
      </c>
      <c r="F211">
        <f>IF($Z211="","",INDEX('Per Line'!$F$2:$F$1001,$Z211)&amp;"")</f>
        <v/>
      </c>
      <c r="G211" s="11">
        <f>IF($Z211="","",INDEX('Per Line'!$G$2:$G$1001,$Z211))</f>
        <v/>
      </c>
      <c r="H211">
        <f>IF($Z211="","",INDEX('Per Line'!$I$2:$I$1001,$Z211)&amp;"")</f>
        <v/>
      </c>
      <c r="I211">
        <f>IF($Z211="","",INDEX('Per Line'!$J$2:$J$1001,$Z211)&amp;"")</f>
        <v/>
      </c>
      <c r="J211">
        <f>IF($Z211="","",INDEX('Per Line'!$K$2:$K$1001,$Z211)&amp;"")</f>
        <v/>
      </c>
      <c r="K211">
        <f>IF($Z211="","",INDEX('Per Line'!$L$2:$L$1001,$Z211)&amp;"")</f>
        <v/>
      </c>
      <c r="L211">
        <f>IF($Z211="","",INDEX('Per Line'!$M$2:$M$1001,$Z211)&amp;"")</f>
        <v/>
      </c>
      <c r="M211">
        <f>IF($Z211="","",INDEX('Per Line'!$P$2:$P$1001,$Z211))</f>
        <v/>
      </c>
      <c r="N211" s="7">
        <f>IF($Z211="","",M211*X211/100)</f>
        <v/>
      </c>
      <c r="O211" s="7">
        <f>IF($Z211="","",SUMIFS('Per Line'!$Y$2:$Y$1001,'Per Line'!$D$2:$D$1001,$B211,'Per Line'!$AP$2:$AP$1001,1))</f>
        <v/>
      </c>
      <c r="P211">
        <f>IF($Z211="","",Settings!$C$7)</f>
        <v/>
      </c>
      <c r="Q211" s="7">
        <f>IF($Z211="","",SUMIFS('Per Line'!$Y$2:$Y$1001,'Per Line'!$D$2:$D$1001,$B211,'Per Line'!$AO$2:$AO$1001,0,'Per Line'!$AP$2:$AP$1001,0))</f>
        <v/>
      </c>
      <c r="R211" s="7">
        <f>IF($Z211="","",Q211*P211)</f>
        <v/>
      </c>
      <c r="S211">
        <f>IF($Z211="","",Settings!$C$6)</f>
        <v/>
      </c>
      <c r="T211" s="7">
        <f>IF($Z211="","",SUMIFS('Per Line'!$Y$2:$Y$1001,'Per Line'!$D$2:$D$1001,$B211,'Per Line'!$AO$2:$AO$1001,1,'Per Line'!$AP$2:$AP$1001,0))</f>
        <v/>
      </c>
      <c r="U211" s="7">
        <f>IF($Z211="","",T211*S211)</f>
        <v/>
      </c>
      <c r="V211" s="7">
        <f>IF($Z211="","",U211+R211)</f>
        <v/>
      </c>
      <c r="W211" s="7">
        <f>IF($Z211="","",X211-V211)</f>
        <v/>
      </c>
      <c r="X211" s="7">
        <f>IF($Z211="","",Q211+T211+O211)</f>
        <v/>
      </c>
      <c r="Y211" s="7">
        <f>IF($Z211="","",X211-V211-N211)</f>
        <v/>
      </c>
      <c r="Z211" s="13">
        <f>IF(ROWS($Z$2:$Z211)&lt;=MAX('Per Line'!$AN$2:$AN$1001),MATCH(ROWS($Z$2:$Z211),'Per Line'!$AN$2:$AN$1001,0),"")</f>
        <v/>
      </c>
    </row>
    <row r="212">
      <c r="A212" s="12" t="n"/>
      <c r="B212">
        <f>IF($Z212="","",INDEX('Per Line'!$D$2:$D$1001,$Z212)&amp;"")</f>
        <v/>
      </c>
      <c r="C212">
        <f>IF($Z212="","",INDEX('Per Line'!$B$2:$B$1001,$Z212)&amp;"")</f>
        <v/>
      </c>
      <c r="D212">
        <f>IF($Z212="","",INDEX('Per Line'!$A$2:$A$1001,$Z212))</f>
        <v/>
      </c>
      <c r="E212">
        <f>IF($Z212="","",INDEX('Per Line'!$E$2:$E$1001,$Z212)&amp;"")</f>
        <v/>
      </c>
      <c r="F212">
        <f>IF($Z212="","",INDEX('Per Line'!$F$2:$F$1001,$Z212)&amp;"")</f>
        <v/>
      </c>
      <c r="G212" s="11">
        <f>IF($Z212="","",INDEX('Per Line'!$G$2:$G$1001,$Z212))</f>
        <v/>
      </c>
      <c r="H212">
        <f>IF($Z212="","",INDEX('Per Line'!$I$2:$I$1001,$Z212)&amp;"")</f>
        <v/>
      </c>
      <c r="I212">
        <f>IF($Z212="","",INDEX('Per Line'!$J$2:$J$1001,$Z212)&amp;"")</f>
        <v/>
      </c>
      <c r="J212">
        <f>IF($Z212="","",INDEX('Per Line'!$K$2:$K$1001,$Z212)&amp;"")</f>
        <v/>
      </c>
      <c r="K212">
        <f>IF($Z212="","",INDEX('Per Line'!$L$2:$L$1001,$Z212)&amp;"")</f>
        <v/>
      </c>
      <c r="L212">
        <f>IF($Z212="","",INDEX('Per Line'!$M$2:$M$1001,$Z212)&amp;"")</f>
        <v/>
      </c>
      <c r="M212">
        <f>IF($Z212="","",INDEX('Per Line'!$P$2:$P$1001,$Z212))</f>
        <v/>
      </c>
      <c r="N212" s="7">
        <f>IF($Z212="","",M212*X212/100)</f>
        <v/>
      </c>
      <c r="O212" s="7">
        <f>IF($Z212="","",SUMIFS('Per Line'!$Y$2:$Y$1001,'Per Line'!$D$2:$D$1001,$B212,'Per Line'!$AP$2:$AP$1001,1))</f>
        <v/>
      </c>
      <c r="P212">
        <f>IF($Z212="","",Settings!$C$7)</f>
        <v/>
      </c>
      <c r="Q212" s="7">
        <f>IF($Z212="","",SUMIFS('Per Line'!$Y$2:$Y$1001,'Per Line'!$D$2:$D$1001,$B212,'Per Line'!$AO$2:$AO$1001,0,'Per Line'!$AP$2:$AP$1001,0))</f>
        <v/>
      </c>
      <c r="R212" s="7">
        <f>IF($Z212="","",Q212*P212)</f>
        <v/>
      </c>
      <c r="S212">
        <f>IF($Z212="","",Settings!$C$6)</f>
        <v/>
      </c>
      <c r="T212" s="7">
        <f>IF($Z212="","",SUMIFS('Per Line'!$Y$2:$Y$1001,'Per Line'!$D$2:$D$1001,$B212,'Per Line'!$AO$2:$AO$1001,1,'Per Line'!$AP$2:$AP$1001,0))</f>
        <v/>
      </c>
      <c r="U212" s="7">
        <f>IF($Z212="","",T212*S212)</f>
        <v/>
      </c>
      <c r="V212" s="7">
        <f>IF($Z212="","",U212+R212)</f>
        <v/>
      </c>
      <c r="W212" s="7">
        <f>IF($Z212="","",X212-V212)</f>
        <v/>
      </c>
      <c r="X212" s="7">
        <f>IF($Z212="","",Q212+T212+O212)</f>
        <v/>
      </c>
      <c r="Y212" s="7">
        <f>IF($Z212="","",X212-V212-N212)</f>
        <v/>
      </c>
      <c r="Z212" s="13">
        <f>IF(ROWS($Z$2:$Z212)&lt;=MAX('Per Line'!$AN$2:$AN$1001),MATCH(ROWS($Z$2:$Z212),'Per Line'!$AN$2:$AN$1001,0),"")</f>
        <v/>
      </c>
    </row>
    <row r="213">
      <c r="A213" s="12" t="n"/>
      <c r="B213">
        <f>IF($Z213="","",INDEX('Per Line'!$D$2:$D$1001,$Z213)&amp;"")</f>
        <v/>
      </c>
      <c r="C213">
        <f>IF($Z213="","",INDEX('Per Line'!$B$2:$B$1001,$Z213)&amp;"")</f>
        <v/>
      </c>
      <c r="D213">
        <f>IF($Z213="","",INDEX('Per Line'!$A$2:$A$1001,$Z213))</f>
        <v/>
      </c>
      <c r="E213">
        <f>IF($Z213="","",INDEX('Per Line'!$E$2:$E$1001,$Z213)&amp;"")</f>
        <v/>
      </c>
      <c r="F213">
        <f>IF($Z213="","",INDEX('Per Line'!$F$2:$F$1001,$Z213)&amp;"")</f>
        <v/>
      </c>
      <c r="G213" s="11">
        <f>IF($Z213="","",INDEX('Per Line'!$G$2:$G$1001,$Z213))</f>
        <v/>
      </c>
      <c r="H213">
        <f>IF($Z213="","",INDEX('Per Line'!$I$2:$I$1001,$Z213)&amp;"")</f>
        <v/>
      </c>
      <c r="I213">
        <f>IF($Z213="","",INDEX('Per Line'!$J$2:$J$1001,$Z213)&amp;"")</f>
        <v/>
      </c>
      <c r="J213">
        <f>IF($Z213="","",INDEX('Per Line'!$K$2:$K$1001,$Z213)&amp;"")</f>
        <v/>
      </c>
      <c r="K213">
        <f>IF($Z213="","",INDEX('Per Line'!$L$2:$L$1001,$Z213)&amp;"")</f>
        <v/>
      </c>
      <c r="L213">
        <f>IF($Z213="","",INDEX('Per Line'!$M$2:$M$1001,$Z213)&amp;"")</f>
        <v/>
      </c>
      <c r="M213">
        <f>IF($Z213="","",INDEX('Per Line'!$P$2:$P$1001,$Z213))</f>
        <v/>
      </c>
      <c r="N213" s="7">
        <f>IF($Z213="","",M213*X213/100)</f>
        <v/>
      </c>
      <c r="O213" s="7">
        <f>IF($Z213="","",SUMIFS('Per Line'!$Y$2:$Y$1001,'Per Line'!$D$2:$D$1001,$B213,'Per Line'!$AP$2:$AP$1001,1))</f>
        <v/>
      </c>
      <c r="P213">
        <f>IF($Z213="","",Settings!$C$7)</f>
        <v/>
      </c>
      <c r="Q213" s="7">
        <f>IF($Z213="","",SUMIFS('Per Line'!$Y$2:$Y$1001,'Per Line'!$D$2:$D$1001,$B213,'Per Line'!$AO$2:$AO$1001,0,'Per Line'!$AP$2:$AP$1001,0))</f>
        <v/>
      </c>
      <c r="R213" s="7">
        <f>IF($Z213="","",Q213*P213)</f>
        <v/>
      </c>
      <c r="S213">
        <f>IF($Z213="","",Settings!$C$6)</f>
        <v/>
      </c>
      <c r="T213" s="7">
        <f>IF($Z213="","",SUMIFS('Per Line'!$Y$2:$Y$1001,'Per Line'!$D$2:$D$1001,$B213,'Per Line'!$AO$2:$AO$1001,1,'Per Line'!$AP$2:$AP$1001,0))</f>
        <v/>
      </c>
      <c r="U213" s="7">
        <f>IF($Z213="","",T213*S213)</f>
        <v/>
      </c>
      <c r="V213" s="7">
        <f>IF($Z213="","",U213+R213)</f>
        <v/>
      </c>
      <c r="W213" s="7">
        <f>IF($Z213="","",X213-V213)</f>
        <v/>
      </c>
      <c r="X213" s="7">
        <f>IF($Z213="","",Q213+T213+O213)</f>
        <v/>
      </c>
      <c r="Y213" s="7">
        <f>IF($Z213="","",X213-V213-N213)</f>
        <v/>
      </c>
      <c r="Z213" s="13">
        <f>IF(ROWS($Z$2:$Z213)&lt;=MAX('Per Line'!$AN$2:$AN$1001),MATCH(ROWS($Z$2:$Z213),'Per Line'!$AN$2:$AN$1001,0),"")</f>
        <v/>
      </c>
    </row>
    <row r="214">
      <c r="A214" s="12" t="n"/>
      <c r="B214">
        <f>IF($Z214="","",INDEX('Per Line'!$D$2:$D$1001,$Z214)&amp;"")</f>
        <v/>
      </c>
      <c r="C214">
        <f>IF($Z214="","",INDEX('Per Line'!$B$2:$B$1001,$Z214)&amp;"")</f>
        <v/>
      </c>
      <c r="D214">
        <f>IF($Z214="","",INDEX('Per Line'!$A$2:$A$1001,$Z214))</f>
        <v/>
      </c>
      <c r="E214">
        <f>IF($Z214="","",INDEX('Per Line'!$E$2:$E$1001,$Z214)&amp;"")</f>
        <v/>
      </c>
      <c r="F214">
        <f>IF($Z214="","",INDEX('Per Line'!$F$2:$F$1001,$Z214)&amp;"")</f>
        <v/>
      </c>
      <c r="G214" s="11">
        <f>IF($Z214="","",INDEX('Per Line'!$G$2:$G$1001,$Z214))</f>
        <v/>
      </c>
      <c r="H214">
        <f>IF($Z214="","",INDEX('Per Line'!$I$2:$I$1001,$Z214)&amp;"")</f>
        <v/>
      </c>
      <c r="I214">
        <f>IF($Z214="","",INDEX('Per Line'!$J$2:$J$1001,$Z214)&amp;"")</f>
        <v/>
      </c>
      <c r="J214">
        <f>IF($Z214="","",INDEX('Per Line'!$K$2:$K$1001,$Z214)&amp;"")</f>
        <v/>
      </c>
      <c r="K214">
        <f>IF($Z214="","",INDEX('Per Line'!$L$2:$L$1001,$Z214)&amp;"")</f>
        <v/>
      </c>
      <c r="L214">
        <f>IF($Z214="","",INDEX('Per Line'!$M$2:$M$1001,$Z214)&amp;"")</f>
        <v/>
      </c>
      <c r="M214">
        <f>IF($Z214="","",INDEX('Per Line'!$P$2:$P$1001,$Z214))</f>
        <v/>
      </c>
      <c r="N214" s="7">
        <f>IF($Z214="","",M214*X214/100)</f>
        <v/>
      </c>
      <c r="O214" s="7">
        <f>IF($Z214="","",SUMIFS('Per Line'!$Y$2:$Y$1001,'Per Line'!$D$2:$D$1001,$B214,'Per Line'!$AP$2:$AP$1001,1))</f>
        <v/>
      </c>
      <c r="P214">
        <f>IF($Z214="","",Settings!$C$7)</f>
        <v/>
      </c>
      <c r="Q214" s="7">
        <f>IF($Z214="","",SUMIFS('Per Line'!$Y$2:$Y$1001,'Per Line'!$D$2:$D$1001,$B214,'Per Line'!$AO$2:$AO$1001,0,'Per Line'!$AP$2:$AP$1001,0))</f>
        <v/>
      </c>
      <c r="R214" s="7">
        <f>IF($Z214="","",Q214*P214)</f>
        <v/>
      </c>
      <c r="S214">
        <f>IF($Z214="","",Settings!$C$6)</f>
        <v/>
      </c>
      <c r="T214" s="7">
        <f>IF($Z214="","",SUMIFS('Per Line'!$Y$2:$Y$1001,'Per Line'!$D$2:$D$1001,$B214,'Per Line'!$AO$2:$AO$1001,1,'Per Line'!$AP$2:$AP$1001,0))</f>
        <v/>
      </c>
      <c r="U214" s="7">
        <f>IF($Z214="","",T214*S214)</f>
        <v/>
      </c>
      <c r="V214" s="7">
        <f>IF($Z214="","",U214+R214)</f>
        <v/>
      </c>
      <c r="W214" s="7">
        <f>IF($Z214="","",X214-V214)</f>
        <v/>
      </c>
      <c r="X214" s="7">
        <f>IF($Z214="","",Q214+T214+O214)</f>
        <v/>
      </c>
      <c r="Y214" s="7">
        <f>IF($Z214="","",X214-V214-N214)</f>
        <v/>
      </c>
      <c r="Z214" s="13">
        <f>IF(ROWS($Z$2:$Z214)&lt;=MAX('Per Line'!$AN$2:$AN$1001),MATCH(ROWS($Z$2:$Z214),'Per Line'!$AN$2:$AN$1001,0),"")</f>
        <v/>
      </c>
    </row>
    <row r="215">
      <c r="A215" s="12" t="n"/>
      <c r="B215">
        <f>IF($Z215="","",INDEX('Per Line'!$D$2:$D$1001,$Z215)&amp;"")</f>
        <v/>
      </c>
      <c r="C215">
        <f>IF($Z215="","",INDEX('Per Line'!$B$2:$B$1001,$Z215)&amp;"")</f>
        <v/>
      </c>
      <c r="D215">
        <f>IF($Z215="","",INDEX('Per Line'!$A$2:$A$1001,$Z215))</f>
        <v/>
      </c>
      <c r="E215">
        <f>IF($Z215="","",INDEX('Per Line'!$E$2:$E$1001,$Z215)&amp;"")</f>
        <v/>
      </c>
      <c r="F215">
        <f>IF($Z215="","",INDEX('Per Line'!$F$2:$F$1001,$Z215)&amp;"")</f>
        <v/>
      </c>
      <c r="G215" s="11">
        <f>IF($Z215="","",INDEX('Per Line'!$G$2:$G$1001,$Z215))</f>
        <v/>
      </c>
      <c r="H215">
        <f>IF($Z215="","",INDEX('Per Line'!$I$2:$I$1001,$Z215)&amp;"")</f>
        <v/>
      </c>
      <c r="I215">
        <f>IF($Z215="","",INDEX('Per Line'!$J$2:$J$1001,$Z215)&amp;"")</f>
        <v/>
      </c>
      <c r="J215">
        <f>IF($Z215="","",INDEX('Per Line'!$K$2:$K$1001,$Z215)&amp;"")</f>
        <v/>
      </c>
      <c r="K215">
        <f>IF($Z215="","",INDEX('Per Line'!$L$2:$L$1001,$Z215)&amp;"")</f>
        <v/>
      </c>
      <c r="L215">
        <f>IF($Z215="","",INDEX('Per Line'!$M$2:$M$1001,$Z215)&amp;"")</f>
        <v/>
      </c>
      <c r="M215">
        <f>IF($Z215="","",INDEX('Per Line'!$P$2:$P$1001,$Z215))</f>
        <v/>
      </c>
      <c r="N215" s="7">
        <f>IF($Z215="","",M215*X215/100)</f>
        <v/>
      </c>
      <c r="O215" s="7">
        <f>IF($Z215="","",SUMIFS('Per Line'!$Y$2:$Y$1001,'Per Line'!$D$2:$D$1001,$B215,'Per Line'!$AP$2:$AP$1001,1))</f>
        <v/>
      </c>
      <c r="P215">
        <f>IF($Z215="","",Settings!$C$7)</f>
        <v/>
      </c>
      <c r="Q215" s="7">
        <f>IF($Z215="","",SUMIFS('Per Line'!$Y$2:$Y$1001,'Per Line'!$D$2:$D$1001,$B215,'Per Line'!$AO$2:$AO$1001,0,'Per Line'!$AP$2:$AP$1001,0))</f>
        <v/>
      </c>
      <c r="R215" s="7">
        <f>IF($Z215="","",Q215*P215)</f>
        <v/>
      </c>
      <c r="S215">
        <f>IF($Z215="","",Settings!$C$6)</f>
        <v/>
      </c>
      <c r="T215" s="7">
        <f>IF($Z215="","",SUMIFS('Per Line'!$Y$2:$Y$1001,'Per Line'!$D$2:$D$1001,$B215,'Per Line'!$AO$2:$AO$1001,1,'Per Line'!$AP$2:$AP$1001,0))</f>
        <v/>
      </c>
      <c r="U215" s="7">
        <f>IF($Z215="","",T215*S215)</f>
        <v/>
      </c>
      <c r="V215" s="7">
        <f>IF($Z215="","",U215+R215)</f>
        <v/>
      </c>
      <c r="W215" s="7">
        <f>IF($Z215="","",X215-V215)</f>
        <v/>
      </c>
      <c r="X215" s="7">
        <f>IF($Z215="","",Q215+T215+O215)</f>
        <v/>
      </c>
      <c r="Y215" s="7">
        <f>IF($Z215="","",X215-V215-N215)</f>
        <v/>
      </c>
      <c r="Z215" s="13">
        <f>IF(ROWS($Z$2:$Z215)&lt;=MAX('Per Line'!$AN$2:$AN$1001),MATCH(ROWS($Z$2:$Z215),'Per Line'!$AN$2:$AN$1001,0),"")</f>
        <v/>
      </c>
    </row>
    <row r="216">
      <c r="A216" s="12" t="n"/>
      <c r="B216">
        <f>IF($Z216="","",INDEX('Per Line'!$D$2:$D$1001,$Z216)&amp;"")</f>
        <v/>
      </c>
      <c r="C216">
        <f>IF($Z216="","",INDEX('Per Line'!$B$2:$B$1001,$Z216)&amp;"")</f>
        <v/>
      </c>
      <c r="D216">
        <f>IF($Z216="","",INDEX('Per Line'!$A$2:$A$1001,$Z216))</f>
        <v/>
      </c>
      <c r="E216">
        <f>IF($Z216="","",INDEX('Per Line'!$E$2:$E$1001,$Z216)&amp;"")</f>
        <v/>
      </c>
      <c r="F216">
        <f>IF($Z216="","",INDEX('Per Line'!$F$2:$F$1001,$Z216)&amp;"")</f>
        <v/>
      </c>
      <c r="G216" s="11">
        <f>IF($Z216="","",INDEX('Per Line'!$G$2:$G$1001,$Z216))</f>
        <v/>
      </c>
      <c r="H216">
        <f>IF($Z216="","",INDEX('Per Line'!$I$2:$I$1001,$Z216)&amp;"")</f>
        <v/>
      </c>
      <c r="I216">
        <f>IF($Z216="","",INDEX('Per Line'!$J$2:$J$1001,$Z216)&amp;"")</f>
        <v/>
      </c>
      <c r="J216">
        <f>IF($Z216="","",INDEX('Per Line'!$K$2:$K$1001,$Z216)&amp;"")</f>
        <v/>
      </c>
      <c r="K216">
        <f>IF($Z216="","",INDEX('Per Line'!$L$2:$L$1001,$Z216)&amp;"")</f>
        <v/>
      </c>
      <c r="L216">
        <f>IF($Z216="","",INDEX('Per Line'!$M$2:$M$1001,$Z216)&amp;"")</f>
        <v/>
      </c>
      <c r="M216">
        <f>IF($Z216="","",INDEX('Per Line'!$P$2:$P$1001,$Z216))</f>
        <v/>
      </c>
      <c r="N216" s="7">
        <f>IF($Z216="","",M216*X216/100)</f>
        <v/>
      </c>
      <c r="O216" s="7">
        <f>IF($Z216="","",SUMIFS('Per Line'!$Y$2:$Y$1001,'Per Line'!$D$2:$D$1001,$B216,'Per Line'!$AP$2:$AP$1001,1))</f>
        <v/>
      </c>
      <c r="P216">
        <f>IF($Z216="","",Settings!$C$7)</f>
        <v/>
      </c>
      <c r="Q216" s="7">
        <f>IF($Z216="","",SUMIFS('Per Line'!$Y$2:$Y$1001,'Per Line'!$D$2:$D$1001,$B216,'Per Line'!$AO$2:$AO$1001,0,'Per Line'!$AP$2:$AP$1001,0))</f>
        <v/>
      </c>
      <c r="R216" s="7">
        <f>IF($Z216="","",Q216*P216)</f>
        <v/>
      </c>
      <c r="S216">
        <f>IF($Z216="","",Settings!$C$6)</f>
        <v/>
      </c>
      <c r="T216" s="7">
        <f>IF($Z216="","",SUMIFS('Per Line'!$Y$2:$Y$1001,'Per Line'!$D$2:$D$1001,$B216,'Per Line'!$AO$2:$AO$1001,1,'Per Line'!$AP$2:$AP$1001,0))</f>
        <v/>
      </c>
      <c r="U216" s="7">
        <f>IF($Z216="","",T216*S216)</f>
        <v/>
      </c>
      <c r="V216" s="7">
        <f>IF($Z216="","",U216+R216)</f>
        <v/>
      </c>
      <c r="W216" s="7">
        <f>IF($Z216="","",X216-V216)</f>
        <v/>
      </c>
      <c r="X216" s="7">
        <f>IF($Z216="","",Q216+T216+O216)</f>
        <v/>
      </c>
      <c r="Y216" s="7">
        <f>IF($Z216="","",X216-V216-N216)</f>
        <v/>
      </c>
      <c r="Z216" s="13">
        <f>IF(ROWS($Z$2:$Z216)&lt;=MAX('Per Line'!$AN$2:$AN$1001),MATCH(ROWS($Z$2:$Z216),'Per Line'!$AN$2:$AN$1001,0),"")</f>
        <v/>
      </c>
    </row>
    <row r="217">
      <c r="A217" s="12" t="n"/>
      <c r="B217">
        <f>IF($Z217="","",INDEX('Per Line'!$D$2:$D$1001,$Z217)&amp;"")</f>
        <v/>
      </c>
      <c r="C217">
        <f>IF($Z217="","",INDEX('Per Line'!$B$2:$B$1001,$Z217)&amp;"")</f>
        <v/>
      </c>
      <c r="D217">
        <f>IF($Z217="","",INDEX('Per Line'!$A$2:$A$1001,$Z217))</f>
        <v/>
      </c>
      <c r="E217">
        <f>IF($Z217="","",INDEX('Per Line'!$E$2:$E$1001,$Z217)&amp;"")</f>
        <v/>
      </c>
      <c r="F217">
        <f>IF($Z217="","",INDEX('Per Line'!$F$2:$F$1001,$Z217)&amp;"")</f>
        <v/>
      </c>
      <c r="G217" s="11">
        <f>IF($Z217="","",INDEX('Per Line'!$G$2:$G$1001,$Z217))</f>
        <v/>
      </c>
      <c r="H217">
        <f>IF($Z217="","",INDEX('Per Line'!$I$2:$I$1001,$Z217)&amp;"")</f>
        <v/>
      </c>
      <c r="I217">
        <f>IF($Z217="","",INDEX('Per Line'!$J$2:$J$1001,$Z217)&amp;"")</f>
        <v/>
      </c>
      <c r="J217">
        <f>IF($Z217="","",INDEX('Per Line'!$K$2:$K$1001,$Z217)&amp;"")</f>
        <v/>
      </c>
      <c r="K217">
        <f>IF($Z217="","",INDEX('Per Line'!$L$2:$L$1001,$Z217)&amp;"")</f>
        <v/>
      </c>
      <c r="L217">
        <f>IF($Z217="","",INDEX('Per Line'!$M$2:$M$1001,$Z217)&amp;"")</f>
        <v/>
      </c>
      <c r="M217">
        <f>IF($Z217="","",INDEX('Per Line'!$P$2:$P$1001,$Z217))</f>
        <v/>
      </c>
      <c r="N217" s="7">
        <f>IF($Z217="","",M217*X217/100)</f>
        <v/>
      </c>
      <c r="O217" s="7">
        <f>IF($Z217="","",SUMIFS('Per Line'!$Y$2:$Y$1001,'Per Line'!$D$2:$D$1001,$B217,'Per Line'!$AP$2:$AP$1001,1))</f>
        <v/>
      </c>
      <c r="P217">
        <f>IF($Z217="","",Settings!$C$7)</f>
        <v/>
      </c>
      <c r="Q217" s="7">
        <f>IF($Z217="","",SUMIFS('Per Line'!$Y$2:$Y$1001,'Per Line'!$D$2:$D$1001,$B217,'Per Line'!$AO$2:$AO$1001,0,'Per Line'!$AP$2:$AP$1001,0))</f>
        <v/>
      </c>
      <c r="R217" s="7">
        <f>IF($Z217="","",Q217*P217)</f>
        <v/>
      </c>
      <c r="S217">
        <f>IF($Z217="","",Settings!$C$6)</f>
        <v/>
      </c>
      <c r="T217" s="7">
        <f>IF($Z217="","",SUMIFS('Per Line'!$Y$2:$Y$1001,'Per Line'!$D$2:$D$1001,$B217,'Per Line'!$AO$2:$AO$1001,1,'Per Line'!$AP$2:$AP$1001,0))</f>
        <v/>
      </c>
      <c r="U217" s="7">
        <f>IF($Z217="","",T217*S217)</f>
        <v/>
      </c>
      <c r="V217" s="7">
        <f>IF($Z217="","",U217+R217)</f>
        <v/>
      </c>
      <c r="W217" s="7">
        <f>IF($Z217="","",X217-V217)</f>
        <v/>
      </c>
      <c r="X217" s="7">
        <f>IF($Z217="","",Q217+T217+O217)</f>
        <v/>
      </c>
      <c r="Y217" s="7">
        <f>IF($Z217="","",X217-V217-N217)</f>
        <v/>
      </c>
      <c r="Z217" s="13">
        <f>IF(ROWS($Z$2:$Z217)&lt;=MAX('Per Line'!$AN$2:$AN$1001),MATCH(ROWS($Z$2:$Z217),'Per Line'!$AN$2:$AN$1001,0),"")</f>
        <v/>
      </c>
    </row>
    <row r="218">
      <c r="A218" s="12" t="n"/>
      <c r="B218">
        <f>IF($Z218="","",INDEX('Per Line'!$D$2:$D$1001,$Z218)&amp;"")</f>
        <v/>
      </c>
      <c r="C218">
        <f>IF($Z218="","",INDEX('Per Line'!$B$2:$B$1001,$Z218)&amp;"")</f>
        <v/>
      </c>
      <c r="D218">
        <f>IF($Z218="","",INDEX('Per Line'!$A$2:$A$1001,$Z218))</f>
        <v/>
      </c>
      <c r="E218">
        <f>IF($Z218="","",INDEX('Per Line'!$E$2:$E$1001,$Z218)&amp;"")</f>
        <v/>
      </c>
      <c r="F218">
        <f>IF($Z218="","",INDEX('Per Line'!$F$2:$F$1001,$Z218)&amp;"")</f>
        <v/>
      </c>
      <c r="G218" s="11">
        <f>IF($Z218="","",INDEX('Per Line'!$G$2:$G$1001,$Z218))</f>
        <v/>
      </c>
      <c r="H218">
        <f>IF($Z218="","",INDEX('Per Line'!$I$2:$I$1001,$Z218)&amp;"")</f>
        <v/>
      </c>
      <c r="I218">
        <f>IF($Z218="","",INDEX('Per Line'!$J$2:$J$1001,$Z218)&amp;"")</f>
        <v/>
      </c>
      <c r="J218">
        <f>IF($Z218="","",INDEX('Per Line'!$K$2:$K$1001,$Z218)&amp;"")</f>
        <v/>
      </c>
      <c r="K218">
        <f>IF($Z218="","",INDEX('Per Line'!$L$2:$L$1001,$Z218)&amp;"")</f>
        <v/>
      </c>
      <c r="L218">
        <f>IF($Z218="","",INDEX('Per Line'!$M$2:$M$1001,$Z218)&amp;"")</f>
        <v/>
      </c>
      <c r="M218">
        <f>IF($Z218="","",INDEX('Per Line'!$P$2:$P$1001,$Z218))</f>
        <v/>
      </c>
      <c r="N218" s="7">
        <f>IF($Z218="","",M218*X218/100)</f>
        <v/>
      </c>
      <c r="O218" s="7">
        <f>IF($Z218="","",SUMIFS('Per Line'!$Y$2:$Y$1001,'Per Line'!$D$2:$D$1001,$B218,'Per Line'!$AP$2:$AP$1001,1))</f>
        <v/>
      </c>
      <c r="P218">
        <f>IF($Z218="","",Settings!$C$7)</f>
        <v/>
      </c>
      <c r="Q218" s="7">
        <f>IF($Z218="","",SUMIFS('Per Line'!$Y$2:$Y$1001,'Per Line'!$D$2:$D$1001,$B218,'Per Line'!$AO$2:$AO$1001,0,'Per Line'!$AP$2:$AP$1001,0))</f>
        <v/>
      </c>
      <c r="R218" s="7">
        <f>IF($Z218="","",Q218*P218)</f>
        <v/>
      </c>
      <c r="S218">
        <f>IF($Z218="","",Settings!$C$6)</f>
        <v/>
      </c>
      <c r="T218" s="7">
        <f>IF($Z218="","",SUMIFS('Per Line'!$Y$2:$Y$1001,'Per Line'!$D$2:$D$1001,$B218,'Per Line'!$AO$2:$AO$1001,1,'Per Line'!$AP$2:$AP$1001,0))</f>
        <v/>
      </c>
      <c r="U218" s="7">
        <f>IF($Z218="","",T218*S218)</f>
        <v/>
      </c>
      <c r="V218" s="7">
        <f>IF($Z218="","",U218+R218)</f>
        <v/>
      </c>
      <c r="W218" s="7">
        <f>IF($Z218="","",X218-V218)</f>
        <v/>
      </c>
      <c r="X218" s="7">
        <f>IF($Z218="","",Q218+T218+O218)</f>
        <v/>
      </c>
      <c r="Y218" s="7">
        <f>IF($Z218="","",X218-V218-N218)</f>
        <v/>
      </c>
      <c r="Z218" s="13">
        <f>IF(ROWS($Z$2:$Z218)&lt;=MAX('Per Line'!$AN$2:$AN$1001),MATCH(ROWS($Z$2:$Z218),'Per Line'!$AN$2:$AN$1001,0),"")</f>
        <v/>
      </c>
    </row>
    <row r="219">
      <c r="A219" s="12" t="n"/>
      <c r="B219">
        <f>IF($Z219="","",INDEX('Per Line'!$D$2:$D$1001,$Z219)&amp;"")</f>
        <v/>
      </c>
      <c r="C219">
        <f>IF($Z219="","",INDEX('Per Line'!$B$2:$B$1001,$Z219)&amp;"")</f>
        <v/>
      </c>
      <c r="D219">
        <f>IF($Z219="","",INDEX('Per Line'!$A$2:$A$1001,$Z219))</f>
        <v/>
      </c>
      <c r="E219">
        <f>IF($Z219="","",INDEX('Per Line'!$E$2:$E$1001,$Z219)&amp;"")</f>
        <v/>
      </c>
      <c r="F219">
        <f>IF($Z219="","",INDEX('Per Line'!$F$2:$F$1001,$Z219)&amp;"")</f>
        <v/>
      </c>
      <c r="G219" s="11">
        <f>IF($Z219="","",INDEX('Per Line'!$G$2:$G$1001,$Z219))</f>
        <v/>
      </c>
      <c r="H219">
        <f>IF($Z219="","",INDEX('Per Line'!$I$2:$I$1001,$Z219)&amp;"")</f>
        <v/>
      </c>
      <c r="I219">
        <f>IF($Z219="","",INDEX('Per Line'!$J$2:$J$1001,$Z219)&amp;"")</f>
        <v/>
      </c>
      <c r="J219">
        <f>IF($Z219="","",INDEX('Per Line'!$K$2:$K$1001,$Z219)&amp;"")</f>
        <v/>
      </c>
      <c r="K219">
        <f>IF($Z219="","",INDEX('Per Line'!$L$2:$L$1001,$Z219)&amp;"")</f>
        <v/>
      </c>
      <c r="L219">
        <f>IF($Z219="","",INDEX('Per Line'!$M$2:$M$1001,$Z219)&amp;"")</f>
        <v/>
      </c>
      <c r="M219">
        <f>IF($Z219="","",INDEX('Per Line'!$P$2:$P$1001,$Z219))</f>
        <v/>
      </c>
      <c r="N219" s="7">
        <f>IF($Z219="","",M219*X219/100)</f>
        <v/>
      </c>
      <c r="O219" s="7">
        <f>IF($Z219="","",SUMIFS('Per Line'!$Y$2:$Y$1001,'Per Line'!$D$2:$D$1001,$B219,'Per Line'!$AP$2:$AP$1001,1))</f>
        <v/>
      </c>
      <c r="P219">
        <f>IF($Z219="","",Settings!$C$7)</f>
        <v/>
      </c>
      <c r="Q219" s="7">
        <f>IF($Z219="","",SUMIFS('Per Line'!$Y$2:$Y$1001,'Per Line'!$D$2:$D$1001,$B219,'Per Line'!$AO$2:$AO$1001,0,'Per Line'!$AP$2:$AP$1001,0))</f>
        <v/>
      </c>
      <c r="R219" s="7">
        <f>IF($Z219="","",Q219*P219)</f>
        <v/>
      </c>
      <c r="S219">
        <f>IF($Z219="","",Settings!$C$6)</f>
        <v/>
      </c>
      <c r="T219" s="7">
        <f>IF($Z219="","",SUMIFS('Per Line'!$Y$2:$Y$1001,'Per Line'!$D$2:$D$1001,$B219,'Per Line'!$AO$2:$AO$1001,1,'Per Line'!$AP$2:$AP$1001,0))</f>
        <v/>
      </c>
      <c r="U219" s="7">
        <f>IF($Z219="","",T219*S219)</f>
        <v/>
      </c>
      <c r="V219" s="7">
        <f>IF($Z219="","",U219+R219)</f>
        <v/>
      </c>
      <c r="W219" s="7">
        <f>IF($Z219="","",X219-V219)</f>
        <v/>
      </c>
      <c r="X219" s="7">
        <f>IF($Z219="","",Q219+T219+O219)</f>
        <v/>
      </c>
      <c r="Y219" s="7">
        <f>IF($Z219="","",X219-V219-N219)</f>
        <v/>
      </c>
      <c r="Z219" s="13">
        <f>IF(ROWS($Z$2:$Z219)&lt;=MAX('Per Line'!$AN$2:$AN$1001),MATCH(ROWS($Z$2:$Z219),'Per Line'!$AN$2:$AN$1001,0),"")</f>
        <v/>
      </c>
    </row>
    <row r="220">
      <c r="A220" s="12" t="n"/>
      <c r="B220">
        <f>IF($Z220="","",INDEX('Per Line'!$D$2:$D$1001,$Z220)&amp;"")</f>
        <v/>
      </c>
      <c r="C220">
        <f>IF($Z220="","",INDEX('Per Line'!$B$2:$B$1001,$Z220)&amp;"")</f>
        <v/>
      </c>
      <c r="D220">
        <f>IF($Z220="","",INDEX('Per Line'!$A$2:$A$1001,$Z220))</f>
        <v/>
      </c>
      <c r="E220">
        <f>IF($Z220="","",INDEX('Per Line'!$E$2:$E$1001,$Z220)&amp;"")</f>
        <v/>
      </c>
      <c r="F220">
        <f>IF($Z220="","",INDEX('Per Line'!$F$2:$F$1001,$Z220)&amp;"")</f>
        <v/>
      </c>
      <c r="G220" s="11">
        <f>IF($Z220="","",INDEX('Per Line'!$G$2:$G$1001,$Z220))</f>
        <v/>
      </c>
      <c r="H220">
        <f>IF($Z220="","",INDEX('Per Line'!$I$2:$I$1001,$Z220)&amp;"")</f>
        <v/>
      </c>
      <c r="I220">
        <f>IF($Z220="","",INDEX('Per Line'!$J$2:$J$1001,$Z220)&amp;"")</f>
        <v/>
      </c>
      <c r="J220">
        <f>IF($Z220="","",INDEX('Per Line'!$K$2:$K$1001,$Z220)&amp;"")</f>
        <v/>
      </c>
      <c r="K220">
        <f>IF($Z220="","",INDEX('Per Line'!$L$2:$L$1001,$Z220)&amp;"")</f>
        <v/>
      </c>
      <c r="L220">
        <f>IF($Z220="","",INDEX('Per Line'!$M$2:$M$1001,$Z220)&amp;"")</f>
        <v/>
      </c>
      <c r="M220">
        <f>IF($Z220="","",INDEX('Per Line'!$P$2:$P$1001,$Z220))</f>
        <v/>
      </c>
      <c r="N220" s="7">
        <f>IF($Z220="","",M220*X220/100)</f>
        <v/>
      </c>
      <c r="O220" s="7">
        <f>IF($Z220="","",SUMIFS('Per Line'!$Y$2:$Y$1001,'Per Line'!$D$2:$D$1001,$B220,'Per Line'!$AP$2:$AP$1001,1))</f>
        <v/>
      </c>
      <c r="P220">
        <f>IF($Z220="","",Settings!$C$7)</f>
        <v/>
      </c>
      <c r="Q220" s="7">
        <f>IF($Z220="","",SUMIFS('Per Line'!$Y$2:$Y$1001,'Per Line'!$D$2:$D$1001,$B220,'Per Line'!$AO$2:$AO$1001,0,'Per Line'!$AP$2:$AP$1001,0))</f>
        <v/>
      </c>
      <c r="R220" s="7">
        <f>IF($Z220="","",Q220*P220)</f>
        <v/>
      </c>
      <c r="S220">
        <f>IF($Z220="","",Settings!$C$6)</f>
        <v/>
      </c>
      <c r="T220" s="7">
        <f>IF($Z220="","",SUMIFS('Per Line'!$Y$2:$Y$1001,'Per Line'!$D$2:$D$1001,$B220,'Per Line'!$AO$2:$AO$1001,1,'Per Line'!$AP$2:$AP$1001,0))</f>
        <v/>
      </c>
      <c r="U220" s="7">
        <f>IF($Z220="","",T220*S220)</f>
        <v/>
      </c>
      <c r="V220" s="7">
        <f>IF($Z220="","",U220+R220)</f>
        <v/>
      </c>
      <c r="W220" s="7">
        <f>IF($Z220="","",X220-V220)</f>
        <v/>
      </c>
      <c r="X220" s="7">
        <f>IF($Z220="","",Q220+T220+O220)</f>
        <v/>
      </c>
      <c r="Y220" s="7">
        <f>IF($Z220="","",X220-V220-N220)</f>
        <v/>
      </c>
      <c r="Z220" s="13">
        <f>IF(ROWS($Z$2:$Z220)&lt;=MAX('Per Line'!$AN$2:$AN$1001),MATCH(ROWS($Z$2:$Z220),'Per Line'!$AN$2:$AN$1001,0),"")</f>
        <v/>
      </c>
    </row>
    <row r="221">
      <c r="A221" s="12" t="n"/>
      <c r="B221">
        <f>IF($Z221="","",INDEX('Per Line'!$D$2:$D$1001,$Z221)&amp;"")</f>
        <v/>
      </c>
      <c r="C221">
        <f>IF($Z221="","",INDEX('Per Line'!$B$2:$B$1001,$Z221)&amp;"")</f>
        <v/>
      </c>
      <c r="D221">
        <f>IF($Z221="","",INDEX('Per Line'!$A$2:$A$1001,$Z221))</f>
        <v/>
      </c>
      <c r="E221">
        <f>IF($Z221="","",INDEX('Per Line'!$E$2:$E$1001,$Z221)&amp;"")</f>
        <v/>
      </c>
      <c r="F221">
        <f>IF($Z221="","",INDEX('Per Line'!$F$2:$F$1001,$Z221)&amp;"")</f>
        <v/>
      </c>
      <c r="G221" s="11">
        <f>IF($Z221="","",INDEX('Per Line'!$G$2:$G$1001,$Z221))</f>
        <v/>
      </c>
      <c r="H221">
        <f>IF($Z221="","",INDEX('Per Line'!$I$2:$I$1001,$Z221)&amp;"")</f>
        <v/>
      </c>
      <c r="I221">
        <f>IF($Z221="","",INDEX('Per Line'!$J$2:$J$1001,$Z221)&amp;"")</f>
        <v/>
      </c>
      <c r="J221">
        <f>IF($Z221="","",INDEX('Per Line'!$K$2:$K$1001,$Z221)&amp;"")</f>
        <v/>
      </c>
      <c r="K221">
        <f>IF($Z221="","",INDEX('Per Line'!$L$2:$L$1001,$Z221)&amp;"")</f>
        <v/>
      </c>
      <c r="L221">
        <f>IF($Z221="","",INDEX('Per Line'!$M$2:$M$1001,$Z221)&amp;"")</f>
        <v/>
      </c>
      <c r="M221">
        <f>IF($Z221="","",INDEX('Per Line'!$P$2:$P$1001,$Z221))</f>
        <v/>
      </c>
      <c r="N221" s="7">
        <f>IF($Z221="","",M221*X221/100)</f>
        <v/>
      </c>
      <c r="O221" s="7">
        <f>IF($Z221="","",SUMIFS('Per Line'!$Y$2:$Y$1001,'Per Line'!$D$2:$D$1001,$B221,'Per Line'!$AP$2:$AP$1001,1))</f>
        <v/>
      </c>
      <c r="P221">
        <f>IF($Z221="","",Settings!$C$7)</f>
        <v/>
      </c>
      <c r="Q221" s="7">
        <f>IF($Z221="","",SUMIFS('Per Line'!$Y$2:$Y$1001,'Per Line'!$D$2:$D$1001,$B221,'Per Line'!$AO$2:$AO$1001,0,'Per Line'!$AP$2:$AP$1001,0))</f>
        <v/>
      </c>
      <c r="R221" s="7">
        <f>IF($Z221="","",Q221*P221)</f>
        <v/>
      </c>
      <c r="S221">
        <f>IF($Z221="","",Settings!$C$6)</f>
        <v/>
      </c>
      <c r="T221" s="7">
        <f>IF($Z221="","",SUMIFS('Per Line'!$Y$2:$Y$1001,'Per Line'!$D$2:$D$1001,$B221,'Per Line'!$AO$2:$AO$1001,1,'Per Line'!$AP$2:$AP$1001,0))</f>
        <v/>
      </c>
      <c r="U221" s="7">
        <f>IF($Z221="","",T221*S221)</f>
        <v/>
      </c>
      <c r="V221" s="7">
        <f>IF($Z221="","",U221+R221)</f>
        <v/>
      </c>
      <c r="W221" s="7">
        <f>IF($Z221="","",X221-V221)</f>
        <v/>
      </c>
      <c r="X221" s="7">
        <f>IF($Z221="","",Q221+T221+O221)</f>
        <v/>
      </c>
      <c r="Y221" s="7">
        <f>IF($Z221="","",X221-V221-N221)</f>
        <v/>
      </c>
      <c r="Z221" s="13">
        <f>IF(ROWS($Z$2:$Z221)&lt;=MAX('Per Line'!$AN$2:$AN$1001),MATCH(ROWS($Z$2:$Z221),'Per Line'!$AN$2:$AN$1001,0),"")</f>
        <v/>
      </c>
    </row>
    <row r="222">
      <c r="A222" s="12" t="n"/>
      <c r="B222">
        <f>IF($Z222="","",INDEX('Per Line'!$D$2:$D$1001,$Z222)&amp;"")</f>
        <v/>
      </c>
      <c r="C222">
        <f>IF($Z222="","",INDEX('Per Line'!$B$2:$B$1001,$Z222)&amp;"")</f>
        <v/>
      </c>
      <c r="D222">
        <f>IF($Z222="","",INDEX('Per Line'!$A$2:$A$1001,$Z222))</f>
        <v/>
      </c>
      <c r="E222">
        <f>IF($Z222="","",INDEX('Per Line'!$E$2:$E$1001,$Z222)&amp;"")</f>
        <v/>
      </c>
      <c r="F222">
        <f>IF($Z222="","",INDEX('Per Line'!$F$2:$F$1001,$Z222)&amp;"")</f>
        <v/>
      </c>
      <c r="G222" s="11">
        <f>IF($Z222="","",INDEX('Per Line'!$G$2:$G$1001,$Z222))</f>
        <v/>
      </c>
      <c r="H222">
        <f>IF($Z222="","",INDEX('Per Line'!$I$2:$I$1001,$Z222)&amp;"")</f>
        <v/>
      </c>
      <c r="I222">
        <f>IF($Z222="","",INDEX('Per Line'!$J$2:$J$1001,$Z222)&amp;"")</f>
        <v/>
      </c>
      <c r="J222">
        <f>IF($Z222="","",INDEX('Per Line'!$K$2:$K$1001,$Z222)&amp;"")</f>
        <v/>
      </c>
      <c r="K222">
        <f>IF($Z222="","",INDEX('Per Line'!$L$2:$L$1001,$Z222)&amp;"")</f>
        <v/>
      </c>
      <c r="L222">
        <f>IF($Z222="","",INDEX('Per Line'!$M$2:$M$1001,$Z222)&amp;"")</f>
        <v/>
      </c>
      <c r="M222">
        <f>IF($Z222="","",INDEX('Per Line'!$P$2:$P$1001,$Z222))</f>
        <v/>
      </c>
      <c r="N222" s="7">
        <f>IF($Z222="","",M222*X222/100)</f>
        <v/>
      </c>
      <c r="O222" s="7">
        <f>IF($Z222="","",SUMIFS('Per Line'!$Y$2:$Y$1001,'Per Line'!$D$2:$D$1001,$B222,'Per Line'!$AP$2:$AP$1001,1))</f>
        <v/>
      </c>
      <c r="P222">
        <f>IF($Z222="","",Settings!$C$7)</f>
        <v/>
      </c>
      <c r="Q222" s="7">
        <f>IF($Z222="","",SUMIFS('Per Line'!$Y$2:$Y$1001,'Per Line'!$D$2:$D$1001,$B222,'Per Line'!$AO$2:$AO$1001,0,'Per Line'!$AP$2:$AP$1001,0))</f>
        <v/>
      </c>
      <c r="R222" s="7">
        <f>IF($Z222="","",Q222*P222)</f>
        <v/>
      </c>
      <c r="S222">
        <f>IF($Z222="","",Settings!$C$6)</f>
        <v/>
      </c>
      <c r="T222" s="7">
        <f>IF($Z222="","",SUMIFS('Per Line'!$Y$2:$Y$1001,'Per Line'!$D$2:$D$1001,$B222,'Per Line'!$AO$2:$AO$1001,1,'Per Line'!$AP$2:$AP$1001,0))</f>
        <v/>
      </c>
      <c r="U222" s="7">
        <f>IF($Z222="","",T222*S222)</f>
        <v/>
      </c>
      <c r="V222" s="7">
        <f>IF($Z222="","",U222+R222)</f>
        <v/>
      </c>
      <c r="W222" s="7">
        <f>IF($Z222="","",X222-V222)</f>
        <v/>
      </c>
      <c r="X222" s="7">
        <f>IF($Z222="","",Q222+T222+O222)</f>
        <v/>
      </c>
      <c r="Y222" s="7">
        <f>IF($Z222="","",X222-V222-N222)</f>
        <v/>
      </c>
      <c r="Z222" s="13">
        <f>IF(ROWS($Z$2:$Z222)&lt;=MAX('Per Line'!$AN$2:$AN$1001),MATCH(ROWS($Z$2:$Z222),'Per Line'!$AN$2:$AN$1001,0),"")</f>
        <v/>
      </c>
    </row>
    <row r="223">
      <c r="A223" s="12" t="n"/>
      <c r="B223">
        <f>IF($Z223="","",INDEX('Per Line'!$D$2:$D$1001,$Z223)&amp;"")</f>
        <v/>
      </c>
      <c r="C223">
        <f>IF($Z223="","",INDEX('Per Line'!$B$2:$B$1001,$Z223)&amp;"")</f>
        <v/>
      </c>
      <c r="D223">
        <f>IF($Z223="","",INDEX('Per Line'!$A$2:$A$1001,$Z223))</f>
        <v/>
      </c>
      <c r="E223">
        <f>IF($Z223="","",INDEX('Per Line'!$E$2:$E$1001,$Z223)&amp;"")</f>
        <v/>
      </c>
      <c r="F223">
        <f>IF($Z223="","",INDEX('Per Line'!$F$2:$F$1001,$Z223)&amp;"")</f>
        <v/>
      </c>
      <c r="G223" s="11">
        <f>IF($Z223="","",INDEX('Per Line'!$G$2:$G$1001,$Z223))</f>
        <v/>
      </c>
      <c r="H223">
        <f>IF($Z223="","",INDEX('Per Line'!$I$2:$I$1001,$Z223)&amp;"")</f>
        <v/>
      </c>
      <c r="I223">
        <f>IF($Z223="","",INDEX('Per Line'!$J$2:$J$1001,$Z223)&amp;"")</f>
        <v/>
      </c>
      <c r="J223">
        <f>IF($Z223="","",INDEX('Per Line'!$K$2:$K$1001,$Z223)&amp;"")</f>
        <v/>
      </c>
      <c r="K223">
        <f>IF($Z223="","",INDEX('Per Line'!$L$2:$L$1001,$Z223)&amp;"")</f>
        <v/>
      </c>
      <c r="L223">
        <f>IF($Z223="","",INDEX('Per Line'!$M$2:$M$1001,$Z223)&amp;"")</f>
        <v/>
      </c>
      <c r="M223">
        <f>IF($Z223="","",INDEX('Per Line'!$P$2:$P$1001,$Z223))</f>
        <v/>
      </c>
      <c r="N223" s="7">
        <f>IF($Z223="","",M223*X223/100)</f>
        <v/>
      </c>
      <c r="O223" s="7">
        <f>IF($Z223="","",SUMIFS('Per Line'!$Y$2:$Y$1001,'Per Line'!$D$2:$D$1001,$B223,'Per Line'!$AP$2:$AP$1001,1))</f>
        <v/>
      </c>
      <c r="P223">
        <f>IF($Z223="","",Settings!$C$7)</f>
        <v/>
      </c>
      <c r="Q223" s="7">
        <f>IF($Z223="","",SUMIFS('Per Line'!$Y$2:$Y$1001,'Per Line'!$D$2:$D$1001,$B223,'Per Line'!$AO$2:$AO$1001,0,'Per Line'!$AP$2:$AP$1001,0))</f>
        <v/>
      </c>
      <c r="R223" s="7">
        <f>IF($Z223="","",Q223*P223)</f>
        <v/>
      </c>
      <c r="S223">
        <f>IF($Z223="","",Settings!$C$6)</f>
        <v/>
      </c>
      <c r="T223" s="7">
        <f>IF($Z223="","",SUMIFS('Per Line'!$Y$2:$Y$1001,'Per Line'!$D$2:$D$1001,$B223,'Per Line'!$AO$2:$AO$1001,1,'Per Line'!$AP$2:$AP$1001,0))</f>
        <v/>
      </c>
      <c r="U223" s="7">
        <f>IF($Z223="","",T223*S223)</f>
        <v/>
      </c>
      <c r="V223" s="7">
        <f>IF($Z223="","",U223+R223)</f>
        <v/>
      </c>
      <c r="W223" s="7">
        <f>IF($Z223="","",X223-V223)</f>
        <v/>
      </c>
      <c r="X223" s="7">
        <f>IF($Z223="","",Q223+T223+O223)</f>
        <v/>
      </c>
      <c r="Y223" s="7">
        <f>IF($Z223="","",X223-V223-N223)</f>
        <v/>
      </c>
      <c r="Z223" s="13">
        <f>IF(ROWS($Z$2:$Z223)&lt;=MAX('Per Line'!$AN$2:$AN$1001),MATCH(ROWS($Z$2:$Z223),'Per Line'!$AN$2:$AN$1001,0),"")</f>
        <v/>
      </c>
    </row>
    <row r="224">
      <c r="A224" s="12" t="n"/>
      <c r="B224">
        <f>IF($Z224="","",INDEX('Per Line'!$D$2:$D$1001,$Z224)&amp;"")</f>
        <v/>
      </c>
      <c r="C224">
        <f>IF($Z224="","",INDEX('Per Line'!$B$2:$B$1001,$Z224)&amp;"")</f>
        <v/>
      </c>
      <c r="D224">
        <f>IF($Z224="","",INDEX('Per Line'!$A$2:$A$1001,$Z224))</f>
        <v/>
      </c>
      <c r="E224">
        <f>IF($Z224="","",INDEX('Per Line'!$E$2:$E$1001,$Z224)&amp;"")</f>
        <v/>
      </c>
      <c r="F224">
        <f>IF($Z224="","",INDEX('Per Line'!$F$2:$F$1001,$Z224)&amp;"")</f>
        <v/>
      </c>
      <c r="G224" s="11">
        <f>IF($Z224="","",INDEX('Per Line'!$G$2:$G$1001,$Z224))</f>
        <v/>
      </c>
      <c r="H224">
        <f>IF($Z224="","",INDEX('Per Line'!$I$2:$I$1001,$Z224)&amp;"")</f>
        <v/>
      </c>
      <c r="I224">
        <f>IF($Z224="","",INDEX('Per Line'!$J$2:$J$1001,$Z224)&amp;"")</f>
        <v/>
      </c>
      <c r="J224">
        <f>IF($Z224="","",INDEX('Per Line'!$K$2:$K$1001,$Z224)&amp;"")</f>
        <v/>
      </c>
      <c r="K224">
        <f>IF($Z224="","",INDEX('Per Line'!$L$2:$L$1001,$Z224)&amp;"")</f>
        <v/>
      </c>
      <c r="L224">
        <f>IF($Z224="","",INDEX('Per Line'!$M$2:$M$1001,$Z224)&amp;"")</f>
        <v/>
      </c>
      <c r="M224">
        <f>IF($Z224="","",INDEX('Per Line'!$P$2:$P$1001,$Z224))</f>
        <v/>
      </c>
      <c r="N224" s="7">
        <f>IF($Z224="","",M224*X224/100)</f>
        <v/>
      </c>
      <c r="O224" s="7">
        <f>IF($Z224="","",SUMIFS('Per Line'!$Y$2:$Y$1001,'Per Line'!$D$2:$D$1001,$B224,'Per Line'!$AP$2:$AP$1001,1))</f>
        <v/>
      </c>
      <c r="P224">
        <f>IF($Z224="","",Settings!$C$7)</f>
        <v/>
      </c>
      <c r="Q224" s="7">
        <f>IF($Z224="","",SUMIFS('Per Line'!$Y$2:$Y$1001,'Per Line'!$D$2:$D$1001,$B224,'Per Line'!$AO$2:$AO$1001,0,'Per Line'!$AP$2:$AP$1001,0))</f>
        <v/>
      </c>
      <c r="R224" s="7">
        <f>IF($Z224="","",Q224*P224)</f>
        <v/>
      </c>
      <c r="S224">
        <f>IF($Z224="","",Settings!$C$6)</f>
        <v/>
      </c>
      <c r="T224" s="7">
        <f>IF($Z224="","",SUMIFS('Per Line'!$Y$2:$Y$1001,'Per Line'!$D$2:$D$1001,$B224,'Per Line'!$AO$2:$AO$1001,1,'Per Line'!$AP$2:$AP$1001,0))</f>
        <v/>
      </c>
      <c r="U224" s="7">
        <f>IF($Z224="","",T224*S224)</f>
        <v/>
      </c>
      <c r="V224" s="7">
        <f>IF($Z224="","",U224+R224)</f>
        <v/>
      </c>
      <c r="W224" s="7">
        <f>IF($Z224="","",X224-V224)</f>
        <v/>
      </c>
      <c r="X224" s="7">
        <f>IF($Z224="","",Q224+T224+O224)</f>
        <v/>
      </c>
      <c r="Y224" s="7">
        <f>IF($Z224="","",X224-V224-N224)</f>
        <v/>
      </c>
      <c r="Z224" s="13">
        <f>IF(ROWS($Z$2:$Z224)&lt;=MAX('Per Line'!$AN$2:$AN$1001),MATCH(ROWS($Z$2:$Z224),'Per Line'!$AN$2:$AN$1001,0),"")</f>
        <v/>
      </c>
    </row>
    <row r="225">
      <c r="A225" s="12" t="n"/>
      <c r="B225">
        <f>IF($Z225="","",INDEX('Per Line'!$D$2:$D$1001,$Z225)&amp;"")</f>
        <v/>
      </c>
      <c r="C225">
        <f>IF($Z225="","",INDEX('Per Line'!$B$2:$B$1001,$Z225)&amp;"")</f>
        <v/>
      </c>
      <c r="D225">
        <f>IF($Z225="","",INDEX('Per Line'!$A$2:$A$1001,$Z225))</f>
        <v/>
      </c>
      <c r="E225">
        <f>IF($Z225="","",INDEX('Per Line'!$E$2:$E$1001,$Z225)&amp;"")</f>
        <v/>
      </c>
      <c r="F225">
        <f>IF($Z225="","",INDEX('Per Line'!$F$2:$F$1001,$Z225)&amp;"")</f>
        <v/>
      </c>
      <c r="G225" s="11">
        <f>IF($Z225="","",INDEX('Per Line'!$G$2:$G$1001,$Z225))</f>
        <v/>
      </c>
      <c r="H225">
        <f>IF($Z225="","",INDEX('Per Line'!$I$2:$I$1001,$Z225)&amp;"")</f>
        <v/>
      </c>
      <c r="I225">
        <f>IF($Z225="","",INDEX('Per Line'!$J$2:$J$1001,$Z225)&amp;"")</f>
        <v/>
      </c>
      <c r="J225">
        <f>IF($Z225="","",INDEX('Per Line'!$K$2:$K$1001,$Z225)&amp;"")</f>
        <v/>
      </c>
      <c r="K225">
        <f>IF($Z225="","",INDEX('Per Line'!$L$2:$L$1001,$Z225)&amp;"")</f>
        <v/>
      </c>
      <c r="L225">
        <f>IF($Z225="","",INDEX('Per Line'!$M$2:$M$1001,$Z225)&amp;"")</f>
        <v/>
      </c>
      <c r="M225">
        <f>IF($Z225="","",INDEX('Per Line'!$P$2:$P$1001,$Z225))</f>
        <v/>
      </c>
      <c r="N225" s="7">
        <f>IF($Z225="","",M225*X225/100)</f>
        <v/>
      </c>
      <c r="O225" s="7">
        <f>IF($Z225="","",SUMIFS('Per Line'!$Y$2:$Y$1001,'Per Line'!$D$2:$D$1001,$B225,'Per Line'!$AP$2:$AP$1001,1))</f>
        <v/>
      </c>
      <c r="P225">
        <f>IF($Z225="","",Settings!$C$7)</f>
        <v/>
      </c>
      <c r="Q225" s="7">
        <f>IF($Z225="","",SUMIFS('Per Line'!$Y$2:$Y$1001,'Per Line'!$D$2:$D$1001,$B225,'Per Line'!$AO$2:$AO$1001,0,'Per Line'!$AP$2:$AP$1001,0))</f>
        <v/>
      </c>
      <c r="R225" s="7">
        <f>IF($Z225="","",Q225*P225)</f>
        <v/>
      </c>
      <c r="S225">
        <f>IF($Z225="","",Settings!$C$6)</f>
        <v/>
      </c>
      <c r="T225" s="7">
        <f>IF($Z225="","",SUMIFS('Per Line'!$Y$2:$Y$1001,'Per Line'!$D$2:$D$1001,$B225,'Per Line'!$AO$2:$AO$1001,1,'Per Line'!$AP$2:$AP$1001,0))</f>
        <v/>
      </c>
      <c r="U225" s="7">
        <f>IF($Z225="","",T225*S225)</f>
        <v/>
      </c>
      <c r="V225" s="7">
        <f>IF($Z225="","",U225+R225)</f>
        <v/>
      </c>
      <c r="W225" s="7">
        <f>IF($Z225="","",X225-V225)</f>
        <v/>
      </c>
      <c r="X225" s="7">
        <f>IF($Z225="","",Q225+T225+O225)</f>
        <v/>
      </c>
      <c r="Y225" s="7">
        <f>IF($Z225="","",X225-V225-N225)</f>
        <v/>
      </c>
      <c r="Z225" s="13">
        <f>IF(ROWS($Z$2:$Z225)&lt;=MAX('Per Line'!$AN$2:$AN$1001),MATCH(ROWS($Z$2:$Z225),'Per Line'!$AN$2:$AN$1001,0),"")</f>
        <v/>
      </c>
    </row>
    <row r="226">
      <c r="A226" s="12" t="n"/>
      <c r="B226">
        <f>IF($Z226="","",INDEX('Per Line'!$D$2:$D$1001,$Z226)&amp;"")</f>
        <v/>
      </c>
      <c r="C226">
        <f>IF($Z226="","",INDEX('Per Line'!$B$2:$B$1001,$Z226)&amp;"")</f>
        <v/>
      </c>
      <c r="D226">
        <f>IF($Z226="","",INDEX('Per Line'!$A$2:$A$1001,$Z226))</f>
        <v/>
      </c>
      <c r="E226">
        <f>IF($Z226="","",INDEX('Per Line'!$E$2:$E$1001,$Z226)&amp;"")</f>
        <v/>
      </c>
      <c r="F226">
        <f>IF($Z226="","",INDEX('Per Line'!$F$2:$F$1001,$Z226)&amp;"")</f>
        <v/>
      </c>
      <c r="G226" s="11">
        <f>IF($Z226="","",INDEX('Per Line'!$G$2:$G$1001,$Z226))</f>
        <v/>
      </c>
      <c r="H226">
        <f>IF($Z226="","",INDEX('Per Line'!$I$2:$I$1001,$Z226)&amp;"")</f>
        <v/>
      </c>
      <c r="I226">
        <f>IF($Z226="","",INDEX('Per Line'!$J$2:$J$1001,$Z226)&amp;"")</f>
        <v/>
      </c>
      <c r="J226">
        <f>IF($Z226="","",INDEX('Per Line'!$K$2:$K$1001,$Z226)&amp;"")</f>
        <v/>
      </c>
      <c r="K226">
        <f>IF($Z226="","",INDEX('Per Line'!$L$2:$L$1001,$Z226)&amp;"")</f>
        <v/>
      </c>
      <c r="L226">
        <f>IF($Z226="","",INDEX('Per Line'!$M$2:$M$1001,$Z226)&amp;"")</f>
        <v/>
      </c>
      <c r="M226">
        <f>IF($Z226="","",INDEX('Per Line'!$P$2:$P$1001,$Z226))</f>
        <v/>
      </c>
      <c r="N226" s="7">
        <f>IF($Z226="","",M226*X226/100)</f>
        <v/>
      </c>
      <c r="O226" s="7">
        <f>IF($Z226="","",SUMIFS('Per Line'!$Y$2:$Y$1001,'Per Line'!$D$2:$D$1001,$B226,'Per Line'!$AP$2:$AP$1001,1))</f>
        <v/>
      </c>
      <c r="P226">
        <f>IF($Z226="","",Settings!$C$7)</f>
        <v/>
      </c>
      <c r="Q226" s="7">
        <f>IF($Z226="","",SUMIFS('Per Line'!$Y$2:$Y$1001,'Per Line'!$D$2:$D$1001,$B226,'Per Line'!$AO$2:$AO$1001,0,'Per Line'!$AP$2:$AP$1001,0))</f>
        <v/>
      </c>
      <c r="R226" s="7">
        <f>IF($Z226="","",Q226*P226)</f>
        <v/>
      </c>
      <c r="S226">
        <f>IF($Z226="","",Settings!$C$6)</f>
        <v/>
      </c>
      <c r="T226" s="7">
        <f>IF($Z226="","",SUMIFS('Per Line'!$Y$2:$Y$1001,'Per Line'!$D$2:$D$1001,$B226,'Per Line'!$AO$2:$AO$1001,1,'Per Line'!$AP$2:$AP$1001,0))</f>
        <v/>
      </c>
      <c r="U226" s="7">
        <f>IF($Z226="","",T226*S226)</f>
        <v/>
      </c>
      <c r="V226" s="7">
        <f>IF($Z226="","",U226+R226)</f>
        <v/>
      </c>
      <c r="W226" s="7">
        <f>IF($Z226="","",X226-V226)</f>
        <v/>
      </c>
      <c r="X226" s="7">
        <f>IF($Z226="","",Q226+T226+O226)</f>
        <v/>
      </c>
      <c r="Y226" s="7">
        <f>IF($Z226="","",X226-V226-N226)</f>
        <v/>
      </c>
      <c r="Z226" s="13">
        <f>IF(ROWS($Z$2:$Z226)&lt;=MAX('Per Line'!$AN$2:$AN$1001),MATCH(ROWS($Z$2:$Z226),'Per Line'!$AN$2:$AN$1001,0),"")</f>
        <v/>
      </c>
    </row>
    <row r="227">
      <c r="A227" s="12" t="n"/>
      <c r="B227">
        <f>IF($Z227="","",INDEX('Per Line'!$D$2:$D$1001,$Z227)&amp;"")</f>
        <v/>
      </c>
      <c r="C227">
        <f>IF($Z227="","",INDEX('Per Line'!$B$2:$B$1001,$Z227)&amp;"")</f>
        <v/>
      </c>
      <c r="D227">
        <f>IF($Z227="","",INDEX('Per Line'!$A$2:$A$1001,$Z227))</f>
        <v/>
      </c>
      <c r="E227">
        <f>IF($Z227="","",INDEX('Per Line'!$E$2:$E$1001,$Z227)&amp;"")</f>
        <v/>
      </c>
      <c r="F227">
        <f>IF($Z227="","",INDEX('Per Line'!$F$2:$F$1001,$Z227)&amp;"")</f>
        <v/>
      </c>
      <c r="G227" s="11">
        <f>IF($Z227="","",INDEX('Per Line'!$G$2:$G$1001,$Z227))</f>
        <v/>
      </c>
      <c r="H227">
        <f>IF($Z227="","",INDEX('Per Line'!$I$2:$I$1001,$Z227)&amp;"")</f>
        <v/>
      </c>
      <c r="I227">
        <f>IF($Z227="","",INDEX('Per Line'!$J$2:$J$1001,$Z227)&amp;"")</f>
        <v/>
      </c>
      <c r="J227">
        <f>IF($Z227="","",INDEX('Per Line'!$K$2:$K$1001,$Z227)&amp;"")</f>
        <v/>
      </c>
      <c r="K227">
        <f>IF($Z227="","",INDEX('Per Line'!$L$2:$L$1001,$Z227)&amp;"")</f>
        <v/>
      </c>
      <c r="L227">
        <f>IF($Z227="","",INDEX('Per Line'!$M$2:$M$1001,$Z227)&amp;"")</f>
        <v/>
      </c>
      <c r="M227">
        <f>IF($Z227="","",INDEX('Per Line'!$P$2:$P$1001,$Z227))</f>
        <v/>
      </c>
      <c r="N227" s="7">
        <f>IF($Z227="","",M227*X227/100)</f>
        <v/>
      </c>
      <c r="O227" s="7">
        <f>IF($Z227="","",SUMIFS('Per Line'!$Y$2:$Y$1001,'Per Line'!$D$2:$D$1001,$B227,'Per Line'!$AP$2:$AP$1001,1))</f>
        <v/>
      </c>
      <c r="P227">
        <f>IF($Z227="","",Settings!$C$7)</f>
        <v/>
      </c>
      <c r="Q227" s="7">
        <f>IF($Z227="","",SUMIFS('Per Line'!$Y$2:$Y$1001,'Per Line'!$D$2:$D$1001,$B227,'Per Line'!$AO$2:$AO$1001,0,'Per Line'!$AP$2:$AP$1001,0))</f>
        <v/>
      </c>
      <c r="R227" s="7">
        <f>IF($Z227="","",Q227*P227)</f>
        <v/>
      </c>
      <c r="S227">
        <f>IF($Z227="","",Settings!$C$6)</f>
        <v/>
      </c>
      <c r="T227" s="7">
        <f>IF($Z227="","",SUMIFS('Per Line'!$Y$2:$Y$1001,'Per Line'!$D$2:$D$1001,$B227,'Per Line'!$AO$2:$AO$1001,1,'Per Line'!$AP$2:$AP$1001,0))</f>
        <v/>
      </c>
      <c r="U227" s="7">
        <f>IF($Z227="","",T227*S227)</f>
        <v/>
      </c>
      <c r="V227" s="7">
        <f>IF($Z227="","",U227+R227)</f>
        <v/>
      </c>
      <c r="W227" s="7">
        <f>IF($Z227="","",X227-V227)</f>
        <v/>
      </c>
      <c r="X227" s="7">
        <f>IF($Z227="","",Q227+T227+O227)</f>
        <v/>
      </c>
      <c r="Y227" s="7">
        <f>IF($Z227="","",X227-V227-N227)</f>
        <v/>
      </c>
      <c r="Z227" s="13">
        <f>IF(ROWS($Z$2:$Z227)&lt;=MAX('Per Line'!$AN$2:$AN$1001),MATCH(ROWS($Z$2:$Z227),'Per Line'!$AN$2:$AN$1001,0),"")</f>
        <v/>
      </c>
    </row>
    <row r="228">
      <c r="A228" s="12" t="n"/>
      <c r="B228">
        <f>IF($Z228="","",INDEX('Per Line'!$D$2:$D$1001,$Z228)&amp;"")</f>
        <v/>
      </c>
      <c r="C228">
        <f>IF($Z228="","",INDEX('Per Line'!$B$2:$B$1001,$Z228)&amp;"")</f>
        <v/>
      </c>
      <c r="D228">
        <f>IF($Z228="","",INDEX('Per Line'!$A$2:$A$1001,$Z228))</f>
        <v/>
      </c>
      <c r="E228">
        <f>IF($Z228="","",INDEX('Per Line'!$E$2:$E$1001,$Z228)&amp;"")</f>
        <v/>
      </c>
      <c r="F228">
        <f>IF($Z228="","",INDEX('Per Line'!$F$2:$F$1001,$Z228)&amp;"")</f>
        <v/>
      </c>
      <c r="G228" s="11">
        <f>IF($Z228="","",INDEX('Per Line'!$G$2:$G$1001,$Z228))</f>
        <v/>
      </c>
      <c r="H228">
        <f>IF($Z228="","",INDEX('Per Line'!$I$2:$I$1001,$Z228)&amp;"")</f>
        <v/>
      </c>
      <c r="I228">
        <f>IF($Z228="","",INDEX('Per Line'!$J$2:$J$1001,$Z228)&amp;"")</f>
        <v/>
      </c>
      <c r="J228">
        <f>IF($Z228="","",INDEX('Per Line'!$K$2:$K$1001,$Z228)&amp;"")</f>
        <v/>
      </c>
      <c r="K228">
        <f>IF($Z228="","",INDEX('Per Line'!$L$2:$L$1001,$Z228)&amp;"")</f>
        <v/>
      </c>
      <c r="L228">
        <f>IF($Z228="","",INDEX('Per Line'!$M$2:$M$1001,$Z228)&amp;"")</f>
        <v/>
      </c>
      <c r="M228">
        <f>IF($Z228="","",INDEX('Per Line'!$P$2:$P$1001,$Z228))</f>
        <v/>
      </c>
      <c r="N228" s="7">
        <f>IF($Z228="","",M228*X228/100)</f>
        <v/>
      </c>
      <c r="O228" s="7">
        <f>IF($Z228="","",SUMIFS('Per Line'!$Y$2:$Y$1001,'Per Line'!$D$2:$D$1001,$B228,'Per Line'!$AP$2:$AP$1001,1))</f>
        <v/>
      </c>
      <c r="P228">
        <f>IF($Z228="","",Settings!$C$7)</f>
        <v/>
      </c>
      <c r="Q228" s="7">
        <f>IF($Z228="","",SUMIFS('Per Line'!$Y$2:$Y$1001,'Per Line'!$D$2:$D$1001,$B228,'Per Line'!$AO$2:$AO$1001,0,'Per Line'!$AP$2:$AP$1001,0))</f>
        <v/>
      </c>
      <c r="R228" s="7">
        <f>IF($Z228="","",Q228*P228)</f>
        <v/>
      </c>
      <c r="S228">
        <f>IF($Z228="","",Settings!$C$6)</f>
        <v/>
      </c>
      <c r="T228" s="7">
        <f>IF($Z228="","",SUMIFS('Per Line'!$Y$2:$Y$1001,'Per Line'!$D$2:$D$1001,$B228,'Per Line'!$AO$2:$AO$1001,1,'Per Line'!$AP$2:$AP$1001,0))</f>
        <v/>
      </c>
      <c r="U228" s="7">
        <f>IF($Z228="","",T228*S228)</f>
        <v/>
      </c>
      <c r="V228" s="7">
        <f>IF($Z228="","",U228+R228)</f>
        <v/>
      </c>
      <c r="W228" s="7">
        <f>IF($Z228="","",X228-V228)</f>
        <v/>
      </c>
      <c r="X228" s="7">
        <f>IF($Z228="","",Q228+T228+O228)</f>
        <v/>
      </c>
      <c r="Y228" s="7">
        <f>IF($Z228="","",X228-V228-N228)</f>
        <v/>
      </c>
      <c r="Z228" s="13">
        <f>IF(ROWS($Z$2:$Z228)&lt;=MAX('Per Line'!$AN$2:$AN$1001),MATCH(ROWS($Z$2:$Z228),'Per Line'!$AN$2:$AN$1001,0),"")</f>
        <v/>
      </c>
    </row>
    <row r="229">
      <c r="A229" s="12" t="n"/>
      <c r="B229">
        <f>IF($Z229="","",INDEX('Per Line'!$D$2:$D$1001,$Z229)&amp;"")</f>
        <v/>
      </c>
      <c r="C229">
        <f>IF($Z229="","",INDEX('Per Line'!$B$2:$B$1001,$Z229)&amp;"")</f>
        <v/>
      </c>
      <c r="D229">
        <f>IF($Z229="","",INDEX('Per Line'!$A$2:$A$1001,$Z229))</f>
        <v/>
      </c>
      <c r="E229">
        <f>IF($Z229="","",INDEX('Per Line'!$E$2:$E$1001,$Z229)&amp;"")</f>
        <v/>
      </c>
      <c r="F229">
        <f>IF($Z229="","",INDEX('Per Line'!$F$2:$F$1001,$Z229)&amp;"")</f>
        <v/>
      </c>
      <c r="G229" s="11">
        <f>IF($Z229="","",INDEX('Per Line'!$G$2:$G$1001,$Z229))</f>
        <v/>
      </c>
      <c r="H229">
        <f>IF($Z229="","",INDEX('Per Line'!$I$2:$I$1001,$Z229)&amp;"")</f>
        <v/>
      </c>
      <c r="I229">
        <f>IF($Z229="","",INDEX('Per Line'!$J$2:$J$1001,$Z229)&amp;"")</f>
        <v/>
      </c>
      <c r="J229">
        <f>IF($Z229="","",INDEX('Per Line'!$K$2:$K$1001,$Z229)&amp;"")</f>
        <v/>
      </c>
      <c r="K229">
        <f>IF($Z229="","",INDEX('Per Line'!$L$2:$L$1001,$Z229)&amp;"")</f>
        <v/>
      </c>
      <c r="L229">
        <f>IF($Z229="","",INDEX('Per Line'!$M$2:$M$1001,$Z229)&amp;"")</f>
        <v/>
      </c>
      <c r="M229">
        <f>IF($Z229="","",INDEX('Per Line'!$P$2:$P$1001,$Z229))</f>
        <v/>
      </c>
      <c r="N229" s="7">
        <f>IF($Z229="","",M229*X229/100)</f>
        <v/>
      </c>
      <c r="O229" s="7">
        <f>IF($Z229="","",SUMIFS('Per Line'!$Y$2:$Y$1001,'Per Line'!$D$2:$D$1001,$B229,'Per Line'!$AP$2:$AP$1001,1))</f>
        <v/>
      </c>
      <c r="P229">
        <f>IF($Z229="","",Settings!$C$7)</f>
        <v/>
      </c>
      <c r="Q229" s="7">
        <f>IF($Z229="","",SUMIFS('Per Line'!$Y$2:$Y$1001,'Per Line'!$D$2:$D$1001,$B229,'Per Line'!$AO$2:$AO$1001,0,'Per Line'!$AP$2:$AP$1001,0))</f>
        <v/>
      </c>
      <c r="R229" s="7">
        <f>IF($Z229="","",Q229*P229)</f>
        <v/>
      </c>
      <c r="S229">
        <f>IF($Z229="","",Settings!$C$6)</f>
        <v/>
      </c>
      <c r="T229" s="7">
        <f>IF($Z229="","",SUMIFS('Per Line'!$Y$2:$Y$1001,'Per Line'!$D$2:$D$1001,$B229,'Per Line'!$AO$2:$AO$1001,1,'Per Line'!$AP$2:$AP$1001,0))</f>
        <v/>
      </c>
      <c r="U229" s="7">
        <f>IF($Z229="","",T229*S229)</f>
        <v/>
      </c>
      <c r="V229" s="7">
        <f>IF($Z229="","",U229+R229)</f>
        <v/>
      </c>
      <c r="W229" s="7">
        <f>IF($Z229="","",X229-V229)</f>
        <v/>
      </c>
      <c r="X229" s="7">
        <f>IF($Z229="","",Q229+T229+O229)</f>
        <v/>
      </c>
      <c r="Y229" s="7">
        <f>IF($Z229="","",X229-V229-N229)</f>
        <v/>
      </c>
      <c r="Z229" s="13">
        <f>IF(ROWS($Z$2:$Z229)&lt;=MAX('Per Line'!$AN$2:$AN$1001),MATCH(ROWS($Z$2:$Z229),'Per Line'!$AN$2:$AN$1001,0),"")</f>
        <v/>
      </c>
    </row>
    <row r="230">
      <c r="A230" s="12" t="n"/>
      <c r="B230">
        <f>IF($Z230="","",INDEX('Per Line'!$D$2:$D$1001,$Z230)&amp;"")</f>
        <v/>
      </c>
      <c r="C230">
        <f>IF($Z230="","",INDEX('Per Line'!$B$2:$B$1001,$Z230)&amp;"")</f>
        <v/>
      </c>
      <c r="D230">
        <f>IF($Z230="","",INDEX('Per Line'!$A$2:$A$1001,$Z230))</f>
        <v/>
      </c>
      <c r="E230">
        <f>IF($Z230="","",INDEX('Per Line'!$E$2:$E$1001,$Z230)&amp;"")</f>
        <v/>
      </c>
      <c r="F230">
        <f>IF($Z230="","",INDEX('Per Line'!$F$2:$F$1001,$Z230)&amp;"")</f>
        <v/>
      </c>
      <c r="G230" s="11">
        <f>IF($Z230="","",INDEX('Per Line'!$G$2:$G$1001,$Z230))</f>
        <v/>
      </c>
      <c r="H230">
        <f>IF($Z230="","",INDEX('Per Line'!$I$2:$I$1001,$Z230)&amp;"")</f>
        <v/>
      </c>
      <c r="I230">
        <f>IF($Z230="","",INDEX('Per Line'!$J$2:$J$1001,$Z230)&amp;"")</f>
        <v/>
      </c>
      <c r="J230">
        <f>IF($Z230="","",INDEX('Per Line'!$K$2:$K$1001,$Z230)&amp;"")</f>
        <v/>
      </c>
      <c r="K230">
        <f>IF($Z230="","",INDEX('Per Line'!$L$2:$L$1001,$Z230)&amp;"")</f>
        <v/>
      </c>
      <c r="L230">
        <f>IF($Z230="","",INDEX('Per Line'!$M$2:$M$1001,$Z230)&amp;"")</f>
        <v/>
      </c>
      <c r="M230">
        <f>IF($Z230="","",INDEX('Per Line'!$P$2:$P$1001,$Z230))</f>
        <v/>
      </c>
      <c r="N230" s="7">
        <f>IF($Z230="","",M230*X230/100)</f>
        <v/>
      </c>
      <c r="O230" s="7">
        <f>IF($Z230="","",SUMIFS('Per Line'!$Y$2:$Y$1001,'Per Line'!$D$2:$D$1001,$B230,'Per Line'!$AP$2:$AP$1001,1))</f>
        <v/>
      </c>
      <c r="P230">
        <f>IF($Z230="","",Settings!$C$7)</f>
        <v/>
      </c>
      <c r="Q230" s="7">
        <f>IF($Z230="","",SUMIFS('Per Line'!$Y$2:$Y$1001,'Per Line'!$D$2:$D$1001,$B230,'Per Line'!$AO$2:$AO$1001,0,'Per Line'!$AP$2:$AP$1001,0))</f>
        <v/>
      </c>
      <c r="R230" s="7">
        <f>IF($Z230="","",Q230*P230)</f>
        <v/>
      </c>
      <c r="S230">
        <f>IF($Z230="","",Settings!$C$6)</f>
        <v/>
      </c>
      <c r="T230" s="7">
        <f>IF($Z230="","",SUMIFS('Per Line'!$Y$2:$Y$1001,'Per Line'!$D$2:$D$1001,$B230,'Per Line'!$AO$2:$AO$1001,1,'Per Line'!$AP$2:$AP$1001,0))</f>
        <v/>
      </c>
      <c r="U230" s="7">
        <f>IF($Z230="","",T230*S230)</f>
        <v/>
      </c>
      <c r="V230" s="7">
        <f>IF($Z230="","",U230+R230)</f>
        <v/>
      </c>
      <c r="W230" s="7">
        <f>IF($Z230="","",X230-V230)</f>
        <v/>
      </c>
      <c r="X230" s="7">
        <f>IF($Z230="","",Q230+T230+O230)</f>
        <v/>
      </c>
      <c r="Y230" s="7">
        <f>IF($Z230="","",X230-V230-N230)</f>
        <v/>
      </c>
      <c r="Z230" s="13">
        <f>IF(ROWS($Z$2:$Z230)&lt;=MAX('Per Line'!$AN$2:$AN$1001),MATCH(ROWS($Z$2:$Z230),'Per Line'!$AN$2:$AN$1001,0),"")</f>
        <v/>
      </c>
    </row>
    <row r="231">
      <c r="A231" s="12" t="n"/>
      <c r="B231">
        <f>IF($Z231="","",INDEX('Per Line'!$D$2:$D$1001,$Z231)&amp;"")</f>
        <v/>
      </c>
      <c r="C231">
        <f>IF($Z231="","",INDEX('Per Line'!$B$2:$B$1001,$Z231)&amp;"")</f>
        <v/>
      </c>
      <c r="D231">
        <f>IF($Z231="","",INDEX('Per Line'!$A$2:$A$1001,$Z231))</f>
        <v/>
      </c>
      <c r="E231">
        <f>IF($Z231="","",INDEX('Per Line'!$E$2:$E$1001,$Z231)&amp;"")</f>
        <v/>
      </c>
      <c r="F231">
        <f>IF($Z231="","",INDEX('Per Line'!$F$2:$F$1001,$Z231)&amp;"")</f>
        <v/>
      </c>
      <c r="G231" s="11">
        <f>IF($Z231="","",INDEX('Per Line'!$G$2:$G$1001,$Z231))</f>
        <v/>
      </c>
      <c r="H231">
        <f>IF($Z231="","",INDEX('Per Line'!$I$2:$I$1001,$Z231)&amp;"")</f>
        <v/>
      </c>
      <c r="I231">
        <f>IF($Z231="","",INDEX('Per Line'!$J$2:$J$1001,$Z231)&amp;"")</f>
        <v/>
      </c>
      <c r="J231">
        <f>IF($Z231="","",INDEX('Per Line'!$K$2:$K$1001,$Z231)&amp;"")</f>
        <v/>
      </c>
      <c r="K231">
        <f>IF($Z231="","",INDEX('Per Line'!$L$2:$L$1001,$Z231)&amp;"")</f>
        <v/>
      </c>
      <c r="L231">
        <f>IF($Z231="","",INDEX('Per Line'!$M$2:$M$1001,$Z231)&amp;"")</f>
        <v/>
      </c>
      <c r="M231">
        <f>IF($Z231="","",INDEX('Per Line'!$P$2:$P$1001,$Z231))</f>
        <v/>
      </c>
      <c r="N231" s="7">
        <f>IF($Z231="","",M231*X231/100)</f>
        <v/>
      </c>
      <c r="O231" s="7">
        <f>IF($Z231="","",SUMIFS('Per Line'!$Y$2:$Y$1001,'Per Line'!$D$2:$D$1001,$B231,'Per Line'!$AP$2:$AP$1001,1))</f>
        <v/>
      </c>
      <c r="P231">
        <f>IF($Z231="","",Settings!$C$7)</f>
        <v/>
      </c>
      <c r="Q231" s="7">
        <f>IF($Z231="","",SUMIFS('Per Line'!$Y$2:$Y$1001,'Per Line'!$D$2:$D$1001,$B231,'Per Line'!$AO$2:$AO$1001,0,'Per Line'!$AP$2:$AP$1001,0))</f>
        <v/>
      </c>
      <c r="R231" s="7">
        <f>IF($Z231="","",Q231*P231)</f>
        <v/>
      </c>
      <c r="S231">
        <f>IF($Z231="","",Settings!$C$6)</f>
        <v/>
      </c>
      <c r="T231" s="7">
        <f>IF($Z231="","",SUMIFS('Per Line'!$Y$2:$Y$1001,'Per Line'!$D$2:$D$1001,$B231,'Per Line'!$AO$2:$AO$1001,1,'Per Line'!$AP$2:$AP$1001,0))</f>
        <v/>
      </c>
      <c r="U231" s="7">
        <f>IF($Z231="","",T231*S231)</f>
        <v/>
      </c>
      <c r="V231" s="7">
        <f>IF($Z231="","",U231+R231)</f>
        <v/>
      </c>
      <c r="W231" s="7">
        <f>IF($Z231="","",X231-V231)</f>
        <v/>
      </c>
      <c r="X231" s="7">
        <f>IF($Z231="","",Q231+T231+O231)</f>
        <v/>
      </c>
      <c r="Y231" s="7">
        <f>IF($Z231="","",X231-V231-N231)</f>
        <v/>
      </c>
      <c r="Z231" s="13">
        <f>IF(ROWS($Z$2:$Z231)&lt;=MAX('Per Line'!$AN$2:$AN$1001),MATCH(ROWS($Z$2:$Z231),'Per Line'!$AN$2:$AN$1001,0),"")</f>
        <v/>
      </c>
    </row>
    <row r="232">
      <c r="A232" s="12" t="n"/>
      <c r="B232">
        <f>IF($Z232="","",INDEX('Per Line'!$D$2:$D$1001,$Z232)&amp;"")</f>
        <v/>
      </c>
      <c r="C232">
        <f>IF($Z232="","",INDEX('Per Line'!$B$2:$B$1001,$Z232)&amp;"")</f>
        <v/>
      </c>
      <c r="D232">
        <f>IF($Z232="","",INDEX('Per Line'!$A$2:$A$1001,$Z232))</f>
        <v/>
      </c>
      <c r="E232">
        <f>IF($Z232="","",INDEX('Per Line'!$E$2:$E$1001,$Z232)&amp;"")</f>
        <v/>
      </c>
      <c r="F232">
        <f>IF($Z232="","",INDEX('Per Line'!$F$2:$F$1001,$Z232)&amp;"")</f>
        <v/>
      </c>
      <c r="G232" s="11">
        <f>IF($Z232="","",INDEX('Per Line'!$G$2:$G$1001,$Z232))</f>
        <v/>
      </c>
      <c r="H232">
        <f>IF($Z232="","",INDEX('Per Line'!$I$2:$I$1001,$Z232)&amp;"")</f>
        <v/>
      </c>
      <c r="I232">
        <f>IF($Z232="","",INDEX('Per Line'!$J$2:$J$1001,$Z232)&amp;"")</f>
        <v/>
      </c>
      <c r="J232">
        <f>IF($Z232="","",INDEX('Per Line'!$K$2:$K$1001,$Z232)&amp;"")</f>
        <v/>
      </c>
      <c r="K232">
        <f>IF($Z232="","",INDEX('Per Line'!$L$2:$L$1001,$Z232)&amp;"")</f>
        <v/>
      </c>
      <c r="L232">
        <f>IF($Z232="","",INDEX('Per Line'!$M$2:$M$1001,$Z232)&amp;"")</f>
        <v/>
      </c>
      <c r="M232">
        <f>IF($Z232="","",INDEX('Per Line'!$P$2:$P$1001,$Z232))</f>
        <v/>
      </c>
      <c r="N232" s="7">
        <f>IF($Z232="","",M232*X232/100)</f>
        <v/>
      </c>
      <c r="O232" s="7">
        <f>IF($Z232="","",SUMIFS('Per Line'!$Y$2:$Y$1001,'Per Line'!$D$2:$D$1001,$B232,'Per Line'!$AP$2:$AP$1001,1))</f>
        <v/>
      </c>
      <c r="P232">
        <f>IF($Z232="","",Settings!$C$7)</f>
        <v/>
      </c>
      <c r="Q232" s="7">
        <f>IF($Z232="","",SUMIFS('Per Line'!$Y$2:$Y$1001,'Per Line'!$D$2:$D$1001,$B232,'Per Line'!$AO$2:$AO$1001,0,'Per Line'!$AP$2:$AP$1001,0))</f>
        <v/>
      </c>
      <c r="R232" s="7">
        <f>IF($Z232="","",Q232*P232)</f>
        <v/>
      </c>
      <c r="S232">
        <f>IF($Z232="","",Settings!$C$6)</f>
        <v/>
      </c>
      <c r="T232" s="7">
        <f>IF($Z232="","",SUMIFS('Per Line'!$Y$2:$Y$1001,'Per Line'!$D$2:$D$1001,$B232,'Per Line'!$AO$2:$AO$1001,1,'Per Line'!$AP$2:$AP$1001,0))</f>
        <v/>
      </c>
      <c r="U232" s="7">
        <f>IF($Z232="","",T232*S232)</f>
        <v/>
      </c>
      <c r="V232" s="7">
        <f>IF($Z232="","",U232+R232)</f>
        <v/>
      </c>
      <c r="W232" s="7">
        <f>IF($Z232="","",X232-V232)</f>
        <v/>
      </c>
      <c r="X232" s="7">
        <f>IF($Z232="","",Q232+T232+O232)</f>
        <v/>
      </c>
      <c r="Y232" s="7">
        <f>IF($Z232="","",X232-V232-N232)</f>
        <v/>
      </c>
      <c r="Z232" s="13">
        <f>IF(ROWS($Z$2:$Z232)&lt;=MAX('Per Line'!$AN$2:$AN$1001),MATCH(ROWS($Z$2:$Z232),'Per Line'!$AN$2:$AN$1001,0),"")</f>
        <v/>
      </c>
    </row>
    <row r="233">
      <c r="A233" s="12" t="n"/>
      <c r="B233">
        <f>IF($Z233="","",INDEX('Per Line'!$D$2:$D$1001,$Z233)&amp;"")</f>
        <v/>
      </c>
      <c r="C233">
        <f>IF($Z233="","",INDEX('Per Line'!$B$2:$B$1001,$Z233)&amp;"")</f>
        <v/>
      </c>
      <c r="D233">
        <f>IF($Z233="","",INDEX('Per Line'!$A$2:$A$1001,$Z233))</f>
        <v/>
      </c>
      <c r="E233">
        <f>IF($Z233="","",INDEX('Per Line'!$E$2:$E$1001,$Z233)&amp;"")</f>
        <v/>
      </c>
      <c r="F233">
        <f>IF($Z233="","",INDEX('Per Line'!$F$2:$F$1001,$Z233)&amp;"")</f>
        <v/>
      </c>
      <c r="G233" s="11">
        <f>IF($Z233="","",INDEX('Per Line'!$G$2:$G$1001,$Z233))</f>
        <v/>
      </c>
      <c r="H233">
        <f>IF($Z233="","",INDEX('Per Line'!$I$2:$I$1001,$Z233)&amp;"")</f>
        <v/>
      </c>
      <c r="I233">
        <f>IF($Z233="","",INDEX('Per Line'!$J$2:$J$1001,$Z233)&amp;"")</f>
        <v/>
      </c>
      <c r="J233">
        <f>IF($Z233="","",INDEX('Per Line'!$K$2:$K$1001,$Z233)&amp;"")</f>
        <v/>
      </c>
      <c r="K233">
        <f>IF($Z233="","",INDEX('Per Line'!$L$2:$L$1001,$Z233)&amp;"")</f>
        <v/>
      </c>
      <c r="L233">
        <f>IF($Z233="","",INDEX('Per Line'!$M$2:$M$1001,$Z233)&amp;"")</f>
        <v/>
      </c>
      <c r="M233">
        <f>IF($Z233="","",INDEX('Per Line'!$P$2:$P$1001,$Z233))</f>
        <v/>
      </c>
      <c r="N233" s="7">
        <f>IF($Z233="","",M233*X233/100)</f>
        <v/>
      </c>
      <c r="O233" s="7">
        <f>IF($Z233="","",SUMIFS('Per Line'!$Y$2:$Y$1001,'Per Line'!$D$2:$D$1001,$B233,'Per Line'!$AP$2:$AP$1001,1))</f>
        <v/>
      </c>
      <c r="P233">
        <f>IF($Z233="","",Settings!$C$7)</f>
        <v/>
      </c>
      <c r="Q233" s="7">
        <f>IF($Z233="","",SUMIFS('Per Line'!$Y$2:$Y$1001,'Per Line'!$D$2:$D$1001,$B233,'Per Line'!$AO$2:$AO$1001,0,'Per Line'!$AP$2:$AP$1001,0))</f>
        <v/>
      </c>
      <c r="R233" s="7">
        <f>IF($Z233="","",Q233*P233)</f>
        <v/>
      </c>
      <c r="S233">
        <f>IF($Z233="","",Settings!$C$6)</f>
        <v/>
      </c>
      <c r="T233" s="7">
        <f>IF($Z233="","",SUMIFS('Per Line'!$Y$2:$Y$1001,'Per Line'!$D$2:$D$1001,$B233,'Per Line'!$AO$2:$AO$1001,1,'Per Line'!$AP$2:$AP$1001,0))</f>
        <v/>
      </c>
      <c r="U233" s="7">
        <f>IF($Z233="","",T233*S233)</f>
        <v/>
      </c>
      <c r="V233" s="7">
        <f>IF($Z233="","",U233+R233)</f>
        <v/>
      </c>
      <c r="W233" s="7">
        <f>IF($Z233="","",X233-V233)</f>
        <v/>
      </c>
      <c r="X233" s="7">
        <f>IF($Z233="","",Q233+T233+O233)</f>
        <v/>
      </c>
      <c r="Y233" s="7">
        <f>IF($Z233="","",X233-V233-N233)</f>
        <v/>
      </c>
      <c r="Z233" s="13">
        <f>IF(ROWS($Z$2:$Z233)&lt;=MAX('Per Line'!$AN$2:$AN$1001),MATCH(ROWS($Z$2:$Z233),'Per Line'!$AN$2:$AN$1001,0),"")</f>
        <v/>
      </c>
    </row>
    <row r="234">
      <c r="A234" s="12" t="n"/>
      <c r="B234">
        <f>IF($Z234="","",INDEX('Per Line'!$D$2:$D$1001,$Z234)&amp;"")</f>
        <v/>
      </c>
      <c r="C234">
        <f>IF($Z234="","",INDEX('Per Line'!$B$2:$B$1001,$Z234)&amp;"")</f>
        <v/>
      </c>
      <c r="D234">
        <f>IF($Z234="","",INDEX('Per Line'!$A$2:$A$1001,$Z234))</f>
        <v/>
      </c>
      <c r="E234">
        <f>IF($Z234="","",INDEX('Per Line'!$E$2:$E$1001,$Z234)&amp;"")</f>
        <v/>
      </c>
      <c r="F234">
        <f>IF($Z234="","",INDEX('Per Line'!$F$2:$F$1001,$Z234)&amp;"")</f>
        <v/>
      </c>
      <c r="G234" s="11">
        <f>IF($Z234="","",INDEX('Per Line'!$G$2:$G$1001,$Z234))</f>
        <v/>
      </c>
      <c r="H234">
        <f>IF($Z234="","",INDEX('Per Line'!$I$2:$I$1001,$Z234)&amp;"")</f>
        <v/>
      </c>
      <c r="I234">
        <f>IF($Z234="","",INDEX('Per Line'!$J$2:$J$1001,$Z234)&amp;"")</f>
        <v/>
      </c>
      <c r="J234">
        <f>IF($Z234="","",INDEX('Per Line'!$K$2:$K$1001,$Z234)&amp;"")</f>
        <v/>
      </c>
      <c r="K234">
        <f>IF($Z234="","",INDEX('Per Line'!$L$2:$L$1001,$Z234)&amp;"")</f>
        <v/>
      </c>
      <c r="L234">
        <f>IF($Z234="","",INDEX('Per Line'!$M$2:$M$1001,$Z234)&amp;"")</f>
        <v/>
      </c>
      <c r="M234">
        <f>IF($Z234="","",INDEX('Per Line'!$P$2:$P$1001,$Z234))</f>
        <v/>
      </c>
      <c r="N234" s="7">
        <f>IF($Z234="","",M234*X234/100)</f>
        <v/>
      </c>
      <c r="O234" s="7">
        <f>IF($Z234="","",SUMIFS('Per Line'!$Y$2:$Y$1001,'Per Line'!$D$2:$D$1001,$B234,'Per Line'!$AP$2:$AP$1001,1))</f>
        <v/>
      </c>
      <c r="P234">
        <f>IF($Z234="","",Settings!$C$7)</f>
        <v/>
      </c>
      <c r="Q234" s="7">
        <f>IF($Z234="","",SUMIFS('Per Line'!$Y$2:$Y$1001,'Per Line'!$D$2:$D$1001,$B234,'Per Line'!$AO$2:$AO$1001,0,'Per Line'!$AP$2:$AP$1001,0))</f>
        <v/>
      </c>
      <c r="R234" s="7">
        <f>IF($Z234="","",Q234*P234)</f>
        <v/>
      </c>
      <c r="S234">
        <f>IF($Z234="","",Settings!$C$6)</f>
        <v/>
      </c>
      <c r="T234" s="7">
        <f>IF($Z234="","",SUMIFS('Per Line'!$Y$2:$Y$1001,'Per Line'!$D$2:$D$1001,$B234,'Per Line'!$AO$2:$AO$1001,1,'Per Line'!$AP$2:$AP$1001,0))</f>
        <v/>
      </c>
      <c r="U234" s="7">
        <f>IF($Z234="","",T234*S234)</f>
        <v/>
      </c>
      <c r="V234" s="7">
        <f>IF($Z234="","",U234+R234)</f>
        <v/>
      </c>
      <c r="W234" s="7">
        <f>IF($Z234="","",X234-V234)</f>
        <v/>
      </c>
      <c r="X234" s="7">
        <f>IF($Z234="","",Q234+T234+O234)</f>
        <v/>
      </c>
      <c r="Y234" s="7">
        <f>IF($Z234="","",X234-V234-N234)</f>
        <v/>
      </c>
      <c r="Z234" s="13">
        <f>IF(ROWS($Z$2:$Z234)&lt;=MAX('Per Line'!$AN$2:$AN$1001),MATCH(ROWS($Z$2:$Z234),'Per Line'!$AN$2:$AN$1001,0),"")</f>
        <v/>
      </c>
    </row>
    <row r="235">
      <c r="A235" s="12" t="n"/>
      <c r="B235">
        <f>IF($Z235="","",INDEX('Per Line'!$D$2:$D$1001,$Z235)&amp;"")</f>
        <v/>
      </c>
      <c r="C235">
        <f>IF($Z235="","",INDEX('Per Line'!$B$2:$B$1001,$Z235)&amp;"")</f>
        <v/>
      </c>
      <c r="D235">
        <f>IF($Z235="","",INDEX('Per Line'!$A$2:$A$1001,$Z235))</f>
        <v/>
      </c>
      <c r="E235">
        <f>IF($Z235="","",INDEX('Per Line'!$E$2:$E$1001,$Z235)&amp;"")</f>
        <v/>
      </c>
      <c r="F235">
        <f>IF($Z235="","",INDEX('Per Line'!$F$2:$F$1001,$Z235)&amp;"")</f>
        <v/>
      </c>
      <c r="G235" s="11">
        <f>IF($Z235="","",INDEX('Per Line'!$G$2:$G$1001,$Z235))</f>
        <v/>
      </c>
      <c r="H235">
        <f>IF($Z235="","",INDEX('Per Line'!$I$2:$I$1001,$Z235)&amp;"")</f>
        <v/>
      </c>
      <c r="I235">
        <f>IF($Z235="","",INDEX('Per Line'!$J$2:$J$1001,$Z235)&amp;"")</f>
        <v/>
      </c>
      <c r="J235">
        <f>IF($Z235="","",INDEX('Per Line'!$K$2:$K$1001,$Z235)&amp;"")</f>
        <v/>
      </c>
      <c r="K235">
        <f>IF($Z235="","",INDEX('Per Line'!$L$2:$L$1001,$Z235)&amp;"")</f>
        <v/>
      </c>
      <c r="L235">
        <f>IF($Z235="","",INDEX('Per Line'!$M$2:$M$1001,$Z235)&amp;"")</f>
        <v/>
      </c>
      <c r="M235">
        <f>IF($Z235="","",INDEX('Per Line'!$P$2:$P$1001,$Z235))</f>
        <v/>
      </c>
      <c r="N235" s="7">
        <f>IF($Z235="","",M235*X235/100)</f>
        <v/>
      </c>
      <c r="O235" s="7">
        <f>IF($Z235="","",SUMIFS('Per Line'!$Y$2:$Y$1001,'Per Line'!$D$2:$D$1001,$B235,'Per Line'!$AP$2:$AP$1001,1))</f>
        <v/>
      </c>
      <c r="P235">
        <f>IF($Z235="","",Settings!$C$7)</f>
        <v/>
      </c>
      <c r="Q235" s="7">
        <f>IF($Z235="","",SUMIFS('Per Line'!$Y$2:$Y$1001,'Per Line'!$D$2:$D$1001,$B235,'Per Line'!$AO$2:$AO$1001,0,'Per Line'!$AP$2:$AP$1001,0))</f>
        <v/>
      </c>
      <c r="R235" s="7">
        <f>IF($Z235="","",Q235*P235)</f>
        <v/>
      </c>
      <c r="S235">
        <f>IF($Z235="","",Settings!$C$6)</f>
        <v/>
      </c>
      <c r="T235" s="7">
        <f>IF($Z235="","",SUMIFS('Per Line'!$Y$2:$Y$1001,'Per Line'!$D$2:$D$1001,$B235,'Per Line'!$AO$2:$AO$1001,1,'Per Line'!$AP$2:$AP$1001,0))</f>
        <v/>
      </c>
      <c r="U235" s="7">
        <f>IF($Z235="","",T235*S235)</f>
        <v/>
      </c>
      <c r="V235" s="7">
        <f>IF($Z235="","",U235+R235)</f>
        <v/>
      </c>
      <c r="W235" s="7">
        <f>IF($Z235="","",X235-V235)</f>
        <v/>
      </c>
      <c r="X235" s="7">
        <f>IF($Z235="","",Q235+T235+O235)</f>
        <v/>
      </c>
      <c r="Y235" s="7">
        <f>IF($Z235="","",X235-V235-N235)</f>
        <v/>
      </c>
      <c r="Z235" s="13">
        <f>IF(ROWS($Z$2:$Z235)&lt;=MAX('Per Line'!$AN$2:$AN$1001),MATCH(ROWS($Z$2:$Z235),'Per Line'!$AN$2:$AN$1001,0),"")</f>
        <v/>
      </c>
    </row>
    <row r="236">
      <c r="A236" s="12" t="n"/>
      <c r="B236">
        <f>IF($Z236="","",INDEX('Per Line'!$D$2:$D$1001,$Z236)&amp;"")</f>
        <v/>
      </c>
      <c r="C236">
        <f>IF($Z236="","",INDEX('Per Line'!$B$2:$B$1001,$Z236)&amp;"")</f>
        <v/>
      </c>
      <c r="D236">
        <f>IF($Z236="","",INDEX('Per Line'!$A$2:$A$1001,$Z236))</f>
        <v/>
      </c>
      <c r="E236">
        <f>IF($Z236="","",INDEX('Per Line'!$E$2:$E$1001,$Z236)&amp;"")</f>
        <v/>
      </c>
      <c r="F236">
        <f>IF($Z236="","",INDEX('Per Line'!$F$2:$F$1001,$Z236)&amp;"")</f>
        <v/>
      </c>
      <c r="G236" s="11">
        <f>IF($Z236="","",INDEX('Per Line'!$G$2:$G$1001,$Z236))</f>
        <v/>
      </c>
      <c r="H236">
        <f>IF($Z236="","",INDEX('Per Line'!$I$2:$I$1001,$Z236)&amp;"")</f>
        <v/>
      </c>
      <c r="I236">
        <f>IF($Z236="","",INDEX('Per Line'!$J$2:$J$1001,$Z236)&amp;"")</f>
        <v/>
      </c>
      <c r="J236">
        <f>IF($Z236="","",INDEX('Per Line'!$K$2:$K$1001,$Z236)&amp;"")</f>
        <v/>
      </c>
      <c r="K236">
        <f>IF($Z236="","",INDEX('Per Line'!$L$2:$L$1001,$Z236)&amp;"")</f>
        <v/>
      </c>
      <c r="L236">
        <f>IF($Z236="","",INDEX('Per Line'!$M$2:$M$1001,$Z236)&amp;"")</f>
        <v/>
      </c>
      <c r="M236">
        <f>IF($Z236="","",INDEX('Per Line'!$P$2:$P$1001,$Z236))</f>
        <v/>
      </c>
      <c r="N236" s="7">
        <f>IF($Z236="","",M236*X236/100)</f>
        <v/>
      </c>
      <c r="O236" s="7">
        <f>IF($Z236="","",SUMIFS('Per Line'!$Y$2:$Y$1001,'Per Line'!$D$2:$D$1001,$B236,'Per Line'!$AP$2:$AP$1001,1))</f>
        <v/>
      </c>
      <c r="P236">
        <f>IF($Z236="","",Settings!$C$7)</f>
        <v/>
      </c>
      <c r="Q236" s="7">
        <f>IF($Z236="","",SUMIFS('Per Line'!$Y$2:$Y$1001,'Per Line'!$D$2:$D$1001,$B236,'Per Line'!$AO$2:$AO$1001,0,'Per Line'!$AP$2:$AP$1001,0))</f>
        <v/>
      </c>
      <c r="R236" s="7">
        <f>IF($Z236="","",Q236*P236)</f>
        <v/>
      </c>
      <c r="S236">
        <f>IF($Z236="","",Settings!$C$6)</f>
        <v/>
      </c>
      <c r="T236" s="7">
        <f>IF($Z236="","",SUMIFS('Per Line'!$Y$2:$Y$1001,'Per Line'!$D$2:$D$1001,$B236,'Per Line'!$AO$2:$AO$1001,1,'Per Line'!$AP$2:$AP$1001,0))</f>
        <v/>
      </c>
      <c r="U236" s="7">
        <f>IF($Z236="","",T236*S236)</f>
        <v/>
      </c>
      <c r="V236" s="7">
        <f>IF($Z236="","",U236+R236)</f>
        <v/>
      </c>
      <c r="W236" s="7">
        <f>IF($Z236="","",X236-V236)</f>
        <v/>
      </c>
      <c r="X236" s="7">
        <f>IF($Z236="","",Q236+T236+O236)</f>
        <v/>
      </c>
      <c r="Y236" s="7">
        <f>IF($Z236="","",X236-V236-N236)</f>
        <v/>
      </c>
      <c r="Z236" s="13">
        <f>IF(ROWS($Z$2:$Z236)&lt;=MAX('Per Line'!$AN$2:$AN$1001),MATCH(ROWS($Z$2:$Z236),'Per Line'!$AN$2:$AN$1001,0),"")</f>
        <v/>
      </c>
    </row>
    <row r="237">
      <c r="A237" s="12" t="n"/>
      <c r="B237">
        <f>IF($Z237="","",INDEX('Per Line'!$D$2:$D$1001,$Z237)&amp;"")</f>
        <v/>
      </c>
      <c r="C237">
        <f>IF($Z237="","",INDEX('Per Line'!$B$2:$B$1001,$Z237)&amp;"")</f>
        <v/>
      </c>
      <c r="D237">
        <f>IF($Z237="","",INDEX('Per Line'!$A$2:$A$1001,$Z237))</f>
        <v/>
      </c>
      <c r="E237">
        <f>IF($Z237="","",INDEX('Per Line'!$E$2:$E$1001,$Z237)&amp;"")</f>
        <v/>
      </c>
      <c r="F237">
        <f>IF($Z237="","",INDEX('Per Line'!$F$2:$F$1001,$Z237)&amp;"")</f>
        <v/>
      </c>
      <c r="G237" s="11">
        <f>IF($Z237="","",INDEX('Per Line'!$G$2:$G$1001,$Z237))</f>
        <v/>
      </c>
      <c r="H237">
        <f>IF($Z237="","",INDEX('Per Line'!$I$2:$I$1001,$Z237)&amp;"")</f>
        <v/>
      </c>
      <c r="I237">
        <f>IF($Z237="","",INDEX('Per Line'!$J$2:$J$1001,$Z237)&amp;"")</f>
        <v/>
      </c>
      <c r="J237">
        <f>IF($Z237="","",INDEX('Per Line'!$K$2:$K$1001,$Z237)&amp;"")</f>
        <v/>
      </c>
      <c r="K237">
        <f>IF($Z237="","",INDEX('Per Line'!$L$2:$L$1001,$Z237)&amp;"")</f>
        <v/>
      </c>
      <c r="L237">
        <f>IF($Z237="","",INDEX('Per Line'!$M$2:$M$1001,$Z237)&amp;"")</f>
        <v/>
      </c>
      <c r="M237">
        <f>IF($Z237="","",INDEX('Per Line'!$P$2:$P$1001,$Z237))</f>
        <v/>
      </c>
      <c r="N237" s="7">
        <f>IF($Z237="","",M237*X237/100)</f>
        <v/>
      </c>
      <c r="O237" s="7">
        <f>IF($Z237="","",SUMIFS('Per Line'!$Y$2:$Y$1001,'Per Line'!$D$2:$D$1001,$B237,'Per Line'!$AP$2:$AP$1001,1))</f>
        <v/>
      </c>
      <c r="P237">
        <f>IF($Z237="","",Settings!$C$7)</f>
        <v/>
      </c>
      <c r="Q237" s="7">
        <f>IF($Z237="","",SUMIFS('Per Line'!$Y$2:$Y$1001,'Per Line'!$D$2:$D$1001,$B237,'Per Line'!$AO$2:$AO$1001,0,'Per Line'!$AP$2:$AP$1001,0))</f>
        <v/>
      </c>
      <c r="R237" s="7">
        <f>IF($Z237="","",Q237*P237)</f>
        <v/>
      </c>
      <c r="S237">
        <f>IF($Z237="","",Settings!$C$6)</f>
        <v/>
      </c>
      <c r="T237" s="7">
        <f>IF($Z237="","",SUMIFS('Per Line'!$Y$2:$Y$1001,'Per Line'!$D$2:$D$1001,$B237,'Per Line'!$AO$2:$AO$1001,1,'Per Line'!$AP$2:$AP$1001,0))</f>
        <v/>
      </c>
      <c r="U237" s="7">
        <f>IF($Z237="","",T237*S237)</f>
        <v/>
      </c>
      <c r="V237" s="7">
        <f>IF($Z237="","",U237+R237)</f>
        <v/>
      </c>
      <c r="W237" s="7">
        <f>IF($Z237="","",X237-V237)</f>
        <v/>
      </c>
      <c r="X237" s="7">
        <f>IF($Z237="","",Q237+T237+O237)</f>
        <v/>
      </c>
      <c r="Y237" s="7">
        <f>IF($Z237="","",X237-V237-N237)</f>
        <v/>
      </c>
      <c r="Z237" s="13">
        <f>IF(ROWS($Z$2:$Z237)&lt;=MAX('Per Line'!$AN$2:$AN$1001),MATCH(ROWS($Z$2:$Z237),'Per Line'!$AN$2:$AN$1001,0),"")</f>
        <v/>
      </c>
    </row>
    <row r="238">
      <c r="A238" s="12" t="n"/>
      <c r="B238">
        <f>IF($Z238="","",INDEX('Per Line'!$D$2:$D$1001,$Z238)&amp;"")</f>
        <v/>
      </c>
      <c r="C238">
        <f>IF($Z238="","",INDEX('Per Line'!$B$2:$B$1001,$Z238)&amp;"")</f>
        <v/>
      </c>
      <c r="D238">
        <f>IF($Z238="","",INDEX('Per Line'!$A$2:$A$1001,$Z238))</f>
        <v/>
      </c>
      <c r="E238">
        <f>IF($Z238="","",INDEX('Per Line'!$E$2:$E$1001,$Z238)&amp;"")</f>
        <v/>
      </c>
      <c r="F238">
        <f>IF($Z238="","",INDEX('Per Line'!$F$2:$F$1001,$Z238)&amp;"")</f>
        <v/>
      </c>
      <c r="G238" s="11">
        <f>IF($Z238="","",INDEX('Per Line'!$G$2:$G$1001,$Z238))</f>
        <v/>
      </c>
      <c r="H238">
        <f>IF($Z238="","",INDEX('Per Line'!$I$2:$I$1001,$Z238)&amp;"")</f>
        <v/>
      </c>
      <c r="I238">
        <f>IF($Z238="","",INDEX('Per Line'!$J$2:$J$1001,$Z238)&amp;"")</f>
        <v/>
      </c>
      <c r="J238">
        <f>IF($Z238="","",INDEX('Per Line'!$K$2:$K$1001,$Z238)&amp;"")</f>
        <v/>
      </c>
      <c r="K238">
        <f>IF($Z238="","",INDEX('Per Line'!$L$2:$L$1001,$Z238)&amp;"")</f>
        <v/>
      </c>
      <c r="L238">
        <f>IF($Z238="","",INDEX('Per Line'!$M$2:$M$1001,$Z238)&amp;"")</f>
        <v/>
      </c>
      <c r="M238">
        <f>IF($Z238="","",INDEX('Per Line'!$P$2:$P$1001,$Z238))</f>
        <v/>
      </c>
      <c r="N238" s="7">
        <f>IF($Z238="","",M238*X238/100)</f>
        <v/>
      </c>
      <c r="O238" s="7">
        <f>IF($Z238="","",SUMIFS('Per Line'!$Y$2:$Y$1001,'Per Line'!$D$2:$D$1001,$B238,'Per Line'!$AP$2:$AP$1001,1))</f>
        <v/>
      </c>
      <c r="P238">
        <f>IF($Z238="","",Settings!$C$7)</f>
        <v/>
      </c>
      <c r="Q238" s="7">
        <f>IF($Z238="","",SUMIFS('Per Line'!$Y$2:$Y$1001,'Per Line'!$D$2:$D$1001,$B238,'Per Line'!$AO$2:$AO$1001,0,'Per Line'!$AP$2:$AP$1001,0))</f>
        <v/>
      </c>
      <c r="R238" s="7">
        <f>IF($Z238="","",Q238*P238)</f>
        <v/>
      </c>
      <c r="S238">
        <f>IF($Z238="","",Settings!$C$6)</f>
        <v/>
      </c>
      <c r="T238" s="7">
        <f>IF($Z238="","",SUMIFS('Per Line'!$Y$2:$Y$1001,'Per Line'!$D$2:$D$1001,$B238,'Per Line'!$AO$2:$AO$1001,1,'Per Line'!$AP$2:$AP$1001,0))</f>
        <v/>
      </c>
      <c r="U238" s="7">
        <f>IF($Z238="","",T238*S238)</f>
        <v/>
      </c>
      <c r="V238" s="7">
        <f>IF($Z238="","",U238+R238)</f>
        <v/>
      </c>
      <c r="W238" s="7">
        <f>IF($Z238="","",X238-V238)</f>
        <v/>
      </c>
      <c r="X238" s="7">
        <f>IF($Z238="","",Q238+T238+O238)</f>
        <v/>
      </c>
      <c r="Y238" s="7">
        <f>IF($Z238="","",X238-V238-N238)</f>
        <v/>
      </c>
      <c r="Z238" s="13">
        <f>IF(ROWS($Z$2:$Z238)&lt;=MAX('Per Line'!$AN$2:$AN$1001),MATCH(ROWS($Z$2:$Z238),'Per Line'!$AN$2:$AN$1001,0),"")</f>
        <v/>
      </c>
    </row>
    <row r="239">
      <c r="A239" s="12" t="n"/>
      <c r="B239">
        <f>IF($Z239="","",INDEX('Per Line'!$D$2:$D$1001,$Z239)&amp;"")</f>
        <v/>
      </c>
      <c r="C239">
        <f>IF($Z239="","",INDEX('Per Line'!$B$2:$B$1001,$Z239)&amp;"")</f>
        <v/>
      </c>
      <c r="D239">
        <f>IF($Z239="","",INDEX('Per Line'!$A$2:$A$1001,$Z239))</f>
        <v/>
      </c>
      <c r="E239">
        <f>IF($Z239="","",INDEX('Per Line'!$E$2:$E$1001,$Z239)&amp;"")</f>
        <v/>
      </c>
      <c r="F239">
        <f>IF($Z239="","",INDEX('Per Line'!$F$2:$F$1001,$Z239)&amp;"")</f>
        <v/>
      </c>
      <c r="G239" s="11">
        <f>IF($Z239="","",INDEX('Per Line'!$G$2:$G$1001,$Z239))</f>
        <v/>
      </c>
      <c r="H239">
        <f>IF($Z239="","",INDEX('Per Line'!$I$2:$I$1001,$Z239)&amp;"")</f>
        <v/>
      </c>
      <c r="I239">
        <f>IF($Z239="","",INDEX('Per Line'!$J$2:$J$1001,$Z239)&amp;"")</f>
        <v/>
      </c>
      <c r="J239">
        <f>IF($Z239="","",INDEX('Per Line'!$K$2:$K$1001,$Z239)&amp;"")</f>
        <v/>
      </c>
      <c r="K239">
        <f>IF($Z239="","",INDEX('Per Line'!$L$2:$L$1001,$Z239)&amp;"")</f>
        <v/>
      </c>
      <c r="L239">
        <f>IF($Z239="","",INDEX('Per Line'!$M$2:$M$1001,$Z239)&amp;"")</f>
        <v/>
      </c>
      <c r="M239">
        <f>IF($Z239="","",INDEX('Per Line'!$P$2:$P$1001,$Z239))</f>
        <v/>
      </c>
      <c r="N239" s="7">
        <f>IF($Z239="","",M239*X239/100)</f>
        <v/>
      </c>
      <c r="O239" s="7">
        <f>IF($Z239="","",SUMIFS('Per Line'!$Y$2:$Y$1001,'Per Line'!$D$2:$D$1001,$B239,'Per Line'!$AP$2:$AP$1001,1))</f>
        <v/>
      </c>
      <c r="P239">
        <f>IF($Z239="","",Settings!$C$7)</f>
        <v/>
      </c>
      <c r="Q239" s="7">
        <f>IF($Z239="","",SUMIFS('Per Line'!$Y$2:$Y$1001,'Per Line'!$D$2:$D$1001,$B239,'Per Line'!$AO$2:$AO$1001,0,'Per Line'!$AP$2:$AP$1001,0))</f>
        <v/>
      </c>
      <c r="R239" s="7">
        <f>IF($Z239="","",Q239*P239)</f>
        <v/>
      </c>
      <c r="S239">
        <f>IF($Z239="","",Settings!$C$6)</f>
        <v/>
      </c>
      <c r="T239" s="7">
        <f>IF($Z239="","",SUMIFS('Per Line'!$Y$2:$Y$1001,'Per Line'!$D$2:$D$1001,$B239,'Per Line'!$AO$2:$AO$1001,1,'Per Line'!$AP$2:$AP$1001,0))</f>
        <v/>
      </c>
      <c r="U239" s="7">
        <f>IF($Z239="","",T239*S239)</f>
        <v/>
      </c>
      <c r="V239" s="7">
        <f>IF($Z239="","",U239+R239)</f>
        <v/>
      </c>
      <c r="W239" s="7">
        <f>IF($Z239="","",X239-V239)</f>
        <v/>
      </c>
      <c r="X239" s="7">
        <f>IF($Z239="","",Q239+T239+O239)</f>
        <v/>
      </c>
      <c r="Y239" s="7">
        <f>IF($Z239="","",X239-V239-N239)</f>
        <v/>
      </c>
      <c r="Z239" s="13">
        <f>IF(ROWS($Z$2:$Z239)&lt;=MAX('Per Line'!$AN$2:$AN$1001),MATCH(ROWS($Z$2:$Z239),'Per Line'!$AN$2:$AN$1001,0),"")</f>
        <v/>
      </c>
    </row>
    <row r="240">
      <c r="A240" s="12" t="n"/>
      <c r="B240">
        <f>IF($Z240="","",INDEX('Per Line'!$D$2:$D$1001,$Z240)&amp;"")</f>
        <v/>
      </c>
      <c r="C240">
        <f>IF($Z240="","",INDEX('Per Line'!$B$2:$B$1001,$Z240)&amp;"")</f>
        <v/>
      </c>
      <c r="D240">
        <f>IF($Z240="","",INDEX('Per Line'!$A$2:$A$1001,$Z240))</f>
        <v/>
      </c>
      <c r="E240">
        <f>IF($Z240="","",INDEX('Per Line'!$E$2:$E$1001,$Z240)&amp;"")</f>
        <v/>
      </c>
      <c r="F240">
        <f>IF($Z240="","",INDEX('Per Line'!$F$2:$F$1001,$Z240)&amp;"")</f>
        <v/>
      </c>
      <c r="G240" s="11">
        <f>IF($Z240="","",INDEX('Per Line'!$G$2:$G$1001,$Z240))</f>
        <v/>
      </c>
      <c r="H240">
        <f>IF($Z240="","",INDEX('Per Line'!$I$2:$I$1001,$Z240)&amp;"")</f>
        <v/>
      </c>
      <c r="I240">
        <f>IF($Z240="","",INDEX('Per Line'!$J$2:$J$1001,$Z240)&amp;"")</f>
        <v/>
      </c>
      <c r="J240">
        <f>IF($Z240="","",INDEX('Per Line'!$K$2:$K$1001,$Z240)&amp;"")</f>
        <v/>
      </c>
      <c r="K240">
        <f>IF($Z240="","",INDEX('Per Line'!$L$2:$L$1001,$Z240)&amp;"")</f>
        <v/>
      </c>
      <c r="L240">
        <f>IF($Z240="","",INDEX('Per Line'!$M$2:$M$1001,$Z240)&amp;"")</f>
        <v/>
      </c>
      <c r="M240">
        <f>IF($Z240="","",INDEX('Per Line'!$P$2:$P$1001,$Z240))</f>
        <v/>
      </c>
      <c r="N240" s="7">
        <f>IF($Z240="","",M240*X240/100)</f>
        <v/>
      </c>
      <c r="O240" s="7">
        <f>IF($Z240="","",SUMIFS('Per Line'!$Y$2:$Y$1001,'Per Line'!$D$2:$D$1001,$B240,'Per Line'!$AP$2:$AP$1001,1))</f>
        <v/>
      </c>
      <c r="P240">
        <f>IF($Z240="","",Settings!$C$7)</f>
        <v/>
      </c>
      <c r="Q240" s="7">
        <f>IF($Z240="","",SUMIFS('Per Line'!$Y$2:$Y$1001,'Per Line'!$D$2:$D$1001,$B240,'Per Line'!$AO$2:$AO$1001,0,'Per Line'!$AP$2:$AP$1001,0))</f>
        <v/>
      </c>
      <c r="R240" s="7">
        <f>IF($Z240="","",Q240*P240)</f>
        <v/>
      </c>
      <c r="S240">
        <f>IF($Z240="","",Settings!$C$6)</f>
        <v/>
      </c>
      <c r="T240" s="7">
        <f>IF($Z240="","",SUMIFS('Per Line'!$Y$2:$Y$1001,'Per Line'!$D$2:$D$1001,$B240,'Per Line'!$AO$2:$AO$1001,1,'Per Line'!$AP$2:$AP$1001,0))</f>
        <v/>
      </c>
      <c r="U240" s="7">
        <f>IF($Z240="","",T240*S240)</f>
        <v/>
      </c>
      <c r="V240" s="7">
        <f>IF($Z240="","",U240+R240)</f>
        <v/>
      </c>
      <c r="W240" s="7">
        <f>IF($Z240="","",X240-V240)</f>
        <v/>
      </c>
      <c r="X240" s="7">
        <f>IF($Z240="","",Q240+T240+O240)</f>
        <v/>
      </c>
      <c r="Y240" s="7">
        <f>IF($Z240="","",X240-V240-N240)</f>
        <v/>
      </c>
      <c r="Z240" s="13">
        <f>IF(ROWS($Z$2:$Z240)&lt;=MAX('Per Line'!$AN$2:$AN$1001),MATCH(ROWS($Z$2:$Z240),'Per Line'!$AN$2:$AN$1001,0),"")</f>
        <v/>
      </c>
    </row>
    <row r="241">
      <c r="A241" s="12" t="n"/>
      <c r="B241">
        <f>IF($Z241="","",INDEX('Per Line'!$D$2:$D$1001,$Z241)&amp;"")</f>
        <v/>
      </c>
      <c r="C241">
        <f>IF($Z241="","",INDEX('Per Line'!$B$2:$B$1001,$Z241)&amp;"")</f>
        <v/>
      </c>
      <c r="D241">
        <f>IF($Z241="","",INDEX('Per Line'!$A$2:$A$1001,$Z241))</f>
        <v/>
      </c>
      <c r="E241">
        <f>IF($Z241="","",INDEX('Per Line'!$E$2:$E$1001,$Z241)&amp;"")</f>
        <v/>
      </c>
      <c r="F241">
        <f>IF($Z241="","",INDEX('Per Line'!$F$2:$F$1001,$Z241)&amp;"")</f>
        <v/>
      </c>
      <c r="G241" s="11">
        <f>IF($Z241="","",INDEX('Per Line'!$G$2:$G$1001,$Z241))</f>
        <v/>
      </c>
      <c r="H241">
        <f>IF($Z241="","",INDEX('Per Line'!$I$2:$I$1001,$Z241)&amp;"")</f>
        <v/>
      </c>
      <c r="I241">
        <f>IF($Z241="","",INDEX('Per Line'!$J$2:$J$1001,$Z241)&amp;"")</f>
        <v/>
      </c>
      <c r="J241">
        <f>IF($Z241="","",INDEX('Per Line'!$K$2:$K$1001,$Z241)&amp;"")</f>
        <v/>
      </c>
      <c r="K241">
        <f>IF($Z241="","",INDEX('Per Line'!$L$2:$L$1001,$Z241)&amp;"")</f>
        <v/>
      </c>
      <c r="L241">
        <f>IF($Z241="","",INDEX('Per Line'!$M$2:$M$1001,$Z241)&amp;"")</f>
        <v/>
      </c>
      <c r="M241">
        <f>IF($Z241="","",INDEX('Per Line'!$P$2:$P$1001,$Z241))</f>
        <v/>
      </c>
      <c r="N241" s="7">
        <f>IF($Z241="","",M241*X241/100)</f>
        <v/>
      </c>
      <c r="O241" s="7">
        <f>IF($Z241="","",SUMIFS('Per Line'!$Y$2:$Y$1001,'Per Line'!$D$2:$D$1001,$B241,'Per Line'!$AP$2:$AP$1001,1))</f>
        <v/>
      </c>
      <c r="P241">
        <f>IF($Z241="","",Settings!$C$7)</f>
        <v/>
      </c>
      <c r="Q241" s="7">
        <f>IF($Z241="","",SUMIFS('Per Line'!$Y$2:$Y$1001,'Per Line'!$D$2:$D$1001,$B241,'Per Line'!$AO$2:$AO$1001,0,'Per Line'!$AP$2:$AP$1001,0))</f>
        <v/>
      </c>
      <c r="R241" s="7">
        <f>IF($Z241="","",Q241*P241)</f>
        <v/>
      </c>
      <c r="S241">
        <f>IF($Z241="","",Settings!$C$6)</f>
        <v/>
      </c>
      <c r="T241" s="7">
        <f>IF($Z241="","",SUMIFS('Per Line'!$Y$2:$Y$1001,'Per Line'!$D$2:$D$1001,$B241,'Per Line'!$AO$2:$AO$1001,1,'Per Line'!$AP$2:$AP$1001,0))</f>
        <v/>
      </c>
      <c r="U241" s="7">
        <f>IF($Z241="","",T241*S241)</f>
        <v/>
      </c>
      <c r="V241" s="7">
        <f>IF($Z241="","",U241+R241)</f>
        <v/>
      </c>
      <c r="W241" s="7">
        <f>IF($Z241="","",X241-V241)</f>
        <v/>
      </c>
      <c r="X241" s="7">
        <f>IF($Z241="","",Q241+T241+O241)</f>
        <v/>
      </c>
      <c r="Y241" s="7">
        <f>IF($Z241="","",X241-V241-N241)</f>
        <v/>
      </c>
      <c r="Z241" s="13">
        <f>IF(ROWS($Z$2:$Z241)&lt;=MAX('Per Line'!$AN$2:$AN$1001),MATCH(ROWS($Z$2:$Z241),'Per Line'!$AN$2:$AN$1001,0),"")</f>
        <v/>
      </c>
    </row>
    <row r="242">
      <c r="A242" s="12" t="n"/>
      <c r="B242">
        <f>IF($Z242="","",INDEX('Per Line'!$D$2:$D$1001,$Z242)&amp;"")</f>
        <v/>
      </c>
      <c r="C242">
        <f>IF($Z242="","",INDEX('Per Line'!$B$2:$B$1001,$Z242)&amp;"")</f>
        <v/>
      </c>
      <c r="D242">
        <f>IF($Z242="","",INDEX('Per Line'!$A$2:$A$1001,$Z242))</f>
        <v/>
      </c>
      <c r="E242">
        <f>IF($Z242="","",INDEX('Per Line'!$E$2:$E$1001,$Z242)&amp;"")</f>
        <v/>
      </c>
      <c r="F242">
        <f>IF($Z242="","",INDEX('Per Line'!$F$2:$F$1001,$Z242)&amp;"")</f>
        <v/>
      </c>
      <c r="G242" s="11">
        <f>IF($Z242="","",INDEX('Per Line'!$G$2:$G$1001,$Z242))</f>
        <v/>
      </c>
      <c r="H242">
        <f>IF($Z242="","",INDEX('Per Line'!$I$2:$I$1001,$Z242)&amp;"")</f>
        <v/>
      </c>
      <c r="I242">
        <f>IF($Z242="","",INDEX('Per Line'!$J$2:$J$1001,$Z242)&amp;"")</f>
        <v/>
      </c>
      <c r="J242">
        <f>IF($Z242="","",INDEX('Per Line'!$K$2:$K$1001,$Z242)&amp;"")</f>
        <v/>
      </c>
      <c r="K242">
        <f>IF($Z242="","",INDEX('Per Line'!$L$2:$L$1001,$Z242)&amp;"")</f>
        <v/>
      </c>
      <c r="L242">
        <f>IF($Z242="","",INDEX('Per Line'!$M$2:$M$1001,$Z242)&amp;"")</f>
        <v/>
      </c>
      <c r="M242">
        <f>IF($Z242="","",INDEX('Per Line'!$P$2:$P$1001,$Z242))</f>
        <v/>
      </c>
      <c r="N242" s="7">
        <f>IF($Z242="","",M242*X242/100)</f>
        <v/>
      </c>
      <c r="O242" s="7">
        <f>IF($Z242="","",SUMIFS('Per Line'!$Y$2:$Y$1001,'Per Line'!$D$2:$D$1001,$B242,'Per Line'!$AP$2:$AP$1001,1))</f>
        <v/>
      </c>
      <c r="P242">
        <f>IF($Z242="","",Settings!$C$7)</f>
        <v/>
      </c>
      <c r="Q242" s="7">
        <f>IF($Z242="","",SUMIFS('Per Line'!$Y$2:$Y$1001,'Per Line'!$D$2:$D$1001,$B242,'Per Line'!$AO$2:$AO$1001,0,'Per Line'!$AP$2:$AP$1001,0))</f>
        <v/>
      </c>
      <c r="R242" s="7">
        <f>IF($Z242="","",Q242*P242)</f>
        <v/>
      </c>
      <c r="S242">
        <f>IF($Z242="","",Settings!$C$6)</f>
        <v/>
      </c>
      <c r="T242" s="7">
        <f>IF($Z242="","",SUMIFS('Per Line'!$Y$2:$Y$1001,'Per Line'!$D$2:$D$1001,$B242,'Per Line'!$AO$2:$AO$1001,1,'Per Line'!$AP$2:$AP$1001,0))</f>
        <v/>
      </c>
      <c r="U242" s="7">
        <f>IF($Z242="","",T242*S242)</f>
        <v/>
      </c>
      <c r="V242" s="7">
        <f>IF($Z242="","",U242+R242)</f>
        <v/>
      </c>
      <c r="W242" s="7">
        <f>IF($Z242="","",X242-V242)</f>
        <v/>
      </c>
      <c r="X242" s="7">
        <f>IF($Z242="","",Q242+T242+O242)</f>
        <v/>
      </c>
      <c r="Y242" s="7">
        <f>IF($Z242="","",X242-V242-N242)</f>
        <v/>
      </c>
      <c r="Z242" s="13">
        <f>IF(ROWS($Z$2:$Z242)&lt;=MAX('Per Line'!$AN$2:$AN$1001),MATCH(ROWS($Z$2:$Z242),'Per Line'!$AN$2:$AN$1001,0),"")</f>
        <v/>
      </c>
    </row>
    <row r="243">
      <c r="A243" s="12" t="n"/>
      <c r="B243">
        <f>IF($Z243="","",INDEX('Per Line'!$D$2:$D$1001,$Z243)&amp;"")</f>
        <v/>
      </c>
      <c r="C243">
        <f>IF($Z243="","",INDEX('Per Line'!$B$2:$B$1001,$Z243)&amp;"")</f>
        <v/>
      </c>
      <c r="D243">
        <f>IF($Z243="","",INDEX('Per Line'!$A$2:$A$1001,$Z243))</f>
        <v/>
      </c>
      <c r="E243">
        <f>IF($Z243="","",INDEX('Per Line'!$E$2:$E$1001,$Z243)&amp;"")</f>
        <v/>
      </c>
      <c r="F243">
        <f>IF($Z243="","",INDEX('Per Line'!$F$2:$F$1001,$Z243)&amp;"")</f>
        <v/>
      </c>
      <c r="G243" s="11">
        <f>IF($Z243="","",INDEX('Per Line'!$G$2:$G$1001,$Z243))</f>
        <v/>
      </c>
      <c r="H243">
        <f>IF($Z243="","",INDEX('Per Line'!$I$2:$I$1001,$Z243)&amp;"")</f>
        <v/>
      </c>
      <c r="I243">
        <f>IF($Z243="","",INDEX('Per Line'!$J$2:$J$1001,$Z243)&amp;"")</f>
        <v/>
      </c>
      <c r="J243">
        <f>IF($Z243="","",INDEX('Per Line'!$K$2:$K$1001,$Z243)&amp;"")</f>
        <v/>
      </c>
      <c r="K243">
        <f>IF($Z243="","",INDEX('Per Line'!$L$2:$L$1001,$Z243)&amp;"")</f>
        <v/>
      </c>
      <c r="L243">
        <f>IF($Z243="","",INDEX('Per Line'!$M$2:$M$1001,$Z243)&amp;"")</f>
        <v/>
      </c>
      <c r="M243">
        <f>IF($Z243="","",INDEX('Per Line'!$P$2:$P$1001,$Z243))</f>
        <v/>
      </c>
      <c r="N243" s="7">
        <f>IF($Z243="","",M243*X243/100)</f>
        <v/>
      </c>
      <c r="O243" s="7">
        <f>IF($Z243="","",SUMIFS('Per Line'!$Y$2:$Y$1001,'Per Line'!$D$2:$D$1001,$B243,'Per Line'!$AP$2:$AP$1001,1))</f>
        <v/>
      </c>
      <c r="P243">
        <f>IF($Z243="","",Settings!$C$7)</f>
        <v/>
      </c>
      <c r="Q243" s="7">
        <f>IF($Z243="","",SUMIFS('Per Line'!$Y$2:$Y$1001,'Per Line'!$D$2:$D$1001,$B243,'Per Line'!$AO$2:$AO$1001,0,'Per Line'!$AP$2:$AP$1001,0))</f>
        <v/>
      </c>
      <c r="R243" s="7">
        <f>IF($Z243="","",Q243*P243)</f>
        <v/>
      </c>
      <c r="S243">
        <f>IF($Z243="","",Settings!$C$6)</f>
        <v/>
      </c>
      <c r="T243" s="7">
        <f>IF($Z243="","",SUMIFS('Per Line'!$Y$2:$Y$1001,'Per Line'!$D$2:$D$1001,$B243,'Per Line'!$AO$2:$AO$1001,1,'Per Line'!$AP$2:$AP$1001,0))</f>
        <v/>
      </c>
      <c r="U243" s="7">
        <f>IF($Z243="","",T243*S243)</f>
        <v/>
      </c>
      <c r="V243" s="7">
        <f>IF($Z243="","",U243+R243)</f>
        <v/>
      </c>
      <c r="W243" s="7">
        <f>IF($Z243="","",X243-V243)</f>
        <v/>
      </c>
      <c r="X243" s="7">
        <f>IF($Z243="","",Q243+T243+O243)</f>
        <v/>
      </c>
      <c r="Y243" s="7">
        <f>IF($Z243="","",X243-V243-N243)</f>
        <v/>
      </c>
      <c r="Z243" s="13">
        <f>IF(ROWS($Z$2:$Z243)&lt;=MAX('Per Line'!$AN$2:$AN$1001),MATCH(ROWS($Z$2:$Z243),'Per Line'!$AN$2:$AN$1001,0),"")</f>
        <v/>
      </c>
    </row>
    <row r="244">
      <c r="A244" s="12" t="n"/>
      <c r="B244">
        <f>IF($Z244="","",INDEX('Per Line'!$D$2:$D$1001,$Z244)&amp;"")</f>
        <v/>
      </c>
      <c r="C244">
        <f>IF($Z244="","",INDEX('Per Line'!$B$2:$B$1001,$Z244)&amp;"")</f>
        <v/>
      </c>
      <c r="D244">
        <f>IF($Z244="","",INDEX('Per Line'!$A$2:$A$1001,$Z244))</f>
        <v/>
      </c>
      <c r="E244">
        <f>IF($Z244="","",INDEX('Per Line'!$E$2:$E$1001,$Z244)&amp;"")</f>
        <v/>
      </c>
      <c r="F244">
        <f>IF($Z244="","",INDEX('Per Line'!$F$2:$F$1001,$Z244)&amp;"")</f>
        <v/>
      </c>
      <c r="G244" s="11">
        <f>IF($Z244="","",INDEX('Per Line'!$G$2:$G$1001,$Z244))</f>
        <v/>
      </c>
      <c r="H244">
        <f>IF($Z244="","",INDEX('Per Line'!$I$2:$I$1001,$Z244)&amp;"")</f>
        <v/>
      </c>
      <c r="I244">
        <f>IF($Z244="","",INDEX('Per Line'!$J$2:$J$1001,$Z244)&amp;"")</f>
        <v/>
      </c>
      <c r="J244">
        <f>IF($Z244="","",INDEX('Per Line'!$K$2:$K$1001,$Z244)&amp;"")</f>
        <v/>
      </c>
      <c r="K244">
        <f>IF($Z244="","",INDEX('Per Line'!$L$2:$L$1001,$Z244)&amp;"")</f>
        <v/>
      </c>
      <c r="L244">
        <f>IF($Z244="","",INDEX('Per Line'!$M$2:$M$1001,$Z244)&amp;"")</f>
        <v/>
      </c>
      <c r="M244">
        <f>IF($Z244="","",INDEX('Per Line'!$P$2:$P$1001,$Z244))</f>
        <v/>
      </c>
      <c r="N244" s="7">
        <f>IF($Z244="","",M244*X244/100)</f>
        <v/>
      </c>
      <c r="O244" s="7">
        <f>IF($Z244="","",SUMIFS('Per Line'!$Y$2:$Y$1001,'Per Line'!$D$2:$D$1001,$B244,'Per Line'!$AP$2:$AP$1001,1))</f>
        <v/>
      </c>
      <c r="P244">
        <f>IF($Z244="","",Settings!$C$7)</f>
        <v/>
      </c>
      <c r="Q244" s="7">
        <f>IF($Z244="","",SUMIFS('Per Line'!$Y$2:$Y$1001,'Per Line'!$D$2:$D$1001,$B244,'Per Line'!$AO$2:$AO$1001,0,'Per Line'!$AP$2:$AP$1001,0))</f>
        <v/>
      </c>
      <c r="R244" s="7">
        <f>IF($Z244="","",Q244*P244)</f>
        <v/>
      </c>
      <c r="S244">
        <f>IF($Z244="","",Settings!$C$6)</f>
        <v/>
      </c>
      <c r="T244" s="7">
        <f>IF($Z244="","",SUMIFS('Per Line'!$Y$2:$Y$1001,'Per Line'!$D$2:$D$1001,$B244,'Per Line'!$AO$2:$AO$1001,1,'Per Line'!$AP$2:$AP$1001,0))</f>
        <v/>
      </c>
      <c r="U244" s="7">
        <f>IF($Z244="","",T244*S244)</f>
        <v/>
      </c>
      <c r="V244" s="7">
        <f>IF($Z244="","",U244+R244)</f>
        <v/>
      </c>
      <c r="W244" s="7">
        <f>IF($Z244="","",X244-V244)</f>
        <v/>
      </c>
      <c r="X244" s="7">
        <f>IF($Z244="","",Q244+T244+O244)</f>
        <v/>
      </c>
      <c r="Y244" s="7">
        <f>IF($Z244="","",X244-V244-N244)</f>
        <v/>
      </c>
      <c r="Z244" s="13">
        <f>IF(ROWS($Z$2:$Z244)&lt;=MAX('Per Line'!$AN$2:$AN$1001),MATCH(ROWS($Z$2:$Z244),'Per Line'!$AN$2:$AN$1001,0),"")</f>
        <v/>
      </c>
    </row>
    <row r="245">
      <c r="A245" s="12" t="n"/>
      <c r="B245">
        <f>IF($Z245="","",INDEX('Per Line'!$D$2:$D$1001,$Z245)&amp;"")</f>
        <v/>
      </c>
      <c r="C245">
        <f>IF($Z245="","",INDEX('Per Line'!$B$2:$B$1001,$Z245)&amp;"")</f>
        <v/>
      </c>
      <c r="D245">
        <f>IF($Z245="","",INDEX('Per Line'!$A$2:$A$1001,$Z245))</f>
        <v/>
      </c>
      <c r="E245">
        <f>IF($Z245="","",INDEX('Per Line'!$E$2:$E$1001,$Z245)&amp;"")</f>
        <v/>
      </c>
      <c r="F245">
        <f>IF($Z245="","",INDEX('Per Line'!$F$2:$F$1001,$Z245)&amp;"")</f>
        <v/>
      </c>
      <c r="G245" s="11">
        <f>IF($Z245="","",INDEX('Per Line'!$G$2:$G$1001,$Z245))</f>
        <v/>
      </c>
      <c r="H245">
        <f>IF($Z245="","",INDEX('Per Line'!$I$2:$I$1001,$Z245)&amp;"")</f>
        <v/>
      </c>
      <c r="I245">
        <f>IF($Z245="","",INDEX('Per Line'!$J$2:$J$1001,$Z245)&amp;"")</f>
        <v/>
      </c>
      <c r="J245">
        <f>IF($Z245="","",INDEX('Per Line'!$K$2:$K$1001,$Z245)&amp;"")</f>
        <v/>
      </c>
      <c r="K245">
        <f>IF($Z245="","",INDEX('Per Line'!$L$2:$L$1001,$Z245)&amp;"")</f>
        <v/>
      </c>
      <c r="L245">
        <f>IF($Z245="","",INDEX('Per Line'!$M$2:$M$1001,$Z245)&amp;"")</f>
        <v/>
      </c>
      <c r="M245">
        <f>IF($Z245="","",INDEX('Per Line'!$P$2:$P$1001,$Z245))</f>
        <v/>
      </c>
      <c r="N245" s="7">
        <f>IF($Z245="","",M245*X245/100)</f>
        <v/>
      </c>
      <c r="O245" s="7">
        <f>IF($Z245="","",SUMIFS('Per Line'!$Y$2:$Y$1001,'Per Line'!$D$2:$D$1001,$B245,'Per Line'!$AP$2:$AP$1001,1))</f>
        <v/>
      </c>
      <c r="P245">
        <f>IF($Z245="","",Settings!$C$7)</f>
        <v/>
      </c>
      <c r="Q245" s="7">
        <f>IF($Z245="","",SUMIFS('Per Line'!$Y$2:$Y$1001,'Per Line'!$D$2:$D$1001,$B245,'Per Line'!$AO$2:$AO$1001,0,'Per Line'!$AP$2:$AP$1001,0))</f>
        <v/>
      </c>
      <c r="R245" s="7">
        <f>IF($Z245="","",Q245*P245)</f>
        <v/>
      </c>
      <c r="S245">
        <f>IF($Z245="","",Settings!$C$6)</f>
        <v/>
      </c>
      <c r="T245" s="7">
        <f>IF($Z245="","",SUMIFS('Per Line'!$Y$2:$Y$1001,'Per Line'!$D$2:$D$1001,$B245,'Per Line'!$AO$2:$AO$1001,1,'Per Line'!$AP$2:$AP$1001,0))</f>
        <v/>
      </c>
      <c r="U245" s="7">
        <f>IF($Z245="","",T245*S245)</f>
        <v/>
      </c>
      <c r="V245" s="7">
        <f>IF($Z245="","",U245+R245)</f>
        <v/>
      </c>
      <c r="W245" s="7">
        <f>IF($Z245="","",X245-V245)</f>
        <v/>
      </c>
      <c r="X245" s="7">
        <f>IF($Z245="","",Q245+T245+O245)</f>
        <v/>
      </c>
      <c r="Y245" s="7">
        <f>IF($Z245="","",X245-V245-N245)</f>
        <v/>
      </c>
      <c r="Z245" s="13">
        <f>IF(ROWS($Z$2:$Z245)&lt;=MAX('Per Line'!$AN$2:$AN$1001),MATCH(ROWS($Z$2:$Z245),'Per Line'!$AN$2:$AN$1001,0),"")</f>
        <v/>
      </c>
    </row>
    <row r="246">
      <c r="A246" s="12" t="n"/>
      <c r="B246">
        <f>IF($Z246="","",INDEX('Per Line'!$D$2:$D$1001,$Z246)&amp;"")</f>
        <v/>
      </c>
      <c r="C246">
        <f>IF($Z246="","",INDEX('Per Line'!$B$2:$B$1001,$Z246)&amp;"")</f>
        <v/>
      </c>
      <c r="D246">
        <f>IF($Z246="","",INDEX('Per Line'!$A$2:$A$1001,$Z246))</f>
        <v/>
      </c>
      <c r="E246">
        <f>IF($Z246="","",INDEX('Per Line'!$E$2:$E$1001,$Z246)&amp;"")</f>
        <v/>
      </c>
      <c r="F246">
        <f>IF($Z246="","",INDEX('Per Line'!$F$2:$F$1001,$Z246)&amp;"")</f>
        <v/>
      </c>
      <c r="G246" s="11">
        <f>IF($Z246="","",INDEX('Per Line'!$G$2:$G$1001,$Z246))</f>
        <v/>
      </c>
      <c r="H246">
        <f>IF($Z246="","",INDEX('Per Line'!$I$2:$I$1001,$Z246)&amp;"")</f>
        <v/>
      </c>
      <c r="I246">
        <f>IF($Z246="","",INDEX('Per Line'!$J$2:$J$1001,$Z246)&amp;"")</f>
        <v/>
      </c>
      <c r="J246">
        <f>IF($Z246="","",INDEX('Per Line'!$K$2:$K$1001,$Z246)&amp;"")</f>
        <v/>
      </c>
      <c r="K246">
        <f>IF($Z246="","",INDEX('Per Line'!$L$2:$L$1001,$Z246)&amp;"")</f>
        <v/>
      </c>
      <c r="L246">
        <f>IF($Z246="","",INDEX('Per Line'!$M$2:$M$1001,$Z246)&amp;"")</f>
        <v/>
      </c>
      <c r="M246">
        <f>IF($Z246="","",INDEX('Per Line'!$P$2:$P$1001,$Z246))</f>
        <v/>
      </c>
      <c r="N246" s="7">
        <f>IF($Z246="","",M246*X246/100)</f>
        <v/>
      </c>
      <c r="O246" s="7">
        <f>IF($Z246="","",SUMIFS('Per Line'!$Y$2:$Y$1001,'Per Line'!$D$2:$D$1001,$B246,'Per Line'!$AP$2:$AP$1001,1))</f>
        <v/>
      </c>
      <c r="P246">
        <f>IF($Z246="","",Settings!$C$7)</f>
        <v/>
      </c>
      <c r="Q246" s="7">
        <f>IF($Z246="","",SUMIFS('Per Line'!$Y$2:$Y$1001,'Per Line'!$D$2:$D$1001,$B246,'Per Line'!$AO$2:$AO$1001,0,'Per Line'!$AP$2:$AP$1001,0))</f>
        <v/>
      </c>
      <c r="R246" s="7">
        <f>IF($Z246="","",Q246*P246)</f>
        <v/>
      </c>
      <c r="S246">
        <f>IF($Z246="","",Settings!$C$6)</f>
        <v/>
      </c>
      <c r="T246" s="7">
        <f>IF($Z246="","",SUMIFS('Per Line'!$Y$2:$Y$1001,'Per Line'!$D$2:$D$1001,$B246,'Per Line'!$AO$2:$AO$1001,1,'Per Line'!$AP$2:$AP$1001,0))</f>
        <v/>
      </c>
      <c r="U246" s="7">
        <f>IF($Z246="","",T246*S246)</f>
        <v/>
      </c>
      <c r="V246" s="7">
        <f>IF($Z246="","",U246+R246)</f>
        <v/>
      </c>
      <c r="W246" s="7">
        <f>IF($Z246="","",X246-V246)</f>
        <v/>
      </c>
      <c r="X246" s="7">
        <f>IF($Z246="","",Q246+T246+O246)</f>
        <v/>
      </c>
      <c r="Y246" s="7">
        <f>IF($Z246="","",X246-V246-N246)</f>
        <v/>
      </c>
      <c r="Z246" s="13">
        <f>IF(ROWS($Z$2:$Z246)&lt;=MAX('Per Line'!$AN$2:$AN$1001),MATCH(ROWS($Z$2:$Z246),'Per Line'!$AN$2:$AN$1001,0),"")</f>
        <v/>
      </c>
    </row>
    <row r="247">
      <c r="A247" s="12" t="n"/>
      <c r="B247">
        <f>IF($Z247="","",INDEX('Per Line'!$D$2:$D$1001,$Z247)&amp;"")</f>
        <v/>
      </c>
      <c r="C247">
        <f>IF($Z247="","",INDEX('Per Line'!$B$2:$B$1001,$Z247)&amp;"")</f>
        <v/>
      </c>
      <c r="D247">
        <f>IF($Z247="","",INDEX('Per Line'!$A$2:$A$1001,$Z247))</f>
        <v/>
      </c>
      <c r="E247">
        <f>IF($Z247="","",INDEX('Per Line'!$E$2:$E$1001,$Z247)&amp;"")</f>
        <v/>
      </c>
      <c r="F247">
        <f>IF($Z247="","",INDEX('Per Line'!$F$2:$F$1001,$Z247)&amp;"")</f>
        <v/>
      </c>
      <c r="G247" s="11">
        <f>IF($Z247="","",INDEX('Per Line'!$G$2:$G$1001,$Z247))</f>
        <v/>
      </c>
      <c r="H247">
        <f>IF($Z247="","",INDEX('Per Line'!$I$2:$I$1001,$Z247)&amp;"")</f>
        <v/>
      </c>
      <c r="I247">
        <f>IF($Z247="","",INDEX('Per Line'!$J$2:$J$1001,$Z247)&amp;"")</f>
        <v/>
      </c>
      <c r="J247">
        <f>IF($Z247="","",INDEX('Per Line'!$K$2:$K$1001,$Z247)&amp;"")</f>
        <v/>
      </c>
      <c r="K247">
        <f>IF($Z247="","",INDEX('Per Line'!$L$2:$L$1001,$Z247)&amp;"")</f>
        <v/>
      </c>
      <c r="L247">
        <f>IF($Z247="","",INDEX('Per Line'!$M$2:$M$1001,$Z247)&amp;"")</f>
        <v/>
      </c>
      <c r="M247">
        <f>IF($Z247="","",INDEX('Per Line'!$P$2:$P$1001,$Z247))</f>
        <v/>
      </c>
      <c r="N247" s="7">
        <f>IF($Z247="","",M247*X247/100)</f>
        <v/>
      </c>
      <c r="O247" s="7">
        <f>IF($Z247="","",SUMIFS('Per Line'!$Y$2:$Y$1001,'Per Line'!$D$2:$D$1001,$B247,'Per Line'!$AP$2:$AP$1001,1))</f>
        <v/>
      </c>
      <c r="P247">
        <f>IF($Z247="","",Settings!$C$7)</f>
        <v/>
      </c>
      <c r="Q247" s="7">
        <f>IF($Z247="","",SUMIFS('Per Line'!$Y$2:$Y$1001,'Per Line'!$D$2:$D$1001,$B247,'Per Line'!$AO$2:$AO$1001,0,'Per Line'!$AP$2:$AP$1001,0))</f>
        <v/>
      </c>
      <c r="R247" s="7">
        <f>IF($Z247="","",Q247*P247)</f>
        <v/>
      </c>
      <c r="S247">
        <f>IF($Z247="","",Settings!$C$6)</f>
        <v/>
      </c>
      <c r="T247" s="7">
        <f>IF($Z247="","",SUMIFS('Per Line'!$Y$2:$Y$1001,'Per Line'!$D$2:$D$1001,$B247,'Per Line'!$AO$2:$AO$1001,1,'Per Line'!$AP$2:$AP$1001,0))</f>
        <v/>
      </c>
      <c r="U247" s="7">
        <f>IF($Z247="","",T247*S247)</f>
        <v/>
      </c>
      <c r="V247" s="7">
        <f>IF($Z247="","",U247+R247)</f>
        <v/>
      </c>
      <c r="W247" s="7">
        <f>IF($Z247="","",X247-V247)</f>
        <v/>
      </c>
      <c r="X247" s="7">
        <f>IF($Z247="","",Q247+T247+O247)</f>
        <v/>
      </c>
      <c r="Y247" s="7">
        <f>IF($Z247="","",X247-V247-N247)</f>
        <v/>
      </c>
      <c r="Z247" s="13">
        <f>IF(ROWS($Z$2:$Z247)&lt;=MAX('Per Line'!$AN$2:$AN$1001),MATCH(ROWS($Z$2:$Z247),'Per Line'!$AN$2:$AN$1001,0),"")</f>
        <v/>
      </c>
    </row>
    <row r="248">
      <c r="A248" s="12" t="n"/>
      <c r="B248">
        <f>IF($Z248="","",INDEX('Per Line'!$D$2:$D$1001,$Z248)&amp;"")</f>
        <v/>
      </c>
      <c r="C248">
        <f>IF($Z248="","",INDEX('Per Line'!$B$2:$B$1001,$Z248)&amp;"")</f>
        <v/>
      </c>
      <c r="D248">
        <f>IF($Z248="","",INDEX('Per Line'!$A$2:$A$1001,$Z248))</f>
        <v/>
      </c>
      <c r="E248">
        <f>IF($Z248="","",INDEX('Per Line'!$E$2:$E$1001,$Z248)&amp;"")</f>
        <v/>
      </c>
      <c r="F248">
        <f>IF($Z248="","",INDEX('Per Line'!$F$2:$F$1001,$Z248)&amp;"")</f>
        <v/>
      </c>
      <c r="G248" s="11">
        <f>IF($Z248="","",INDEX('Per Line'!$G$2:$G$1001,$Z248))</f>
        <v/>
      </c>
      <c r="H248">
        <f>IF($Z248="","",INDEX('Per Line'!$I$2:$I$1001,$Z248)&amp;"")</f>
        <v/>
      </c>
      <c r="I248">
        <f>IF($Z248="","",INDEX('Per Line'!$J$2:$J$1001,$Z248)&amp;"")</f>
        <v/>
      </c>
      <c r="J248">
        <f>IF($Z248="","",INDEX('Per Line'!$K$2:$K$1001,$Z248)&amp;"")</f>
        <v/>
      </c>
      <c r="K248">
        <f>IF($Z248="","",INDEX('Per Line'!$L$2:$L$1001,$Z248)&amp;"")</f>
        <v/>
      </c>
      <c r="L248">
        <f>IF($Z248="","",INDEX('Per Line'!$M$2:$M$1001,$Z248)&amp;"")</f>
        <v/>
      </c>
      <c r="M248">
        <f>IF($Z248="","",INDEX('Per Line'!$P$2:$P$1001,$Z248))</f>
        <v/>
      </c>
      <c r="N248" s="7">
        <f>IF($Z248="","",M248*X248/100)</f>
        <v/>
      </c>
      <c r="O248" s="7">
        <f>IF($Z248="","",SUMIFS('Per Line'!$Y$2:$Y$1001,'Per Line'!$D$2:$D$1001,$B248,'Per Line'!$AP$2:$AP$1001,1))</f>
        <v/>
      </c>
      <c r="P248">
        <f>IF($Z248="","",Settings!$C$7)</f>
        <v/>
      </c>
      <c r="Q248" s="7">
        <f>IF($Z248="","",SUMIFS('Per Line'!$Y$2:$Y$1001,'Per Line'!$D$2:$D$1001,$B248,'Per Line'!$AO$2:$AO$1001,0,'Per Line'!$AP$2:$AP$1001,0))</f>
        <v/>
      </c>
      <c r="R248" s="7">
        <f>IF($Z248="","",Q248*P248)</f>
        <v/>
      </c>
      <c r="S248">
        <f>IF($Z248="","",Settings!$C$6)</f>
        <v/>
      </c>
      <c r="T248" s="7">
        <f>IF($Z248="","",SUMIFS('Per Line'!$Y$2:$Y$1001,'Per Line'!$D$2:$D$1001,$B248,'Per Line'!$AO$2:$AO$1001,1,'Per Line'!$AP$2:$AP$1001,0))</f>
        <v/>
      </c>
      <c r="U248" s="7">
        <f>IF($Z248="","",T248*S248)</f>
        <v/>
      </c>
      <c r="V248" s="7">
        <f>IF($Z248="","",U248+R248)</f>
        <v/>
      </c>
      <c r="W248" s="7">
        <f>IF($Z248="","",X248-V248)</f>
        <v/>
      </c>
      <c r="X248" s="7">
        <f>IF($Z248="","",Q248+T248+O248)</f>
        <v/>
      </c>
      <c r="Y248" s="7">
        <f>IF($Z248="","",X248-V248-N248)</f>
        <v/>
      </c>
      <c r="Z248" s="13">
        <f>IF(ROWS($Z$2:$Z248)&lt;=MAX('Per Line'!$AN$2:$AN$1001),MATCH(ROWS($Z$2:$Z248),'Per Line'!$AN$2:$AN$1001,0),"")</f>
        <v/>
      </c>
    </row>
    <row r="249">
      <c r="A249" s="12" t="n"/>
      <c r="B249">
        <f>IF($Z249="","",INDEX('Per Line'!$D$2:$D$1001,$Z249)&amp;"")</f>
        <v/>
      </c>
      <c r="C249">
        <f>IF($Z249="","",INDEX('Per Line'!$B$2:$B$1001,$Z249)&amp;"")</f>
        <v/>
      </c>
      <c r="D249">
        <f>IF($Z249="","",INDEX('Per Line'!$A$2:$A$1001,$Z249))</f>
        <v/>
      </c>
      <c r="E249">
        <f>IF($Z249="","",INDEX('Per Line'!$E$2:$E$1001,$Z249)&amp;"")</f>
        <v/>
      </c>
      <c r="F249">
        <f>IF($Z249="","",INDEX('Per Line'!$F$2:$F$1001,$Z249)&amp;"")</f>
        <v/>
      </c>
      <c r="G249" s="11">
        <f>IF($Z249="","",INDEX('Per Line'!$G$2:$G$1001,$Z249))</f>
        <v/>
      </c>
      <c r="H249">
        <f>IF($Z249="","",INDEX('Per Line'!$I$2:$I$1001,$Z249)&amp;"")</f>
        <v/>
      </c>
      <c r="I249">
        <f>IF($Z249="","",INDEX('Per Line'!$J$2:$J$1001,$Z249)&amp;"")</f>
        <v/>
      </c>
      <c r="J249">
        <f>IF($Z249="","",INDEX('Per Line'!$K$2:$K$1001,$Z249)&amp;"")</f>
        <v/>
      </c>
      <c r="K249">
        <f>IF($Z249="","",INDEX('Per Line'!$L$2:$L$1001,$Z249)&amp;"")</f>
        <v/>
      </c>
      <c r="L249">
        <f>IF($Z249="","",INDEX('Per Line'!$M$2:$M$1001,$Z249)&amp;"")</f>
        <v/>
      </c>
      <c r="M249">
        <f>IF($Z249="","",INDEX('Per Line'!$P$2:$P$1001,$Z249))</f>
        <v/>
      </c>
      <c r="N249" s="7">
        <f>IF($Z249="","",M249*X249/100)</f>
        <v/>
      </c>
      <c r="O249" s="7">
        <f>IF($Z249="","",SUMIFS('Per Line'!$Y$2:$Y$1001,'Per Line'!$D$2:$D$1001,$B249,'Per Line'!$AP$2:$AP$1001,1))</f>
        <v/>
      </c>
      <c r="P249">
        <f>IF($Z249="","",Settings!$C$7)</f>
        <v/>
      </c>
      <c r="Q249" s="7">
        <f>IF($Z249="","",SUMIFS('Per Line'!$Y$2:$Y$1001,'Per Line'!$D$2:$D$1001,$B249,'Per Line'!$AO$2:$AO$1001,0,'Per Line'!$AP$2:$AP$1001,0))</f>
        <v/>
      </c>
      <c r="R249" s="7">
        <f>IF($Z249="","",Q249*P249)</f>
        <v/>
      </c>
      <c r="S249">
        <f>IF($Z249="","",Settings!$C$6)</f>
        <v/>
      </c>
      <c r="T249" s="7">
        <f>IF($Z249="","",SUMIFS('Per Line'!$Y$2:$Y$1001,'Per Line'!$D$2:$D$1001,$B249,'Per Line'!$AO$2:$AO$1001,1,'Per Line'!$AP$2:$AP$1001,0))</f>
        <v/>
      </c>
      <c r="U249" s="7">
        <f>IF($Z249="","",T249*S249)</f>
        <v/>
      </c>
      <c r="V249" s="7">
        <f>IF($Z249="","",U249+R249)</f>
        <v/>
      </c>
      <c r="W249" s="7">
        <f>IF($Z249="","",X249-V249)</f>
        <v/>
      </c>
      <c r="X249" s="7">
        <f>IF($Z249="","",Q249+T249+O249)</f>
        <v/>
      </c>
      <c r="Y249" s="7">
        <f>IF($Z249="","",X249-V249-N249)</f>
        <v/>
      </c>
      <c r="Z249" s="13">
        <f>IF(ROWS($Z$2:$Z249)&lt;=MAX('Per Line'!$AN$2:$AN$1001),MATCH(ROWS($Z$2:$Z249),'Per Line'!$AN$2:$AN$1001,0),"")</f>
        <v/>
      </c>
    </row>
    <row r="250">
      <c r="A250" s="12" t="n"/>
      <c r="B250">
        <f>IF($Z250="","",INDEX('Per Line'!$D$2:$D$1001,$Z250)&amp;"")</f>
        <v/>
      </c>
      <c r="C250">
        <f>IF($Z250="","",INDEX('Per Line'!$B$2:$B$1001,$Z250)&amp;"")</f>
        <v/>
      </c>
      <c r="D250">
        <f>IF($Z250="","",INDEX('Per Line'!$A$2:$A$1001,$Z250))</f>
        <v/>
      </c>
      <c r="E250">
        <f>IF($Z250="","",INDEX('Per Line'!$E$2:$E$1001,$Z250)&amp;"")</f>
        <v/>
      </c>
      <c r="F250">
        <f>IF($Z250="","",INDEX('Per Line'!$F$2:$F$1001,$Z250)&amp;"")</f>
        <v/>
      </c>
      <c r="G250" s="11">
        <f>IF($Z250="","",INDEX('Per Line'!$G$2:$G$1001,$Z250))</f>
        <v/>
      </c>
      <c r="H250">
        <f>IF($Z250="","",INDEX('Per Line'!$I$2:$I$1001,$Z250)&amp;"")</f>
        <v/>
      </c>
      <c r="I250">
        <f>IF($Z250="","",INDEX('Per Line'!$J$2:$J$1001,$Z250)&amp;"")</f>
        <v/>
      </c>
      <c r="J250">
        <f>IF($Z250="","",INDEX('Per Line'!$K$2:$K$1001,$Z250)&amp;"")</f>
        <v/>
      </c>
      <c r="K250">
        <f>IF($Z250="","",INDEX('Per Line'!$L$2:$L$1001,$Z250)&amp;"")</f>
        <v/>
      </c>
      <c r="L250">
        <f>IF($Z250="","",INDEX('Per Line'!$M$2:$M$1001,$Z250)&amp;"")</f>
        <v/>
      </c>
      <c r="M250">
        <f>IF($Z250="","",INDEX('Per Line'!$P$2:$P$1001,$Z250))</f>
        <v/>
      </c>
      <c r="N250" s="7">
        <f>IF($Z250="","",M250*X250/100)</f>
        <v/>
      </c>
      <c r="O250" s="7">
        <f>IF($Z250="","",SUMIFS('Per Line'!$Y$2:$Y$1001,'Per Line'!$D$2:$D$1001,$B250,'Per Line'!$AP$2:$AP$1001,1))</f>
        <v/>
      </c>
      <c r="P250">
        <f>IF($Z250="","",Settings!$C$7)</f>
        <v/>
      </c>
      <c r="Q250" s="7">
        <f>IF($Z250="","",SUMIFS('Per Line'!$Y$2:$Y$1001,'Per Line'!$D$2:$D$1001,$B250,'Per Line'!$AO$2:$AO$1001,0,'Per Line'!$AP$2:$AP$1001,0))</f>
        <v/>
      </c>
      <c r="R250" s="7">
        <f>IF($Z250="","",Q250*P250)</f>
        <v/>
      </c>
      <c r="S250">
        <f>IF($Z250="","",Settings!$C$6)</f>
        <v/>
      </c>
      <c r="T250" s="7">
        <f>IF($Z250="","",SUMIFS('Per Line'!$Y$2:$Y$1001,'Per Line'!$D$2:$D$1001,$B250,'Per Line'!$AO$2:$AO$1001,1,'Per Line'!$AP$2:$AP$1001,0))</f>
        <v/>
      </c>
      <c r="U250" s="7">
        <f>IF($Z250="","",T250*S250)</f>
        <v/>
      </c>
      <c r="V250" s="7">
        <f>IF($Z250="","",U250+R250)</f>
        <v/>
      </c>
      <c r="W250" s="7">
        <f>IF($Z250="","",X250-V250)</f>
        <v/>
      </c>
      <c r="X250" s="7">
        <f>IF($Z250="","",Q250+T250+O250)</f>
        <v/>
      </c>
      <c r="Y250" s="7">
        <f>IF($Z250="","",X250-V250-N250)</f>
        <v/>
      </c>
      <c r="Z250" s="13">
        <f>IF(ROWS($Z$2:$Z250)&lt;=MAX('Per Line'!$AN$2:$AN$1001),MATCH(ROWS($Z$2:$Z250),'Per Line'!$AN$2:$AN$1001,0),"")</f>
        <v/>
      </c>
    </row>
    <row r="251">
      <c r="A251" s="12" t="n"/>
      <c r="B251">
        <f>IF($Z251="","",INDEX('Per Line'!$D$2:$D$1001,$Z251)&amp;"")</f>
        <v/>
      </c>
      <c r="C251">
        <f>IF($Z251="","",INDEX('Per Line'!$B$2:$B$1001,$Z251)&amp;"")</f>
        <v/>
      </c>
      <c r="D251">
        <f>IF($Z251="","",INDEX('Per Line'!$A$2:$A$1001,$Z251))</f>
        <v/>
      </c>
      <c r="E251">
        <f>IF($Z251="","",INDEX('Per Line'!$E$2:$E$1001,$Z251)&amp;"")</f>
        <v/>
      </c>
      <c r="F251">
        <f>IF($Z251="","",INDEX('Per Line'!$F$2:$F$1001,$Z251)&amp;"")</f>
        <v/>
      </c>
      <c r="G251" s="11">
        <f>IF($Z251="","",INDEX('Per Line'!$G$2:$G$1001,$Z251))</f>
        <v/>
      </c>
      <c r="H251">
        <f>IF($Z251="","",INDEX('Per Line'!$I$2:$I$1001,$Z251)&amp;"")</f>
        <v/>
      </c>
      <c r="I251">
        <f>IF($Z251="","",INDEX('Per Line'!$J$2:$J$1001,$Z251)&amp;"")</f>
        <v/>
      </c>
      <c r="J251">
        <f>IF($Z251="","",INDEX('Per Line'!$K$2:$K$1001,$Z251)&amp;"")</f>
        <v/>
      </c>
      <c r="K251">
        <f>IF($Z251="","",INDEX('Per Line'!$L$2:$L$1001,$Z251)&amp;"")</f>
        <v/>
      </c>
      <c r="L251">
        <f>IF($Z251="","",INDEX('Per Line'!$M$2:$M$1001,$Z251)&amp;"")</f>
        <v/>
      </c>
      <c r="M251">
        <f>IF($Z251="","",INDEX('Per Line'!$P$2:$P$1001,$Z251))</f>
        <v/>
      </c>
      <c r="N251" s="7">
        <f>IF($Z251="","",M251*X251/100)</f>
        <v/>
      </c>
      <c r="O251" s="7">
        <f>IF($Z251="","",SUMIFS('Per Line'!$Y$2:$Y$1001,'Per Line'!$D$2:$D$1001,$B251,'Per Line'!$AP$2:$AP$1001,1))</f>
        <v/>
      </c>
      <c r="P251">
        <f>IF($Z251="","",Settings!$C$7)</f>
        <v/>
      </c>
      <c r="Q251" s="7">
        <f>IF($Z251="","",SUMIFS('Per Line'!$Y$2:$Y$1001,'Per Line'!$D$2:$D$1001,$B251,'Per Line'!$AO$2:$AO$1001,0,'Per Line'!$AP$2:$AP$1001,0))</f>
        <v/>
      </c>
      <c r="R251" s="7">
        <f>IF($Z251="","",Q251*P251)</f>
        <v/>
      </c>
      <c r="S251">
        <f>IF($Z251="","",Settings!$C$6)</f>
        <v/>
      </c>
      <c r="T251" s="7">
        <f>IF($Z251="","",SUMIFS('Per Line'!$Y$2:$Y$1001,'Per Line'!$D$2:$D$1001,$B251,'Per Line'!$AO$2:$AO$1001,1,'Per Line'!$AP$2:$AP$1001,0))</f>
        <v/>
      </c>
      <c r="U251" s="7">
        <f>IF($Z251="","",T251*S251)</f>
        <v/>
      </c>
      <c r="V251" s="7">
        <f>IF($Z251="","",U251+R251)</f>
        <v/>
      </c>
      <c r="W251" s="7">
        <f>IF($Z251="","",X251-V251)</f>
        <v/>
      </c>
      <c r="X251" s="7">
        <f>IF($Z251="","",Q251+T251+O251)</f>
        <v/>
      </c>
      <c r="Y251" s="7">
        <f>IF($Z251="","",X251-V251-N251)</f>
        <v/>
      </c>
      <c r="Z251" s="13">
        <f>IF(ROWS($Z$2:$Z251)&lt;=MAX('Per Line'!$AN$2:$AN$1001),MATCH(ROWS($Z$2:$Z251),'Per Line'!$AN$2:$AN$1001,0),"")</f>
        <v/>
      </c>
    </row>
    <row r="252">
      <c r="A252" s="12" t="n"/>
      <c r="B252">
        <f>IF($Z252="","",INDEX('Per Line'!$D$2:$D$1001,$Z252)&amp;"")</f>
        <v/>
      </c>
      <c r="C252">
        <f>IF($Z252="","",INDEX('Per Line'!$B$2:$B$1001,$Z252)&amp;"")</f>
        <v/>
      </c>
      <c r="D252">
        <f>IF($Z252="","",INDEX('Per Line'!$A$2:$A$1001,$Z252))</f>
        <v/>
      </c>
      <c r="E252">
        <f>IF($Z252="","",INDEX('Per Line'!$E$2:$E$1001,$Z252)&amp;"")</f>
        <v/>
      </c>
      <c r="F252">
        <f>IF($Z252="","",INDEX('Per Line'!$F$2:$F$1001,$Z252)&amp;"")</f>
        <v/>
      </c>
      <c r="G252" s="11">
        <f>IF($Z252="","",INDEX('Per Line'!$G$2:$G$1001,$Z252))</f>
        <v/>
      </c>
      <c r="H252">
        <f>IF($Z252="","",INDEX('Per Line'!$I$2:$I$1001,$Z252)&amp;"")</f>
        <v/>
      </c>
      <c r="I252">
        <f>IF($Z252="","",INDEX('Per Line'!$J$2:$J$1001,$Z252)&amp;"")</f>
        <v/>
      </c>
      <c r="J252">
        <f>IF($Z252="","",INDEX('Per Line'!$K$2:$K$1001,$Z252)&amp;"")</f>
        <v/>
      </c>
      <c r="K252">
        <f>IF($Z252="","",INDEX('Per Line'!$L$2:$L$1001,$Z252)&amp;"")</f>
        <v/>
      </c>
      <c r="L252">
        <f>IF($Z252="","",INDEX('Per Line'!$M$2:$M$1001,$Z252)&amp;"")</f>
        <v/>
      </c>
      <c r="M252">
        <f>IF($Z252="","",INDEX('Per Line'!$P$2:$P$1001,$Z252))</f>
        <v/>
      </c>
      <c r="N252" s="7">
        <f>IF($Z252="","",M252*X252/100)</f>
        <v/>
      </c>
      <c r="O252" s="7">
        <f>IF($Z252="","",SUMIFS('Per Line'!$Y$2:$Y$1001,'Per Line'!$D$2:$D$1001,$B252,'Per Line'!$AP$2:$AP$1001,1))</f>
        <v/>
      </c>
      <c r="P252">
        <f>IF($Z252="","",Settings!$C$7)</f>
        <v/>
      </c>
      <c r="Q252" s="7">
        <f>IF($Z252="","",SUMIFS('Per Line'!$Y$2:$Y$1001,'Per Line'!$D$2:$D$1001,$B252,'Per Line'!$AO$2:$AO$1001,0,'Per Line'!$AP$2:$AP$1001,0))</f>
        <v/>
      </c>
      <c r="R252" s="7">
        <f>IF($Z252="","",Q252*P252)</f>
        <v/>
      </c>
      <c r="S252">
        <f>IF($Z252="","",Settings!$C$6)</f>
        <v/>
      </c>
      <c r="T252" s="7">
        <f>IF($Z252="","",SUMIFS('Per Line'!$Y$2:$Y$1001,'Per Line'!$D$2:$D$1001,$B252,'Per Line'!$AO$2:$AO$1001,1,'Per Line'!$AP$2:$AP$1001,0))</f>
        <v/>
      </c>
      <c r="U252" s="7">
        <f>IF($Z252="","",T252*S252)</f>
        <v/>
      </c>
      <c r="V252" s="7">
        <f>IF($Z252="","",U252+R252)</f>
        <v/>
      </c>
      <c r="W252" s="7">
        <f>IF($Z252="","",X252-V252)</f>
        <v/>
      </c>
      <c r="X252" s="7">
        <f>IF($Z252="","",Q252+T252+O252)</f>
        <v/>
      </c>
      <c r="Y252" s="7">
        <f>IF($Z252="","",X252-V252-N252)</f>
        <v/>
      </c>
      <c r="Z252" s="13">
        <f>IF(ROWS($Z$2:$Z252)&lt;=MAX('Per Line'!$AN$2:$AN$1001),MATCH(ROWS($Z$2:$Z252),'Per Line'!$AN$2:$AN$1001,0),"")</f>
        <v/>
      </c>
    </row>
    <row r="253">
      <c r="A253" s="12" t="n"/>
      <c r="B253">
        <f>IF($Z253="","",INDEX('Per Line'!$D$2:$D$1001,$Z253)&amp;"")</f>
        <v/>
      </c>
      <c r="C253">
        <f>IF($Z253="","",INDEX('Per Line'!$B$2:$B$1001,$Z253)&amp;"")</f>
        <v/>
      </c>
      <c r="D253">
        <f>IF($Z253="","",INDEX('Per Line'!$A$2:$A$1001,$Z253))</f>
        <v/>
      </c>
      <c r="E253">
        <f>IF($Z253="","",INDEX('Per Line'!$E$2:$E$1001,$Z253)&amp;"")</f>
        <v/>
      </c>
      <c r="F253">
        <f>IF($Z253="","",INDEX('Per Line'!$F$2:$F$1001,$Z253)&amp;"")</f>
        <v/>
      </c>
      <c r="G253" s="11">
        <f>IF($Z253="","",INDEX('Per Line'!$G$2:$G$1001,$Z253))</f>
        <v/>
      </c>
      <c r="H253">
        <f>IF($Z253="","",INDEX('Per Line'!$I$2:$I$1001,$Z253)&amp;"")</f>
        <v/>
      </c>
      <c r="I253">
        <f>IF($Z253="","",INDEX('Per Line'!$J$2:$J$1001,$Z253)&amp;"")</f>
        <v/>
      </c>
      <c r="J253">
        <f>IF($Z253="","",INDEX('Per Line'!$K$2:$K$1001,$Z253)&amp;"")</f>
        <v/>
      </c>
      <c r="K253">
        <f>IF($Z253="","",INDEX('Per Line'!$L$2:$L$1001,$Z253)&amp;"")</f>
        <v/>
      </c>
      <c r="L253">
        <f>IF($Z253="","",INDEX('Per Line'!$M$2:$M$1001,$Z253)&amp;"")</f>
        <v/>
      </c>
      <c r="M253">
        <f>IF($Z253="","",INDEX('Per Line'!$P$2:$P$1001,$Z253))</f>
        <v/>
      </c>
      <c r="N253" s="7">
        <f>IF($Z253="","",M253*X253/100)</f>
        <v/>
      </c>
      <c r="O253" s="7">
        <f>IF($Z253="","",SUMIFS('Per Line'!$Y$2:$Y$1001,'Per Line'!$D$2:$D$1001,$B253,'Per Line'!$AP$2:$AP$1001,1))</f>
        <v/>
      </c>
      <c r="P253">
        <f>IF($Z253="","",Settings!$C$7)</f>
        <v/>
      </c>
      <c r="Q253" s="7">
        <f>IF($Z253="","",SUMIFS('Per Line'!$Y$2:$Y$1001,'Per Line'!$D$2:$D$1001,$B253,'Per Line'!$AO$2:$AO$1001,0,'Per Line'!$AP$2:$AP$1001,0))</f>
        <v/>
      </c>
      <c r="R253" s="7">
        <f>IF($Z253="","",Q253*P253)</f>
        <v/>
      </c>
      <c r="S253">
        <f>IF($Z253="","",Settings!$C$6)</f>
        <v/>
      </c>
      <c r="T253" s="7">
        <f>IF($Z253="","",SUMIFS('Per Line'!$Y$2:$Y$1001,'Per Line'!$D$2:$D$1001,$B253,'Per Line'!$AO$2:$AO$1001,1,'Per Line'!$AP$2:$AP$1001,0))</f>
        <v/>
      </c>
      <c r="U253" s="7">
        <f>IF($Z253="","",T253*S253)</f>
        <v/>
      </c>
      <c r="V253" s="7">
        <f>IF($Z253="","",U253+R253)</f>
        <v/>
      </c>
      <c r="W253" s="7">
        <f>IF($Z253="","",X253-V253)</f>
        <v/>
      </c>
      <c r="X253" s="7">
        <f>IF($Z253="","",Q253+T253+O253)</f>
        <v/>
      </c>
      <c r="Y253" s="7">
        <f>IF($Z253="","",X253-V253-N253)</f>
        <v/>
      </c>
      <c r="Z253" s="13">
        <f>IF(ROWS($Z$2:$Z253)&lt;=MAX('Per Line'!$AN$2:$AN$1001),MATCH(ROWS($Z$2:$Z253),'Per Line'!$AN$2:$AN$1001,0),"")</f>
        <v/>
      </c>
    </row>
    <row r="254">
      <c r="A254" s="12" t="n"/>
      <c r="B254">
        <f>IF($Z254="","",INDEX('Per Line'!$D$2:$D$1001,$Z254)&amp;"")</f>
        <v/>
      </c>
      <c r="C254">
        <f>IF($Z254="","",INDEX('Per Line'!$B$2:$B$1001,$Z254)&amp;"")</f>
        <v/>
      </c>
      <c r="D254">
        <f>IF($Z254="","",INDEX('Per Line'!$A$2:$A$1001,$Z254))</f>
        <v/>
      </c>
      <c r="E254">
        <f>IF($Z254="","",INDEX('Per Line'!$E$2:$E$1001,$Z254)&amp;"")</f>
        <v/>
      </c>
      <c r="F254">
        <f>IF($Z254="","",INDEX('Per Line'!$F$2:$F$1001,$Z254)&amp;"")</f>
        <v/>
      </c>
      <c r="G254" s="11">
        <f>IF($Z254="","",INDEX('Per Line'!$G$2:$G$1001,$Z254))</f>
        <v/>
      </c>
      <c r="H254">
        <f>IF($Z254="","",INDEX('Per Line'!$I$2:$I$1001,$Z254)&amp;"")</f>
        <v/>
      </c>
      <c r="I254">
        <f>IF($Z254="","",INDEX('Per Line'!$J$2:$J$1001,$Z254)&amp;"")</f>
        <v/>
      </c>
      <c r="J254">
        <f>IF($Z254="","",INDEX('Per Line'!$K$2:$K$1001,$Z254)&amp;"")</f>
        <v/>
      </c>
      <c r="K254">
        <f>IF($Z254="","",INDEX('Per Line'!$L$2:$L$1001,$Z254)&amp;"")</f>
        <v/>
      </c>
      <c r="L254">
        <f>IF($Z254="","",INDEX('Per Line'!$M$2:$M$1001,$Z254)&amp;"")</f>
        <v/>
      </c>
      <c r="M254">
        <f>IF($Z254="","",INDEX('Per Line'!$P$2:$P$1001,$Z254))</f>
        <v/>
      </c>
      <c r="N254" s="7">
        <f>IF($Z254="","",M254*X254/100)</f>
        <v/>
      </c>
      <c r="O254" s="7">
        <f>IF($Z254="","",SUMIFS('Per Line'!$Y$2:$Y$1001,'Per Line'!$D$2:$D$1001,$B254,'Per Line'!$AP$2:$AP$1001,1))</f>
        <v/>
      </c>
      <c r="P254">
        <f>IF($Z254="","",Settings!$C$7)</f>
        <v/>
      </c>
      <c r="Q254" s="7">
        <f>IF($Z254="","",SUMIFS('Per Line'!$Y$2:$Y$1001,'Per Line'!$D$2:$D$1001,$B254,'Per Line'!$AO$2:$AO$1001,0,'Per Line'!$AP$2:$AP$1001,0))</f>
        <v/>
      </c>
      <c r="R254" s="7">
        <f>IF($Z254="","",Q254*P254)</f>
        <v/>
      </c>
      <c r="S254">
        <f>IF($Z254="","",Settings!$C$6)</f>
        <v/>
      </c>
      <c r="T254" s="7">
        <f>IF($Z254="","",SUMIFS('Per Line'!$Y$2:$Y$1001,'Per Line'!$D$2:$D$1001,$B254,'Per Line'!$AO$2:$AO$1001,1,'Per Line'!$AP$2:$AP$1001,0))</f>
        <v/>
      </c>
      <c r="U254" s="7">
        <f>IF($Z254="","",T254*S254)</f>
        <v/>
      </c>
      <c r="V254" s="7">
        <f>IF($Z254="","",U254+R254)</f>
        <v/>
      </c>
      <c r="W254" s="7">
        <f>IF($Z254="","",X254-V254)</f>
        <v/>
      </c>
      <c r="X254" s="7">
        <f>IF($Z254="","",Q254+T254+O254)</f>
        <v/>
      </c>
      <c r="Y254" s="7">
        <f>IF($Z254="","",X254-V254-N254)</f>
        <v/>
      </c>
      <c r="Z254" s="13">
        <f>IF(ROWS($Z$2:$Z254)&lt;=MAX('Per Line'!$AN$2:$AN$1001),MATCH(ROWS($Z$2:$Z254),'Per Line'!$AN$2:$AN$1001,0),"")</f>
        <v/>
      </c>
    </row>
    <row r="255">
      <c r="A255" s="12" t="n"/>
      <c r="B255">
        <f>IF($Z255="","",INDEX('Per Line'!$D$2:$D$1001,$Z255)&amp;"")</f>
        <v/>
      </c>
      <c r="C255">
        <f>IF($Z255="","",INDEX('Per Line'!$B$2:$B$1001,$Z255)&amp;"")</f>
        <v/>
      </c>
      <c r="D255">
        <f>IF($Z255="","",INDEX('Per Line'!$A$2:$A$1001,$Z255))</f>
        <v/>
      </c>
      <c r="E255">
        <f>IF($Z255="","",INDEX('Per Line'!$E$2:$E$1001,$Z255)&amp;"")</f>
        <v/>
      </c>
      <c r="F255">
        <f>IF($Z255="","",INDEX('Per Line'!$F$2:$F$1001,$Z255)&amp;"")</f>
        <v/>
      </c>
      <c r="G255" s="11">
        <f>IF($Z255="","",INDEX('Per Line'!$G$2:$G$1001,$Z255))</f>
        <v/>
      </c>
      <c r="H255">
        <f>IF($Z255="","",INDEX('Per Line'!$I$2:$I$1001,$Z255)&amp;"")</f>
        <v/>
      </c>
      <c r="I255">
        <f>IF($Z255="","",INDEX('Per Line'!$J$2:$J$1001,$Z255)&amp;"")</f>
        <v/>
      </c>
      <c r="J255">
        <f>IF($Z255="","",INDEX('Per Line'!$K$2:$K$1001,$Z255)&amp;"")</f>
        <v/>
      </c>
      <c r="K255">
        <f>IF($Z255="","",INDEX('Per Line'!$L$2:$L$1001,$Z255)&amp;"")</f>
        <v/>
      </c>
      <c r="L255">
        <f>IF($Z255="","",INDEX('Per Line'!$M$2:$M$1001,$Z255)&amp;"")</f>
        <v/>
      </c>
      <c r="M255">
        <f>IF($Z255="","",INDEX('Per Line'!$P$2:$P$1001,$Z255))</f>
        <v/>
      </c>
      <c r="N255" s="7">
        <f>IF($Z255="","",M255*X255/100)</f>
        <v/>
      </c>
      <c r="O255" s="7">
        <f>IF($Z255="","",SUMIFS('Per Line'!$Y$2:$Y$1001,'Per Line'!$D$2:$D$1001,$B255,'Per Line'!$AP$2:$AP$1001,1))</f>
        <v/>
      </c>
      <c r="P255">
        <f>IF($Z255="","",Settings!$C$7)</f>
        <v/>
      </c>
      <c r="Q255" s="7">
        <f>IF($Z255="","",SUMIFS('Per Line'!$Y$2:$Y$1001,'Per Line'!$D$2:$D$1001,$B255,'Per Line'!$AO$2:$AO$1001,0,'Per Line'!$AP$2:$AP$1001,0))</f>
        <v/>
      </c>
      <c r="R255" s="7">
        <f>IF($Z255="","",Q255*P255)</f>
        <v/>
      </c>
      <c r="S255">
        <f>IF($Z255="","",Settings!$C$6)</f>
        <v/>
      </c>
      <c r="T255" s="7">
        <f>IF($Z255="","",SUMIFS('Per Line'!$Y$2:$Y$1001,'Per Line'!$D$2:$D$1001,$B255,'Per Line'!$AO$2:$AO$1001,1,'Per Line'!$AP$2:$AP$1001,0))</f>
        <v/>
      </c>
      <c r="U255" s="7">
        <f>IF($Z255="","",T255*S255)</f>
        <v/>
      </c>
      <c r="V255" s="7">
        <f>IF($Z255="","",U255+R255)</f>
        <v/>
      </c>
      <c r="W255" s="7">
        <f>IF($Z255="","",X255-V255)</f>
        <v/>
      </c>
      <c r="X255" s="7">
        <f>IF($Z255="","",Q255+T255+O255)</f>
        <v/>
      </c>
      <c r="Y255" s="7">
        <f>IF($Z255="","",X255-V255-N255)</f>
        <v/>
      </c>
      <c r="Z255" s="13">
        <f>IF(ROWS($Z$2:$Z255)&lt;=MAX('Per Line'!$AN$2:$AN$1001),MATCH(ROWS($Z$2:$Z255),'Per Line'!$AN$2:$AN$1001,0),"")</f>
        <v/>
      </c>
    </row>
    <row r="256">
      <c r="A256" s="12" t="n"/>
      <c r="B256">
        <f>IF($Z256="","",INDEX('Per Line'!$D$2:$D$1001,$Z256)&amp;"")</f>
        <v/>
      </c>
      <c r="C256">
        <f>IF($Z256="","",INDEX('Per Line'!$B$2:$B$1001,$Z256)&amp;"")</f>
        <v/>
      </c>
      <c r="D256">
        <f>IF($Z256="","",INDEX('Per Line'!$A$2:$A$1001,$Z256))</f>
        <v/>
      </c>
      <c r="E256">
        <f>IF($Z256="","",INDEX('Per Line'!$E$2:$E$1001,$Z256)&amp;"")</f>
        <v/>
      </c>
      <c r="F256">
        <f>IF($Z256="","",INDEX('Per Line'!$F$2:$F$1001,$Z256)&amp;"")</f>
        <v/>
      </c>
      <c r="G256" s="11">
        <f>IF($Z256="","",INDEX('Per Line'!$G$2:$G$1001,$Z256))</f>
        <v/>
      </c>
      <c r="H256">
        <f>IF($Z256="","",INDEX('Per Line'!$I$2:$I$1001,$Z256)&amp;"")</f>
        <v/>
      </c>
      <c r="I256">
        <f>IF($Z256="","",INDEX('Per Line'!$J$2:$J$1001,$Z256)&amp;"")</f>
        <v/>
      </c>
      <c r="J256">
        <f>IF($Z256="","",INDEX('Per Line'!$K$2:$K$1001,$Z256)&amp;"")</f>
        <v/>
      </c>
      <c r="K256">
        <f>IF($Z256="","",INDEX('Per Line'!$L$2:$L$1001,$Z256)&amp;"")</f>
        <v/>
      </c>
      <c r="L256">
        <f>IF($Z256="","",INDEX('Per Line'!$M$2:$M$1001,$Z256)&amp;"")</f>
        <v/>
      </c>
      <c r="M256">
        <f>IF($Z256="","",INDEX('Per Line'!$P$2:$P$1001,$Z256))</f>
        <v/>
      </c>
      <c r="N256" s="7">
        <f>IF($Z256="","",M256*X256/100)</f>
        <v/>
      </c>
      <c r="O256" s="7">
        <f>IF($Z256="","",SUMIFS('Per Line'!$Y$2:$Y$1001,'Per Line'!$D$2:$D$1001,$B256,'Per Line'!$AP$2:$AP$1001,1))</f>
        <v/>
      </c>
      <c r="P256">
        <f>IF($Z256="","",Settings!$C$7)</f>
        <v/>
      </c>
      <c r="Q256" s="7">
        <f>IF($Z256="","",SUMIFS('Per Line'!$Y$2:$Y$1001,'Per Line'!$D$2:$D$1001,$B256,'Per Line'!$AO$2:$AO$1001,0,'Per Line'!$AP$2:$AP$1001,0))</f>
        <v/>
      </c>
      <c r="R256" s="7">
        <f>IF($Z256="","",Q256*P256)</f>
        <v/>
      </c>
      <c r="S256">
        <f>IF($Z256="","",Settings!$C$6)</f>
        <v/>
      </c>
      <c r="T256" s="7">
        <f>IF($Z256="","",SUMIFS('Per Line'!$Y$2:$Y$1001,'Per Line'!$D$2:$D$1001,$B256,'Per Line'!$AO$2:$AO$1001,1,'Per Line'!$AP$2:$AP$1001,0))</f>
        <v/>
      </c>
      <c r="U256" s="7">
        <f>IF($Z256="","",T256*S256)</f>
        <v/>
      </c>
      <c r="V256" s="7">
        <f>IF($Z256="","",U256+R256)</f>
        <v/>
      </c>
      <c r="W256" s="7">
        <f>IF($Z256="","",X256-V256)</f>
        <v/>
      </c>
      <c r="X256" s="7">
        <f>IF($Z256="","",Q256+T256+O256)</f>
        <v/>
      </c>
      <c r="Y256" s="7">
        <f>IF($Z256="","",X256-V256-N256)</f>
        <v/>
      </c>
      <c r="Z256" s="13">
        <f>IF(ROWS($Z$2:$Z256)&lt;=MAX('Per Line'!$AN$2:$AN$1001),MATCH(ROWS($Z$2:$Z256),'Per Line'!$AN$2:$AN$1001,0),"")</f>
        <v/>
      </c>
    </row>
    <row r="257">
      <c r="A257" s="12" t="n"/>
      <c r="B257">
        <f>IF($Z257="","",INDEX('Per Line'!$D$2:$D$1001,$Z257)&amp;"")</f>
        <v/>
      </c>
      <c r="C257">
        <f>IF($Z257="","",INDEX('Per Line'!$B$2:$B$1001,$Z257)&amp;"")</f>
        <v/>
      </c>
      <c r="D257">
        <f>IF($Z257="","",INDEX('Per Line'!$A$2:$A$1001,$Z257))</f>
        <v/>
      </c>
      <c r="E257">
        <f>IF($Z257="","",INDEX('Per Line'!$E$2:$E$1001,$Z257)&amp;"")</f>
        <v/>
      </c>
      <c r="F257">
        <f>IF($Z257="","",INDEX('Per Line'!$F$2:$F$1001,$Z257)&amp;"")</f>
        <v/>
      </c>
      <c r="G257" s="11">
        <f>IF($Z257="","",INDEX('Per Line'!$G$2:$G$1001,$Z257))</f>
        <v/>
      </c>
      <c r="H257">
        <f>IF($Z257="","",INDEX('Per Line'!$I$2:$I$1001,$Z257)&amp;"")</f>
        <v/>
      </c>
      <c r="I257">
        <f>IF($Z257="","",INDEX('Per Line'!$J$2:$J$1001,$Z257)&amp;"")</f>
        <v/>
      </c>
      <c r="J257">
        <f>IF($Z257="","",INDEX('Per Line'!$K$2:$K$1001,$Z257)&amp;"")</f>
        <v/>
      </c>
      <c r="K257">
        <f>IF($Z257="","",INDEX('Per Line'!$L$2:$L$1001,$Z257)&amp;"")</f>
        <v/>
      </c>
      <c r="L257">
        <f>IF($Z257="","",INDEX('Per Line'!$M$2:$M$1001,$Z257)&amp;"")</f>
        <v/>
      </c>
      <c r="M257">
        <f>IF($Z257="","",INDEX('Per Line'!$P$2:$P$1001,$Z257))</f>
        <v/>
      </c>
      <c r="N257" s="7">
        <f>IF($Z257="","",M257*X257/100)</f>
        <v/>
      </c>
      <c r="O257" s="7">
        <f>IF($Z257="","",SUMIFS('Per Line'!$Y$2:$Y$1001,'Per Line'!$D$2:$D$1001,$B257,'Per Line'!$AP$2:$AP$1001,1))</f>
        <v/>
      </c>
      <c r="P257">
        <f>IF($Z257="","",Settings!$C$7)</f>
        <v/>
      </c>
      <c r="Q257" s="7">
        <f>IF($Z257="","",SUMIFS('Per Line'!$Y$2:$Y$1001,'Per Line'!$D$2:$D$1001,$B257,'Per Line'!$AO$2:$AO$1001,0,'Per Line'!$AP$2:$AP$1001,0))</f>
        <v/>
      </c>
      <c r="R257" s="7">
        <f>IF($Z257="","",Q257*P257)</f>
        <v/>
      </c>
      <c r="S257">
        <f>IF($Z257="","",Settings!$C$6)</f>
        <v/>
      </c>
      <c r="T257" s="7">
        <f>IF($Z257="","",SUMIFS('Per Line'!$Y$2:$Y$1001,'Per Line'!$D$2:$D$1001,$B257,'Per Line'!$AO$2:$AO$1001,1,'Per Line'!$AP$2:$AP$1001,0))</f>
        <v/>
      </c>
      <c r="U257" s="7">
        <f>IF($Z257="","",T257*S257)</f>
        <v/>
      </c>
      <c r="V257" s="7">
        <f>IF($Z257="","",U257+R257)</f>
        <v/>
      </c>
      <c r="W257" s="7">
        <f>IF($Z257="","",X257-V257)</f>
        <v/>
      </c>
      <c r="X257" s="7">
        <f>IF($Z257="","",Q257+T257+O257)</f>
        <v/>
      </c>
      <c r="Y257" s="7">
        <f>IF($Z257="","",X257-V257-N257)</f>
        <v/>
      </c>
      <c r="Z257" s="13">
        <f>IF(ROWS($Z$2:$Z257)&lt;=MAX('Per Line'!$AN$2:$AN$1001),MATCH(ROWS($Z$2:$Z257),'Per Line'!$AN$2:$AN$1001,0),"")</f>
        <v/>
      </c>
    </row>
    <row r="258">
      <c r="A258" s="12" t="n"/>
      <c r="B258">
        <f>IF($Z258="","",INDEX('Per Line'!$D$2:$D$1001,$Z258)&amp;"")</f>
        <v/>
      </c>
      <c r="C258">
        <f>IF($Z258="","",INDEX('Per Line'!$B$2:$B$1001,$Z258)&amp;"")</f>
        <v/>
      </c>
      <c r="D258">
        <f>IF($Z258="","",INDEX('Per Line'!$A$2:$A$1001,$Z258))</f>
        <v/>
      </c>
      <c r="E258">
        <f>IF($Z258="","",INDEX('Per Line'!$E$2:$E$1001,$Z258)&amp;"")</f>
        <v/>
      </c>
      <c r="F258">
        <f>IF($Z258="","",INDEX('Per Line'!$F$2:$F$1001,$Z258)&amp;"")</f>
        <v/>
      </c>
      <c r="G258" s="11">
        <f>IF($Z258="","",INDEX('Per Line'!$G$2:$G$1001,$Z258))</f>
        <v/>
      </c>
      <c r="H258">
        <f>IF($Z258="","",INDEX('Per Line'!$I$2:$I$1001,$Z258)&amp;"")</f>
        <v/>
      </c>
      <c r="I258">
        <f>IF($Z258="","",INDEX('Per Line'!$J$2:$J$1001,$Z258)&amp;"")</f>
        <v/>
      </c>
      <c r="J258">
        <f>IF($Z258="","",INDEX('Per Line'!$K$2:$K$1001,$Z258)&amp;"")</f>
        <v/>
      </c>
      <c r="K258">
        <f>IF($Z258="","",INDEX('Per Line'!$L$2:$L$1001,$Z258)&amp;"")</f>
        <v/>
      </c>
      <c r="L258">
        <f>IF($Z258="","",INDEX('Per Line'!$M$2:$M$1001,$Z258)&amp;"")</f>
        <v/>
      </c>
      <c r="M258">
        <f>IF($Z258="","",INDEX('Per Line'!$P$2:$P$1001,$Z258))</f>
        <v/>
      </c>
      <c r="N258" s="7">
        <f>IF($Z258="","",M258*X258/100)</f>
        <v/>
      </c>
      <c r="O258" s="7">
        <f>IF($Z258="","",SUMIFS('Per Line'!$Y$2:$Y$1001,'Per Line'!$D$2:$D$1001,$B258,'Per Line'!$AP$2:$AP$1001,1))</f>
        <v/>
      </c>
      <c r="P258">
        <f>IF($Z258="","",Settings!$C$7)</f>
        <v/>
      </c>
      <c r="Q258" s="7">
        <f>IF($Z258="","",SUMIFS('Per Line'!$Y$2:$Y$1001,'Per Line'!$D$2:$D$1001,$B258,'Per Line'!$AO$2:$AO$1001,0,'Per Line'!$AP$2:$AP$1001,0))</f>
        <v/>
      </c>
      <c r="R258" s="7">
        <f>IF($Z258="","",Q258*P258)</f>
        <v/>
      </c>
      <c r="S258">
        <f>IF($Z258="","",Settings!$C$6)</f>
        <v/>
      </c>
      <c r="T258" s="7">
        <f>IF($Z258="","",SUMIFS('Per Line'!$Y$2:$Y$1001,'Per Line'!$D$2:$D$1001,$B258,'Per Line'!$AO$2:$AO$1001,1,'Per Line'!$AP$2:$AP$1001,0))</f>
        <v/>
      </c>
      <c r="U258" s="7">
        <f>IF($Z258="","",T258*S258)</f>
        <v/>
      </c>
      <c r="V258" s="7">
        <f>IF($Z258="","",U258+R258)</f>
        <v/>
      </c>
      <c r="W258" s="7">
        <f>IF($Z258="","",X258-V258)</f>
        <v/>
      </c>
      <c r="X258" s="7">
        <f>IF($Z258="","",Q258+T258+O258)</f>
        <v/>
      </c>
      <c r="Y258" s="7">
        <f>IF($Z258="","",X258-V258-N258)</f>
        <v/>
      </c>
      <c r="Z258" s="13">
        <f>IF(ROWS($Z$2:$Z258)&lt;=MAX('Per Line'!$AN$2:$AN$1001),MATCH(ROWS($Z$2:$Z258),'Per Line'!$AN$2:$AN$1001,0),"")</f>
        <v/>
      </c>
    </row>
    <row r="259">
      <c r="A259" s="12" t="n"/>
      <c r="B259">
        <f>IF($Z259="","",INDEX('Per Line'!$D$2:$D$1001,$Z259)&amp;"")</f>
        <v/>
      </c>
      <c r="C259">
        <f>IF($Z259="","",INDEX('Per Line'!$B$2:$B$1001,$Z259)&amp;"")</f>
        <v/>
      </c>
      <c r="D259">
        <f>IF($Z259="","",INDEX('Per Line'!$A$2:$A$1001,$Z259))</f>
        <v/>
      </c>
      <c r="E259">
        <f>IF($Z259="","",INDEX('Per Line'!$E$2:$E$1001,$Z259)&amp;"")</f>
        <v/>
      </c>
      <c r="F259">
        <f>IF($Z259="","",INDEX('Per Line'!$F$2:$F$1001,$Z259)&amp;"")</f>
        <v/>
      </c>
      <c r="G259" s="11">
        <f>IF($Z259="","",INDEX('Per Line'!$G$2:$G$1001,$Z259))</f>
        <v/>
      </c>
      <c r="H259">
        <f>IF($Z259="","",INDEX('Per Line'!$I$2:$I$1001,$Z259)&amp;"")</f>
        <v/>
      </c>
      <c r="I259">
        <f>IF($Z259="","",INDEX('Per Line'!$J$2:$J$1001,$Z259)&amp;"")</f>
        <v/>
      </c>
      <c r="J259">
        <f>IF($Z259="","",INDEX('Per Line'!$K$2:$K$1001,$Z259)&amp;"")</f>
        <v/>
      </c>
      <c r="K259">
        <f>IF($Z259="","",INDEX('Per Line'!$L$2:$L$1001,$Z259)&amp;"")</f>
        <v/>
      </c>
      <c r="L259">
        <f>IF($Z259="","",INDEX('Per Line'!$M$2:$M$1001,$Z259)&amp;"")</f>
        <v/>
      </c>
      <c r="M259">
        <f>IF($Z259="","",INDEX('Per Line'!$P$2:$P$1001,$Z259))</f>
        <v/>
      </c>
      <c r="N259" s="7">
        <f>IF($Z259="","",M259*X259/100)</f>
        <v/>
      </c>
      <c r="O259" s="7">
        <f>IF($Z259="","",SUMIFS('Per Line'!$Y$2:$Y$1001,'Per Line'!$D$2:$D$1001,$B259,'Per Line'!$AP$2:$AP$1001,1))</f>
        <v/>
      </c>
      <c r="P259">
        <f>IF($Z259="","",Settings!$C$7)</f>
        <v/>
      </c>
      <c r="Q259" s="7">
        <f>IF($Z259="","",SUMIFS('Per Line'!$Y$2:$Y$1001,'Per Line'!$D$2:$D$1001,$B259,'Per Line'!$AO$2:$AO$1001,0,'Per Line'!$AP$2:$AP$1001,0))</f>
        <v/>
      </c>
      <c r="R259" s="7">
        <f>IF($Z259="","",Q259*P259)</f>
        <v/>
      </c>
      <c r="S259">
        <f>IF($Z259="","",Settings!$C$6)</f>
        <v/>
      </c>
      <c r="T259" s="7">
        <f>IF($Z259="","",SUMIFS('Per Line'!$Y$2:$Y$1001,'Per Line'!$D$2:$D$1001,$B259,'Per Line'!$AO$2:$AO$1001,1,'Per Line'!$AP$2:$AP$1001,0))</f>
        <v/>
      </c>
      <c r="U259" s="7">
        <f>IF($Z259="","",T259*S259)</f>
        <v/>
      </c>
      <c r="V259" s="7">
        <f>IF($Z259="","",U259+R259)</f>
        <v/>
      </c>
      <c r="W259" s="7">
        <f>IF($Z259="","",X259-V259)</f>
        <v/>
      </c>
      <c r="X259" s="7">
        <f>IF($Z259="","",Q259+T259+O259)</f>
        <v/>
      </c>
      <c r="Y259" s="7">
        <f>IF($Z259="","",X259-V259-N259)</f>
        <v/>
      </c>
      <c r="Z259" s="13">
        <f>IF(ROWS($Z$2:$Z259)&lt;=MAX('Per Line'!$AN$2:$AN$1001),MATCH(ROWS($Z$2:$Z259),'Per Line'!$AN$2:$AN$1001,0),"")</f>
        <v/>
      </c>
    </row>
    <row r="260">
      <c r="A260" s="12" t="n"/>
      <c r="B260">
        <f>IF($Z260="","",INDEX('Per Line'!$D$2:$D$1001,$Z260)&amp;"")</f>
        <v/>
      </c>
      <c r="C260">
        <f>IF($Z260="","",INDEX('Per Line'!$B$2:$B$1001,$Z260)&amp;"")</f>
        <v/>
      </c>
      <c r="D260">
        <f>IF($Z260="","",INDEX('Per Line'!$A$2:$A$1001,$Z260))</f>
        <v/>
      </c>
      <c r="E260">
        <f>IF($Z260="","",INDEX('Per Line'!$E$2:$E$1001,$Z260)&amp;"")</f>
        <v/>
      </c>
      <c r="F260">
        <f>IF($Z260="","",INDEX('Per Line'!$F$2:$F$1001,$Z260)&amp;"")</f>
        <v/>
      </c>
      <c r="G260" s="11">
        <f>IF($Z260="","",INDEX('Per Line'!$G$2:$G$1001,$Z260))</f>
        <v/>
      </c>
      <c r="H260">
        <f>IF($Z260="","",INDEX('Per Line'!$I$2:$I$1001,$Z260)&amp;"")</f>
        <v/>
      </c>
      <c r="I260">
        <f>IF($Z260="","",INDEX('Per Line'!$J$2:$J$1001,$Z260)&amp;"")</f>
        <v/>
      </c>
      <c r="J260">
        <f>IF($Z260="","",INDEX('Per Line'!$K$2:$K$1001,$Z260)&amp;"")</f>
        <v/>
      </c>
      <c r="K260">
        <f>IF($Z260="","",INDEX('Per Line'!$L$2:$L$1001,$Z260)&amp;"")</f>
        <v/>
      </c>
      <c r="L260">
        <f>IF($Z260="","",INDEX('Per Line'!$M$2:$M$1001,$Z260)&amp;"")</f>
        <v/>
      </c>
      <c r="M260">
        <f>IF($Z260="","",INDEX('Per Line'!$P$2:$P$1001,$Z260))</f>
        <v/>
      </c>
      <c r="N260" s="7">
        <f>IF($Z260="","",M260*X260/100)</f>
        <v/>
      </c>
      <c r="O260" s="7">
        <f>IF($Z260="","",SUMIFS('Per Line'!$Y$2:$Y$1001,'Per Line'!$D$2:$D$1001,$B260,'Per Line'!$AP$2:$AP$1001,1))</f>
        <v/>
      </c>
      <c r="P260">
        <f>IF($Z260="","",Settings!$C$7)</f>
        <v/>
      </c>
      <c r="Q260" s="7">
        <f>IF($Z260="","",SUMIFS('Per Line'!$Y$2:$Y$1001,'Per Line'!$D$2:$D$1001,$B260,'Per Line'!$AO$2:$AO$1001,0,'Per Line'!$AP$2:$AP$1001,0))</f>
        <v/>
      </c>
      <c r="R260" s="7">
        <f>IF($Z260="","",Q260*P260)</f>
        <v/>
      </c>
      <c r="S260">
        <f>IF($Z260="","",Settings!$C$6)</f>
        <v/>
      </c>
      <c r="T260" s="7">
        <f>IF($Z260="","",SUMIFS('Per Line'!$Y$2:$Y$1001,'Per Line'!$D$2:$D$1001,$B260,'Per Line'!$AO$2:$AO$1001,1,'Per Line'!$AP$2:$AP$1001,0))</f>
        <v/>
      </c>
      <c r="U260" s="7">
        <f>IF($Z260="","",T260*S260)</f>
        <v/>
      </c>
      <c r="V260" s="7">
        <f>IF($Z260="","",U260+R260)</f>
        <v/>
      </c>
      <c r="W260" s="7">
        <f>IF($Z260="","",X260-V260)</f>
        <v/>
      </c>
      <c r="X260" s="7">
        <f>IF($Z260="","",Q260+T260+O260)</f>
        <v/>
      </c>
      <c r="Y260" s="7">
        <f>IF($Z260="","",X260-V260-N260)</f>
        <v/>
      </c>
      <c r="Z260" s="13">
        <f>IF(ROWS($Z$2:$Z260)&lt;=MAX('Per Line'!$AN$2:$AN$1001),MATCH(ROWS($Z$2:$Z260),'Per Line'!$AN$2:$AN$1001,0),"")</f>
        <v/>
      </c>
    </row>
    <row r="261">
      <c r="A261" s="12" t="n"/>
      <c r="B261">
        <f>IF($Z261="","",INDEX('Per Line'!$D$2:$D$1001,$Z261)&amp;"")</f>
        <v/>
      </c>
      <c r="C261">
        <f>IF($Z261="","",INDEX('Per Line'!$B$2:$B$1001,$Z261)&amp;"")</f>
        <v/>
      </c>
      <c r="D261">
        <f>IF($Z261="","",INDEX('Per Line'!$A$2:$A$1001,$Z261))</f>
        <v/>
      </c>
      <c r="E261">
        <f>IF($Z261="","",INDEX('Per Line'!$E$2:$E$1001,$Z261)&amp;"")</f>
        <v/>
      </c>
      <c r="F261">
        <f>IF($Z261="","",INDEX('Per Line'!$F$2:$F$1001,$Z261)&amp;"")</f>
        <v/>
      </c>
      <c r="G261" s="11">
        <f>IF($Z261="","",INDEX('Per Line'!$G$2:$G$1001,$Z261))</f>
        <v/>
      </c>
      <c r="H261">
        <f>IF($Z261="","",INDEX('Per Line'!$I$2:$I$1001,$Z261)&amp;"")</f>
        <v/>
      </c>
      <c r="I261">
        <f>IF($Z261="","",INDEX('Per Line'!$J$2:$J$1001,$Z261)&amp;"")</f>
        <v/>
      </c>
      <c r="J261">
        <f>IF($Z261="","",INDEX('Per Line'!$K$2:$K$1001,$Z261)&amp;"")</f>
        <v/>
      </c>
      <c r="K261">
        <f>IF($Z261="","",INDEX('Per Line'!$L$2:$L$1001,$Z261)&amp;"")</f>
        <v/>
      </c>
      <c r="L261">
        <f>IF($Z261="","",INDEX('Per Line'!$M$2:$M$1001,$Z261)&amp;"")</f>
        <v/>
      </c>
      <c r="M261">
        <f>IF($Z261="","",INDEX('Per Line'!$P$2:$P$1001,$Z261))</f>
        <v/>
      </c>
      <c r="N261" s="7">
        <f>IF($Z261="","",M261*X261/100)</f>
        <v/>
      </c>
      <c r="O261" s="7">
        <f>IF($Z261="","",SUMIFS('Per Line'!$Y$2:$Y$1001,'Per Line'!$D$2:$D$1001,$B261,'Per Line'!$AP$2:$AP$1001,1))</f>
        <v/>
      </c>
      <c r="P261">
        <f>IF($Z261="","",Settings!$C$7)</f>
        <v/>
      </c>
      <c r="Q261" s="7">
        <f>IF($Z261="","",SUMIFS('Per Line'!$Y$2:$Y$1001,'Per Line'!$D$2:$D$1001,$B261,'Per Line'!$AO$2:$AO$1001,0,'Per Line'!$AP$2:$AP$1001,0))</f>
        <v/>
      </c>
      <c r="R261" s="7">
        <f>IF($Z261="","",Q261*P261)</f>
        <v/>
      </c>
      <c r="S261">
        <f>IF($Z261="","",Settings!$C$6)</f>
        <v/>
      </c>
      <c r="T261" s="7">
        <f>IF($Z261="","",SUMIFS('Per Line'!$Y$2:$Y$1001,'Per Line'!$D$2:$D$1001,$B261,'Per Line'!$AO$2:$AO$1001,1,'Per Line'!$AP$2:$AP$1001,0))</f>
        <v/>
      </c>
      <c r="U261" s="7">
        <f>IF($Z261="","",T261*S261)</f>
        <v/>
      </c>
      <c r="V261" s="7">
        <f>IF($Z261="","",U261+R261)</f>
        <v/>
      </c>
      <c r="W261" s="7">
        <f>IF($Z261="","",X261-V261)</f>
        <v/>
      </c>
      <c r="X261" s="7">
        <f>IF($Z261="","",Q261+T261+O261)</f>
        <v/>
      </c>
      <c r="Y261" s="7">
        <f>IF($Z261="","",X261-V261-N261)</f>
        <v/>
      </c>
      <c r="Z261" s="13">
        <f>IF(ROWS($Z$2:$Z261)&lt;=MAX('Per Line'!$AN$2:$AN$1001),MATCH(ROWS($Z$2:$Z261),'Per Line'!$AN$2:$AN$1001,0),"")</f>
        <v/>
      </c>
    </row>
    <row r="262">
      <c r="A262" s="12" t="n"/>
      <c r="B262">
        <f>IF($Z262="","",INDEX('Per Line'!$D$2:$D$1001,$Z262)&amp;"")</f>
        <v/>
      </c>
      <c r="C262">
        <f>IF($Z262="","",INDEX('Per Line'!$B$2:$B$1001,$Z262)&amp;"")</f>
        <v/>
      </c>
      <c r="D262">
        <f>IF($Z262="","",INDEX('Per Line'!$A$2:$A$1001,$Z262))</f>
        <v/>
      </c>
      <c r="E262">
        <f>IF($Z262="","",INDEX('Per Line'!$E$2:$E$1001,$Z262)&amp;"")</f>
        <v/>
      </c>
      <c r="F262">
        <f>IF($Z262="","",INDEX('Per Line'!$F$2:$F$1001,$Z262)&amp;"")</f>
        <v/>
      </c>
      <c r="G262" s="11">
        <f>IF($Z262="","",INDEX('Per Line'!$G$2:$G$1001,$Z262))</f>
        <v/>
      </c>
      <c r="H262">
        <f>IF($Z262="","",INDEX('Per Line'!$I$2:$I$1001,$Z262)&amp;"")</f>
        <v/>
      </c>
      <c r="I262">
        <f>IF($Z262="","",INDEX('Per Line'!$J$2:$J$1001,$Z262)&amp;"")</f>
        <v/>
      </c>
      <c r="J262">
        <f>IF($Z262="","",INDEX('Per Line'!$K$2:$K$1001,$Z262)&amp;"")</f>
        <v/>
      </c>
      <c r="K262">
        <f>IF($Z262="","",INDEX('Per Line'!$L$2:$L$1001,$Z262)&amp;"")</f>
        <v/>
      </c>
      <c r="L262">
        <f>IF($Z262="","",INDEX('Per Line'!$M$2:$M$1001,$Z262)&amp;"")</f>
        <v/>
      </c>
      <c r="M262">
        <f>IF($Z262="","",INDEX('Per Line'!$P$2:$P$1001,$Z262))</f>
        <v/>
      </c>
      <c r="N262" s="7">
        <f>IF($Z262="","",M262*X262/100)</f>
        <v/>
      </c>
      <c r="O262" s="7">
        <f>IF($Z262="","",SUMIFS('Per Line'!$Y$2:$Y$1001,'Per Line'!$D$2:$D$1001,$B262,'Per Line'!$AP$2:$AP$1001,1))</f>
        <v/>
      </c>
      <c r="P262">
        <f>IF($Z262="","",Settings!$C$7)</f>
        <v/>
      </c>
      <c r="Q262" s="7">
        <f>IF($Z262="","",SUMIFS('Per Line'!$Y$2:$Y$1001,'Per Line'!$D$2:$D$1001,$B262,'Per Line'!$AO$2:$AO$1001,0,'Per Line'!$AP$2:$AP$1001,0))</f>
        <v/>
      </c>
      <c r="R262" s="7">
        <f>IF($Z262="","",Q262*P262)</f>
        <v/>
      </c>
      <c r="S262">
        <f>IF($Z262="","",Settings!$C$6)</f>
        <v/>
      </c>
      <c r="T262" s="7">
        <f>IF($Z262="","",SUMIFS('Per Line'!$Y$2:$Y$1001,'Per Line'!$D$2:$D$1001,$B262,'Per Line'!$AO$2:$AO$1001,1,'Per Line'!$AP$2:$AP$1001,0))</f>
        <v/>
      </c>
      <c r="U262" s="7">
        <f>IF($Z262="","",T262*S262)</f>
        <v/>
      </c>
      <c r="V262" s="7">
        <f>IF($Z262="","",U262+R262)</f>
        <v/>
      </c>
      <c r="W262" s="7">
        <f>IF($Z262="","",X262-V262)</f>
        <v/>
      </c>
      <c r="X262" s="7">
        <f>IF($Z262="","",Q262+T262+O262)</f>
        <v/>
      </c>
      <c r="Y262" s="7">
        <f>IF($Z262="","",X262-V262-N262)</f>
        <v/>
      </c>
      <c r="Z262" s="13">
        <f>IF(ROWS($Z$2:$Z262)&lt;=MAX('Per Line'!$AN$2:$AN$1001),MATCH(ROWS($Z$2:$Z262),'Per Line'!$AN$2:$AN$1001,0),"")</f>
        <v/>
      </c>
    </row>
    <row r="263">
      <c r="A263" s="12" t="n"/>
      <c r="B263">
        <f>IF($Z263="","",INDEX('Per Line'!$D$2:$D$1001,$Z263)&amp;"")</f>
        <v/>
      </c>
      <c r="C263">
        <f>IF($Z263="","",INDEX('Per Line'!$B$2:$B$1001,$Z263)&amp;"")</f>
        <v/>
      </c>
      <c r="D263">
        <f>IF($Z263="","",INDEX('Per Line'!$A$2:$A$1001,$Z263))</f>
        <v/>
      </c>
      <c r="E263">
        <f>IF($Z263="","",INDEX('Per Line'!$E$2:$E$1001,$Z263)&amp;"")</f>
        <v/>
      </c>
      <c r="F263">
        <f>IF($Z263="","",INDEX('Per Line'!$F$2:$F$1001,$Z263)&amp;"")</f>
        <v/>
      </c>
      <c r="G263" s="11">
        <f>IF($Z263="","",INDEX('Per Line'!$G$2:$G$1001,$Z263))</f>
        <v/>
      </c>
      <c r="H263">
        <f>IF($Z263="","",INDEX('Per Line'!$I$2:$I$1001,$Z263)&amp;"")</f>
        <v/>
      </c>
      <c r="I263">
        <f>IF($Z263="","",INDEX('Per Line'!$J$2:$J$1001,$Z263)&amp;"")</f>
        <v/>
      </c>
      <c r="J263">
        <f>IF($Z263="","",INDEX('Per Line'!$K$2:$K$1001,$Z263)&amp;"")</f>
        <v/>
      </c>
      <c r="K263">
        <f>IF($Z263="","",INDEX('Per Line'!$L$2:$L$1001,$Z263)&amp;"")</f>
        <v/>
      </c>
      <c r="L263">
        <f>IF($Z263="","",INDEX('Per Line'!$M$2:$M$1001,$Z263)&amp;"")</f>
        <v/>
      </c>
      <c r="M263">
        <f>IF($Z263="","",INDEX('Per Line'!$P$2:$P$1001,$Z263))</f>
        <v/>
      </c>
      <c r="N263" s="7">
        <f>IF($Z263="","",M263*X263/100)</f>
        <v/>
      </c>
      <c r="O263" s="7">
        <f>IF($Z263="","",SUMIFS('Per Line'!$Y$2:$Y$1001,'Per Line'!$D$2:$D$1001,$B263,'Per Line'!$AP$2:$AP$1001,1))</f>
        <v/>
      </c>
      <c r="P263">
        <f>IF($Z263="","",Settings!$C$7)</f>
        <v/>
      </c>
      <c r="Q263" s="7">
        <f>IF($Z263="","",SUMIFS('Per Line'!$Y$2:$Y$1001,'Per Line'!$D$2:$D$1001,$B263,'Per Line'!$AO$2:$AO$1001,0,'Per Line'!$AP$2:$AP$1001,0))</f>
        <v/>
      </c>
      <c r="R263" s="7">
        <f>IF($Z263="","",Q263*P263)</f>
        <v/>
      </c>
      <c r="S263">
        <f>IF($Z263="","",Settings!$C$6)</f>
        <v/>
      </c>
      <c r="T263" s="7">
        <f>IF($Z263="","",SUMIFS('Per Line'!$Y$2:$Y$1001,'Per Line'!$D$2:$D$1001,$B263,'Per Line'!$AO$2:$AO$1001,1,'Per Line'!$AP$2:$AP$1001,0))</f>
        <v/>
      </c>
      <c r="U263" s="7">
        <f>IF($Z263="","",T263*S263)</f>
        <v/>
      </c>
      <c r="V263" s="7">
        <f>IF($Z263="","",U263+R263)</f>
        <v/>
      </c>
      <c r="W263" s="7">
        <f>IF($Z263="","",X263-V263)</f>
        <v/>
      </c>
      <c r="X263" s="7">
        <f>IF($Z263="","",Q263+T263+O263)</f>
        <v/>
      </c>
      <c r="Y263" s="7">
        <f>IF($Z263="","",X263-V263-N263)</f>
        <v/>
      </c>
      <c r="Z263" s="13">
        <f>IF(ROWS($Z$2:$Z263)&lt;=MAX('Per Line'!$AN$2:$AN$1001),MATCH(ROWS($Z$2:$Z263),'Per Line'!$AN$2:$AN$1001,0),"")</f>
        <v/>
      </c>
    </row>
    <row r="264">
      <c r="A264" s="12" t="n"/>
      <c r="B264">
        <f>IF($Z264="","",INDEX('Per Line'!$D$2:$D$1001,$Z264)&amp;"")</f>
        <v/>
      </c>
      <c r="C264">
        <f>IF($Z264="","",INDEX('Per Line'!$B$2:$B$1001,$Z264)&amp;"")</f>
        <v/>
      </c>
      <c r="D264">
        <f>IF($Z264="","",INDEX('Per Line'!$A$2:$A$1001,$Z264))</f>
        <v/>
      </c>
      <c r="E264">
        <f>IF($Z264="","",INDEX('Per Line'!$E$2:$E$1001,$Z264)&amp;"")</f>
        <v/>
      </c>
      <c r="F264">
        <f>IF($Z264="","",INDEX('Per Line'!$F$2:$F$1001,$Z264)&amp;"")</f>
        <v/>
      </c>
      <c r="G264" s="11">
        <f>IF($Z264="","",INDEX('Per Line'!$G$2:$G$1001,$Z264))</f>
        <v/>
      </c>
      <c r="H264">
        <f>IF($Z264="","",INDEX('Per Line'!$I$2:$I$1001,$Z264)&amp;"")</f>
        <v/>
      </c>
      <c r="I264">
        <f>IF($Z264="","",INDEX('Per Line'!$J$2:$J$1001,$Z264)&amp;"")</f>
        <v/>
      </c>
      <c r="J264">
        <f>IF($Z264="","",INDEX('Per Line'!$K$2:$K$1001,$Z264)&amp;"")</f>
        <v/>
      </c>
      <c r="K264">
        <f>IF($Z264="","",INDEX('Per Line'!$L$2:$L$1001,$Z264)&amp;"")</f>
        <v/>
      </c>
      <c r="L264">
        <f>IF($Z264="","",INDEX('Per Line'!$M$2:$M$1001,$Z264)&amp;"")</f>
        <v/>
      </c>
      <c r="M264">
        <f>IF($Z264="","",INDEX('Per Line'!$P$2:$P$1001,$Z264))</f>
        <v/>
      </c>
      <c r="N264" s="7">
        <f>IF($Z264="","",M264*X264/100)</f>
        <v/>
      </c>
      <c r="O264" s="7">
        <f>IF($Z264="","",SUMIFS('Per Line'!$Y$2:$Y$1001,'Per Line'!$D$2:$D$1001,$B264,'Per Line'!$AP$2:$AP$1001,1))</f>
        <v/>
      </c>
      <c r="P264">
        <f>IF($Z264="","",Settings!$C$7)</f>
        <v/>
      </c>
      <c r="Q264" s="7">
        <f>IF($Z264="","",SUMIFS('Per Line'!$Y$2:$Y$1001,'Per Line'!$D$2:$D$1001,$B264,'Per Line'!$AO$2:$AO$1001,0,'Per Line'!$AP$2:$AP$1001,0))</f>
        <v/>
      </c>
      <c r="R264" s="7">
        <f>IF($Z264="","",Q264*P264)</f>
        <v/>
      </c>
      <c r="S264">
        <f>IF($Z264="","",Settings!$C$6)</f>
        <v/>
      </c>
      <c r="T264" s="7">
        <f>IF($Z264="","",SUMIFS('Per Line'!$Y$2:$Y$1001,'Per Line'!$D$2:$D$1001,$B264,'Per Line'!$AO$2:$AO$1001,1,'Per Line'!$AP$2:$AP$1001,0))</f>
        <v/>
      </c>
      <c r="U264" s="7">
        <f>IF($Z264="","",T264*S264)</f>
        <v/>
      </c>
      <c r="V264" s="7">
        <f>IF($Z264="","",U264+R264)</f>
        <v/>
      </c>
      <c r="W264" s="7">
        <f>IF($Z264="","",X264-V264)</f>
        <v/>
      </c>
      <c r="X264" s="7">
        <f>IF($Z264="","",Q264+T264+O264)</f>
        <v/>
      </c>
      <c r="Y264" s="7">
        <f>IF($Z264="","",X264-V264-N264)</f>
        <v/>
      </c>
      <c r="Z264" s="13">
        <f>IF(ROWS($Z$2:$Z264)&lt;=MAX('Per Line'!$AN$2:$AN$1001),MATCH(ROWS($Z$2:$Z264),'Per Line'!$AN$2:$AN$1001,0),"")</f>
        <v/>
      </c>
    </row>
    <row r="265">
      <c r="A265" s="12" t="n"/>
      <c r="B265">
        <f>IF($Z265="","",INDEX('Per Line'!$D$2:$D$1001,$Z265)&amp;"")</f>
        <v/>
      </c>
      <c r="C265">
        <f>IF($Z265="","",INDEX('Per Line'!$B$2:$B$1001,$Z265)&amp;"")</f>
        <v/>
      </c>
      <c r="D265">
        <f>IF($Z265="","",INDEX('Per Line'!$A$2:$A$1001,$Z265))</f>
        <v/>
      </c>
      <c r="E265">
        <f>IF($Z265="","",INDEX('Per Line'!$E$2:$E$1001,$Z265)&amp;"")</f>
        <v/>
      </c>
      <c r="F265">
        <f>IF($Z265="","",INDEX('Per Line'!$F$2:$F$1001,$Z265)&amp;"")</f>
        <v/>
      </c>
      <c r="G265" s="11">
        <f>IF($Z265="","",INDEX('Per Line'!$G$2:$G$1001,$Z265))</f>
        <v/>
      </c>
      <c r="H265">
        <f>IF($Z265="","",INDEX('Per Line'!$I$2:$I$1001,$Z265)&amp;"")</f>
        <v/>
      </c>
      <c r="I265">
        <f>IF($Z265="","",INDEX('Per Line'!$J$2:$J$1001,$Z265)&amp;"")</f>
        <v/>
      </c>
      <c r="J265">
        <f>IF($Z265="","",INDEX('Per Line'!$K$2:$K$1001,$Z265)&amp;"")</f>
        <v/>
      </c>
      <c r="K265">
        <f>IF($Z265="","",INDEX('Per Line'!$L$2:$L$1001,$Z265)&amp;"")</f>
        <v/>
      </c>
      <c r="L265">
        <f>IF($Z265="","",INDEX('Per Line'!$M$2:$M$1001,$Z265)&amp;"")</f>
        <v/>
      </c>
      <c r="M265">
        <f>IF($Z265="","",INDEX('Per Line'!$P$2:$P$1001,$Z265))</f>
        <v/>
      </c>
      <c r="N265" s="7">
        <f>IF($Z265="","",M265*X265/100)</f>
        <v/>
      </c>
      <c r="O265" s="7">
        <f>IF($Z265="","",SUMIFS('Per Line'!$Y$2:$Y$1001,'Per Line'!$D$2:$D$1001,$B265,'Per Line'!$AP$2:$AP$1001,1))</f>
        <v/>
      </c>
      <c r="P265">
        <f>IF($Z265="","",Settings!$C$7)</f>
        <v/>
      </c>
      <c r="Q265" s="7">
        <f>IF($Z265="","",SUMIFS('Per Line'!$Y$2:$Y$1001,'Per Line'!$D$2:$D$1001,$B265,'Per Line'!$AO$2:$AO$1001,0,'Per Line'!$AP$2:$AP$1001,0))</f>
        <v/>
      </c>
      <c r="R265" s="7">
        <f>IF($Z265="","",Q265*P265)</f>
        <v/>
      </c>
      <c r="S265">
        <f>IF($Z265="","",Settings!$C$6)</f>
        <v/>
      </c>
      <c r="T265" s="7">
        <f>IF($Z265="","",SUMIFS('Per Line'!$Y$2:$Y$1001,'Per Line'!$D$2:$D$1001,$B265,'Per Line'!$AO$2:$AO$1001,1,'Per Line'!$AP$2:$AP$1001,0))</f>
        <v/>
      </c>
      <c r="U265" s="7">
        <f>IF($Z265="","",T265*S265)</f>
        <v/>
      </c>
      <c r="V265" s="7">
        <f>IF($Z265="","",U265+R265)</f>
        <v/>
      </c>
      <c r="W265" s="7">
        <f>IF($Z265="","",X265-V265)</f>
        <v/>
      </c>
      <c r="X265" s="7">
        <f>IF($Z265="","",Q265+T265+O265)</f>
        <v/>
      </c>
      <c r="Y265" s="7">
        <f>IF($Z265="","",X265-V265-N265)</f>
        <v/>
      </c>
      <c r="Z265" s="13">
        <f>IF(ROWS($Z$2:$Z265)&lt;=MAX('Per Line'!$AN$2:$AN$1001),MATCH(ROWS($Z$2:$Z265),'Per Line'!$AN$2:$AN$1001,0),"")</f>
        <v/>
      </c>
    </row>
    <row r="266">
      <c r="A266" s="12" t="n"/>
      <c r="B266">
        <f>IF($Z266="","",INDEX('Per Line'!$D$2:$D$1001,$Z266)&amp;"")</f>
        <v/>
      </c>
      <c r="C266">
        <f>IF($Z266="","",INDEX('Per Line'!$B$2:$B$1001,$Z266)&amp;"")</f>
        <v/>
      </c>
      <c r="D266">
        <f>IF($Z266="","",INDEX('Per Line'!$A$2:$A$1001,$Z266))</f>
        <v/>
      </c>
      <c r="E266">
        <f>IF($Z266="","",INDEX('Per Line'!$E$2:$E$1001,$Z266)&amp;"")</f>
        <v/>
      </c>
      <c r="F266">
        <f>IF($Z266="","",INDEX('Per Line'!$F$2:$F$1001,$Z266)&amp;"")</f>
        <v/>
      </c>
      <c r="G266" s="11">
        <f>IF($Z266="","",INDEX('Per Line'!$G$2:$G$1001,$Z266))</f>
        <v/>
      </c>
      <c r="H266">
        <f>IF($Z266="","",INDEX('Per Line'!$I$2:$I$1001,$Z266)&amp;"")</f>
        <v/>
      </c>
      <c r="I266">
        <f>IF($Z266="","",INDEX('Per Line'!$J$2:$J$1001,$Z266)&amp;"")</f>
        <v/>
      </c>
      <c r="J266">
        <f>IF($Z266="","",INDEX('Per Line'!$K$2:$K$1001,$Z266)&amp;"")</f>
        <v/>
      </c>
      <c r="K266">
        <f>IF($Z266="","",INDEX('Per Line'!$L$2:$L$1001,$Z266)&amp;"")</f>
        <v/>
      </c>
      <c r="L266">
        <f>IF($Z266="","",INDEX('Per Line'!$M$2:$M$1001,$Z266)&amp;"")</f>
        <v/>
      </c>
      <c r="M266">
        <f>IF($Z266="","",INDEX('Per Line'!$P$2:$P$1001,$Z266))</f>
        <v/>
      </c>
      <c r="N266" s="7">
        <f>IF($Z266="","",M266*X266/100)</f>
        <v/>
      </c>
      <c r="O266" s="7">
        <f>IF($Z266="","",SUMIFS('Per Line'!$Y$2:$Y$1001,'Per Line'!$D$2:$D$1001,$B266,'Per Line'!$AP$2:$AP$1001,1))</f>
        <v/>
      </c>
      <c r="P266">
        <f>IF($Z266="","",Settings!$C$7)</f>
        <v/>
      </c>
      <c r="Q266" s="7">
        <f>IF($Z266="","",SUMIFS('Per Line'!$Y$2:$Y$1001,'Per Line'!$D$2:$D$1001,$B266,'Per Line'!$AO$2:$AO$1001,0,'Per Line'!$AP$2:$AP$1001,0))</f>
        <v/>
      </c>
      <c r="R266" s="7">
        <f>IF($Z266="","",Q266*P266)</f>
        <v/>
      </c>
      <c r="S266">
        <f>IF($Z266="","",Settings!$C$6)</f>
        <v/>
      </c>
      <c r="T266" s="7">
        <f>IF($Z266="","",SUMIFS('Per Line'!$Y$2:$Y$1001,'Per Line'!$D$2:$D$1001,$B266,'Per Line'!$AO$2:$AO$1001,1,'Per Line'!$AP$2:$AP$1001,0))</f>
        <v/>
      </c>
      <c r="U266" s="7">
        <f>IF($Z266="","",T266*S266)</f>
        <v/>
      </c>
      <c r="V266" s="7">
        <f>IF($Z266="","",U266+R266)</f>
        <v/>
      </c>
      <c r="W266" s="7">
        <f>IF($Z266="","",X266-V266)</f>
        <v/>
      </c>
      <c r="X266" s="7">
        <f>IF($Z266="","",Q266+T266+O266)</f>
        <v/>
      </c>
      <c r="Y266" s="7">
        <f>IF($Z266="","",X266-V266-N266)</f>
        <v/>
      </c>
      <c r="Z266" s="13">
        <f>IF(ROWS($Z$2:$Z266)&lt;=MAX('Per Line'!$AN$2:$AN$1001),MATCH(ROWS($Z$2:$Z266),'Per Line'!$AN$2:$AN$1001,0),"")</f>
        <v/>
      </c>
    </row>
    <row r="267">
      <c r="A267" s="12" t="n"/>
      <c r="B267">
        <f>IF($Z267="","",INDEX('Per Line'!$D$2:$D$1001,$Z267)&amp;"")</f>
        <v/>
      </c>
      <c r="C267">
        <f>IF($Z267="","",INDEX('Per Line'!$B$2:$B$1001,$Z267)&amp;"")</f>
        <v/>
      </c>
      <c r="D267">
        <f>IF($Z267="","",INDEX('Per Line'!$A$2:$A$1001,$Z267))</f>
        <v/>
      </c>
      <c r="E267">
        <f>IF($Z267="","",INDEX('Per Line'!$E$2:$E$1001,$Z267)&amp;"")</f>
        <v/>
      </c>
      <c r="F267">
        <f>IF($Z267="","",INDEX('Per Line'!$F$2:$F$1001,$Z267)&amp;"")</f>
        <v/>
      </c>
      <c r="G267" s="11">
        <f>IF($Z267="","",INDEX('Per Line'!$G$2:$G$1001,$Z267))</f>
        <v/>
      </c>
      <c r="H267">
        <f>IF($Z267="","",INDEX('Per Line'!$I$2:$I$1001,$Z267)&amp;"")</f>
        <v/>
      </c>
      <c r="I267">
        <f>IF($Z267="","",INDEX('Per Line'!$J$2:$J$1001,$Z267)&amp;"")</f>
        <v/>
      </c>
      <c r="J267">
        <f>IF($Z267="","",INDEX('Per Line'!$K$2:$K$1001,$Z267)&amp;"")</f>
        <v/>
      </c>
      <c r="K267">
        <f>IF($Z267="","",INDEX('Per Line'!$L$2:$L$1001,$Z267)&amp;"")</f>
        <v/>
      </c>
      <c r="L267">
        <f>IF($Z267="","",INDEX('Per Line'!$M$2:$M$1001,$Z267)&amp;"")</f>
        <v/>
      </c>
      <c r="M267">
        <f>IF($Z267="","",INDEX('Per Line'!$P$2:$P$1001,$Z267))</f>
        <v/>
      </c>
      <c r="N267" s="7">
        <f>IF($Z267="","",M267*X267/100)</f>
        <v/>
      </c>
      <c r="O267" s="7">
        <f>IF($Z267="","",SUMIFS('Per Line'!$Y$2:$Y$1001,'Per Line'!$D$2:$D$1001,$B267,'Per Line'!$AP$2:$AP$1001,1))</f>
        <v/>
      </c>
      <c r="P267">
        <f>IF($Z267="","",Settings!$C$7)</f>
        <v/>
      </c>
      <c r="Q267" s="7">
        <f>IF($Z267="","",SUMIFS('Per Line'!$Y$2:$Y$1001,'Per Line'!$D$2:$D$1001,$B267,'Per Line'!$AO$2:$AO$1001,0,'Per Line'!$AP$2:$AP$1001,0))</f>
        <v/>
      </c>
      <c r="R267" s="7">
        <f>IF($Z267="","",Q267*P267)</f>
        <v/>
      </c>
      <c r="S267">
        <f>IF($Z267="","",Settings!$C$6)</f>
        <v/>
      </c>
      <c r="T267" s="7">
        <f>IF($Z267="","",SUMIFS('Per Line'!$Y$2:$Y$1001,'Per Line'!$D$2:$D$1001,$B267,'Per Line'!$AO$2:$AO$1001,1,'Per Line'!$AP$2:$AP$1001,0))</f>
        <v/>
      </c>
      <c r="U267" s="7">
        <f>IF($Z267="","",T267*S267)</f>
        <v/>
      </c>
      <c r="V267" s="7">
        <f>IF($Z267="","",U267+R267)</f>
        <v/>
      </c>
      <c r="W267" s="7">
        <f>IF($Z267="","",X267-V267)</f>
        <v/>
      </c>
      <c r="X267" s="7">
        <f>IF($Z267="","",Q267+T267+O267)</f>
        <v/>
      </c>
      <c r="Y267" s="7">
        <f>IF($Z267="","",X267-V267-N267)</f>
        <v/>
      </c>
      <c r="Z267" s="13">
        <f>IF(ROWS($Z$2:$Z267)&lt;=MAX('Per Line'!$AN$2:$AN$1001),MATCH(ROWS($Z$2:$Z267),'Per Line'!$AN$2:$AN$1001,0),"")</f>
        <v/>
      </c>
    </row>
    <row r="268">
      <c r="A268" s="12" t="n"/>
      <c r="B268">
        <f>IF($Z268="","",INDEX('Per Line'!$D$2:$D$1001,$Z268)&amp;"")</f>
        <v/>
      </c>
      <c r="C268">
        <f>IF($Z268="","",INDEX('Per Line'!$B$2:$B$1001,$Z268)&amp;"")</f>
        <v/>
      </c>
      <c r="D268">
        <f>IF($Z268="","",INDEX('Per Line'!$A$2:$A$1001,$Z268))</f>
        <v/>
      </c>
      <c r="E268">
        <f>IF($Z268="","",INDEX('Per Line'!$E$2:$E$1001,$Z268)&amp;"")</f>
        <v/>
      </c>
      <c r="F268">
        <f>IF($Z268="","",INDEX('Per Line'!$F$2:$F$1001,$Z268)&amp;"")</f>
        <v/>
      </c>
      <c r="G268" s="11">
        <f>IF($Z268="","",INDEX('Per Line'!$G$2:$G$1001,$Z268))</f>
        <v/>
      </c>
      <c r="H268">
        <f>IF($Z268="","",INDEX('Per Line'!$I$2:$I$1001,$Z268)&amp;"")</f>
        <v/>
      </c>
      <c r="I268">
        <f>IF($Z268="","",INDEX('Per Line'!$J$2:$J$1001,$Z268)&amp;"")</f>
        <v/>
      </c>
      <c r="J268">
        <f>IF($Z268="","",INDEX('Per Line'!$K$2:$K$1001,$Z268)&amp;"")</f>
        <v/>
      </c>
      <c r="K268">
        <f>IF($Z268="","",INDEX('Per Line'!$L$2:$L$1001,$Z268)&amp;"")</f>
        <v/>
      </c>
      <c r="L268">
        <f>IF($Z268="","",INDEX('Per Line'!$M$2:$M$1001,$Z268)&amp;"")</f>
        <v/>
      </c>
      <c r="M268">
        <f>IF($Z268="","",INDEX('Per Line'!$P$2:$P$1001,$Z268))</f>
        <v/>
      </c>
      <c r="N268" s="7">
        <f>IF($Z268="","",M268*X268/100)</f>
        <v/>
      </c>
      <c r="O268" s="7">
        <f>IF($Z268="","",SUMIFS('Per Line'!$Y$2:$Y$1001,'Per Line'!$D$2:$D$1001,$B268,'Per Line'!$AP$2:$AP$1001,1))</f>
        <v/>
      </c>
      <c r="P268">
        <f>IF($Z268="","",Settings!$C$7)</f>
        <v/>
      </c>
      <c r="Q268" s="7">
        <f>IF($Z268="","",SUMIFS('Per Line'!$Y$2:$Y$1001,'Per Line'!$D$2:$D$1001,$B268,'Per Line'!$AO$2:$AO$1001,0,'Per Line'!$AP$2:$AP$1001,0))</f>
        <v/>
      </c>
      <c r="R268" s="7">
        <f>IF($Z268="","",Q268*P268)</f>
        <v/>
      </c>
      <c r="S268">
        <f>IF($Z268="","",Settings!$C$6)</f>
        <v/>
      </c>
      <c r="T268" s="7">
        <f>IF($Z268="","",SUMIFS('Per Line'!$Y$2:$Y$1001,'Per Line'!$D$2:$D$1001,$B268,'Per Line'!$AO$2:$AO$1001,1,'Per Line'!$AP$2:$AP$1001,0))</f>
        <v/>
      </c>
      <c r="U268" s="7">
        <f>IF($Z268="","",T268*S268)</f>
        <v/>
      </c>
      <c r="V268" s="7">
        <f>IF($Z268="","",U268+R268)</f>
        <v/>
      </c>
      <c r="W268" s="7">
        <f>IF($Z268="","",X268-V268)</f>
        <v/>
      </c>
      <c r="X268" s="7">
        <f>IF($Z268="","",Q268+T268+O268)</f>
        <v/>
      </c>
      <c r="Y268" s="7">
        <f>IF($Z268="","",X268-V268-N268)</f>
        <v/>
      </c>
      <c r="Z268" s="13">
        <f>IF(ROWS($Z$2:$Z268)&lt;=MAX('Per Line'!$AN$2:$AN$1001),MATCH(ROWS($Z$2:$Z268),'Per Line'!$AN$2:$AN$1001,0),"")</f>
        <v/>
      </c>
    </row>
    <row r="269">
      <c r="A269" s="12" t="n"/>
      <c r="B269">
        <f>IF($Z269="","",INDEX('Per Line'!$D$2:$D$1001,$Z269)&amp;"")</f>
        <v/>
      </c>
      <c r="C269">
        <f>IF($Z269="","",INDEX('Per Line'!$B$2:$B$1001,$Z269)&amp;"")</f>
        <v/>
      </c>
      <c r="D269">
        <f>IF($Z269="","",INDEX('Per Line'!$A$2:$A$1001,$Z269))</f>
        <v/>
      </c>
      <c r="E269">
        <f>IF($Z269="","",INDEX('Per Line'!$E$2:$E$1001,$Z269)&amp;"")</f>
        <v/>
      </c>
      <c r="F269">
        <f>IF($Z269="","",INDEX('Per Line'!$F$2:$F$1001,$Z269)&amp;"")</f>
        <v/>
      </c>
      <c r="G269" s="11">
        <f>IF($Z269="","",INDEX('Per Line'!$G$2:$G$1001,$Z269))</f>
        <v/>
      </c>
      <c r="H269">
        <f>IF($Z269="","",INDEX('Per Line'!$I$2:$I$1001,$Z269)&amp;"")</f>
        <v/>
      </c>
      <c r="I269">
        <f>IF($Z269="","",INDEX('Per Line'!$J$2:$J$1001,$Z269)&amp;"")</f>
        <v/>
      </c>
      <c r="J269">
        <f>IF($Z269="","",INDEX('Per Line'!$K$2:$K$1001,$Z269)&amp;"")</f>
        <v/>
      </c>
      <c r="K269">
        <f>IF($Z269="","",INDEX('Per Line'!$L$2:$L$1001,$Z269)&amp;"")</f>
        <v/>
      </c>
      <c r="L269">
        <f>IF($Z269="","",INDEX('Per Line'!$M$2:$M$1001,$Z269)&amp;"")</f>
        <v/>
      </c>
      <c r="M269">
        <f>IF($Z269="","",INDEX('Per Line'!$P$2:$P$1001,$Z269))</f>
        <v/>
      </c>
      <c r="N269" s="7">
        <f>IF($Z269="","",M269*X269/100)</f>
        <v/>
      </c>
      <c r="O269" s="7">
        <f>IF($Z269="","",SUMIFS('Per Line'!$Y$2:$Y$1001,'Per Line'!$D$2:$D$1001,$B269,'Per Line'!$AP$2:$AP$1001,1))</f>
        <v/>
      </c>
      <c r="P269">
        <f>IF($Z269="","",Settings!$C$7)</f>
        <v/>
      </c>
      <c r="Q269" s="7">
        <f>IF($Z269="","",SUMIFS('Per Line'!$Y$2:$Y$1001,'Per Line'!$D$2:$D$1001,$B269,'Per Line'!$AO$2:$AO$1001,0,'Per Line'!$AP$2:$AP$1001,0))</f>
        <v/>
      </c>
      <c r="R269" s="7">
        <f>IF($Z269="","",Q269*P269)</f>
        <v/>
      </c>
      <c r="S269">
        <f>IF($Z269="","",Settings!$C$6)</f>
        <v/>
      </c>
      <c r="T269" s="7">
        <f>IF($Z269="","",SUMIFS('Per Line'!$Y$2:$Y$1001,'Per Line'!$D$2:$D$1001,$B269,'Per Line'!$AO$2:$AO$1001,1,'Per Line'!$AP$2:$AP$1001,0))</f>
        <v/>
      </c>
      <c r="U269" s="7">
        <f>IF($Z269="","",T269*S269)</f>
        <v/>
      </c>
      <c r="V269" s="7">
        <f>IF($Z269="","",U269+R269)</f>
        <v/>
      </c>
      <c r="W269" s="7">
        <f>IF($Z269="","",X269-V269)</f>
        <v/>
      </c>
      <c r="X269" s="7">
        <f>IF($Z269="","",Q269+T269+O269)</f>
        <v/>
      </c>
      <c r="Y269" s="7">
        <f>IF($Z269="","",X269-V269-N269)</f>
        <v/>
      </c>
      <c r="Z269" s="13">
        <f>IF(ROWS($Z$2:$Z269)&lt;=MAX('Per Line'!$AN$2:$AN$1001),MATCH(ROWS($Z$2:$Z269),'Per Line'!$AN$2:$AN$1001,0),"")</f>
        <v/>
      </c>
    </row>
    <row r="270">
      <c r="A270" s="12" t="n"/>
      <c r="B270">
        <f>IF($Z270="","",INDEX('Per Line'!$D$2:$D$1001,$Z270)&amp;"")</f>
        <v/>
      </c>
      <c r="C270">
        <f>IF($Z270="","",INDEX('Per Line'!$B$2:$B$1001,$Z270)&amp;"")</f>
        <v/>
      </c>
      <c r="D270">
        <f>IF($Z270="","",INDEX('Per Line'!$A$2:$A$1001,$Z270))</f>
        <v/>
      </c>
      <c r="E270">
        <f>IF($Z270="","",INDEX('Per Line'!$E$2:$E$1001,$Z270)&amp;"")</f>
        <v/>
      </c>
      <c r="F270">
        <f>IF($Z270="","",INDEX('Per Line'!$F$2:$F$1001,$Z270)&amp;"")</f>
        <v/>
      </c>
      <c r="G270" s="11">
        <f>IF($Z270="","",INDEX('Per Line'!$G$2:$G$1001,$Z270))</f>
        <v/>
      </c>
      <c r="H270">
        <f>IF($Z270="","",INDEX('Per Line'!$I$2:$I$1001,$Z270)&amp;"")</f>
        <v/>
      </c>
      <c r="I270">
        <f>IF($Z270="","",INDEX('Per Line'!$J$2:$J$1001,$Z270)&amp;"")</f>
        <v/>
      </c>
      <c r="J270">
        <f>IF($Z270="","",INDEX('Per Line'!$K$2:$K$1001,$Z270)&amp;"")</f>
        <v/>
      </c>
      <c r="K270">
        <f>IF($Z270="","",INDEX('Per Line'!$L$2:$L$1001,$Z270)&amp;"")</f>
        <v/>
      </c>
      <c r="L270">
        <f>IF($Z270="","",INDEX('Per Line'!$M$2:$M$1001,$Z270)&amp;"")</f>
        <v/>
      </c>
      <c r="M270">
        <f>IF($Z270="","",INDEX('Per Line'!$P$2:$P$1001,$Z270))</f>
        <v/>
      </c>
      <c r="N270" s="7">
        <f>IF($Z270="","",M270*X270/100)</f>
        <v/>
      </c>
      <c r="O270" s="7">
        <f>IF($Z270="","",SUMIFS('Per Line'!$Y$2:$Y$1001,'Per Line'!$D$2:$D$1001,$B270,'Per Line'!$AP$2:$AP$1001,1))</f>
        <v/>
      </c>
      <c r="P270">
        <f>IF($Z270="","",Settings!$C$7)</f>
        <v/>
      </c>
      <c r="Q270" s="7">
        <f>IF($Z270="","",SUMIFS('Per Line'!$Y$2:$Y$1001,'Per Line'!$D$2:$D$1001,$B270,'Per Line'!$AO$2:$AO$1001,0,'Per Line'!$AP$2:$AP$1001,0))</f>
        <v/>
      </c>
      <c r="R270" s="7">
        <f>IF($Z270="","",Q270*P270)</f>
        <v/>
      </c>
      <c r="S270">
        <f>IF($Z270="","",Settings!$C$6)</f>
        <v/>
      </c>
      <c r="T270" s="7">
        <f>IF($Z270="","",SUMIFS('Per Line'!$Y$2:$Y$1001,'Per Line'!$D$2:$D$1001,$B270,'Per Line'!$AO$2:$AO$1001,1,'Per Line'!$AP$2:$AP$1001,0))</f>
        <v/>
      </c>
      <c r="U270" s="7">
        <f>IF($Z270="","",T270*S270)</f>
        <v/>
      </c>
      <c r="V270" s="7">
        <f>IF($Z270="","",U270+R270)</f>
        <v/>
      </c>
      <c r="W270" s="7">
        <f>IF($Z270="","",X270-V270)</f>
        <v/>
      </c>
      <c r="X270" s="7">
        <f>IF($Z270="","",Q270+T270+O270)</f>
        <v/>
      </c>
      <c r="Y270" s="7">
        <f>IF($Z270="","",X270-V270-N270)</f>
        <v/>
      </c>
      <c r="Z270" s="13">
        <f>IF(ROWS($Z$2:$Z270)&lt;=MAX('Per Line'!$AN$2:$AN$1001),MATCH(ROWS($Z$2:$Z270),'Per Line'!$AN$2:$AN$1001,0),"")</f>
        <v/>
      </c>
    </row>
    <row r="271">
      <c r="A271" s="12" t="n"/>
      <c r="B271">
        <f>IF($Z271="","",INDEX('Per Line'!$D$2:$D$1001,$Z271)&amp;"")</f>
        <v/>
      </c>
      <c r="C271">
        <f>IF($Z271="","",INDEX('Per Line'!$B$2:$B$1001,$Z271)&amp;"")</f>
        <v/>
      </c>
      <c r="D271">
        <f>IF($Z271="","",INDEX('Per Line'!$A$2:$A$1001,$Z271))</f>
        <v/>
      </c>
      <c r="E271">
        <f>IF($Z271="","",INDEX('Per Line'!$E$2:$E$1001,$Z271)&amp;"")</f>
        <v/>
      </c>
      <c r="F271">
        <f>IF($Z271="","",INDEX('Per Line'!$F$2:$F$1001,$Z271)&amp;"")</f>
        <v/>
      </c>
      <c r="G271" s="11">
        <f>IF($Z271="","",INDEX('Per Line'!$G$2:$G$1001,$Z271))</f>
        <v/>
      </c>
      <c r="H271">
        <f>IF($Z271="","",INDEX('Per Line'!$I$2:$I$1001,$Z271)&amp;"")</f>
        <v/>
      </c>
      <c r="I271">
        <f>IF($Z271="","",INDEX('Per Line'!$J$2:$J$1001,$Z271)&amp;"")</f>
        <v/>
      </c>
      <c r="J271">
        <f>IF($Z271="","",INDEX('Per Line'!$K$2:$K$1001,$Z271)&amp;"")</f>
        <v/>
      </c>
      <c r="K271">
        <f>IF($Z271="","",INDEX('Per Line'!$L$2:$L$1001,$Z271)&amp;"")</f>
        <v/>
      </c>
      <c r="L271">
        <f>IF($Z271="","",INDEX('Per Line'!$M$2:$M$1001,$Z271)&amp;"")</f>
        <v/>
      </c>
      <c r="M271">
        <f>IF($Z271="","",INDEX('Per Line'!$P$2:$P$1001,$Z271))</f>
        <v/>
      </c>
      <c r="N271" s="7">
        <f>IF($Z271="","",M271*X271/100)</f>
        <v/>
      </c>
      <c r="O271" s="7">
        <f>IF($Z271="","",SUMIFS('Per Line'!$Y$2:$Y$1001,'Per Line'!$D$2:$D$1001,$B271,'Per Line'!$AP$2:$AP$1001,1))</f>
        <v/>
      </c>
      <c r="P271">
        <f>IF($Z271="","",Settings!$C$7)</f>
        <v/>
      </c>
      <c r="Q271" s="7">
        <f>IF($Z271="","",SUMIFS('Per Line'!$Y$2:$Y$1001,'Per Line'!$D$2:$D$1001,$B271,'Per Line'!$AO$2:$AO$1001,0,'Per Line'!$AP$2:$AP$1001,0))</f>
        <v/>
      </c>
      <c r="R271" s="7">
        <f>IF($Z271="","",Q271*P271)</f>
        <v/>
      </c>
      <c r="S271">
        <f>IF($Z271="","",Settings!$C$6)</f>
        <v/>
      </c>
      <c r="T271" s="7">
        <f>IF($Z271="","",SUMIFS('Per Line'!$Y$2:$Y$1001,'Per Line'!$D$2:$D$1001,$B271,'Per Line'!$AO$2:$AO$1001,1,'Per Line'!$AP$2:$AP$1001,0))</f>
        <v/>
      </c>
      <c r="U271" s="7">
        <f>IF($Z271="","",T271*S271)</f>
        <v/>
      </c>
      <c r="V271" s="7">
        <f>IF($Z271="","",U271+R271)</f>
        <v/>
      </c>
      <c r="W271" s="7">
        <f>IF($Z271="","",X271-V271)</f>
        <v/>
      </c>
      <c r="X271" s="7">
        <f>IF($Z271="","",Q271+T271+O271)</f>
        <v/>
      </c>
      <c r="Y271" s="7">
        <f>IF($Z271="","",X271-V271-N271)</f>
        <v/>
      </c>
      <c r="Z271" s="13">
        <f>IF(ROWS($Z$2:$Z271)&lt;=MAX('Per Line'!$AN$2:$AN$1001),MATCH(ROWS($Z$2:$Z271),'Per Line'!$AN$2:$AN$1001,0),"")</f>
        <v/>
      </c>
    </row>
    <row r="272">
      <c r="A272" s="12" t="n"/>
      <c r="B272">
        <f>IF($Z272="","",INDEX('Per Line'!$D$2:$D$1001,$Z272)&amp;"")</f>
        <v/>
      </c>
      <c r="C272">
        <f>IF($Z272="","",INDEX('Per Line'!$B$2:$B$1001,$Z272)&amp;"")</f>
        <v/>
      </c>
      <c r="D272">
        <f>IF($Z272="","",INDEX('Per Line'!$A$2:$A$1001,$Z272))</f>
        <v/>
      </c>
      <c r="E272">
        <f>IF($Z272="","",INDEX('Per Line'!$E$2:$E$1001,$Z272)&amp;"")</f>
        <v/>
      </c>
      <c r="F272">
        <f>IF($Z272="","",INDEX('Per Line'!$F$2:$F$1001,$Z272)&amp;"")</f>
        <v/>
      </c>
      <c r="G272" s="11">
        <f>IF($Z272="","",INDEX('Per Line'!$G$2:$G$1001,$Z272))</f>
        <v/>
      </c>
      <c r="H272">
        <f>IF($Z272="","",INDEX('Per Line'!$I$2:$I$1001,$Z272)&amp;"")</f>
        <v/>
      </c>
      <c r="I272">
        <f>IF($Z272="","",INDEX('Per Line'!$J$2:$J$1001,$Z272)&amp;"")</f>
        <v/>
      </c>
      <c r="J272">
        <f>IF($Z272="","",INDEX('Per Line'!$K$2:$K$1001,$Z272)&amp;"")</f>
        <v/>
      </c>
      <c r="K272">
        <f>IF($Z272="","",INDEX('Per Line'!$L$2:$L$1001,$Z272)&amp;"")</f>
        <v/>
      </c>
      <c r="L272">
        <f>IF($Z272="","",INDEX('Per Line'!$M$2:$M$1001,$Z272)&amp;"")</f>
        <v/>
      </c>
      <c r="M272">
        <f>IF($Z272="","",INDEX('Per Line'!$P$2:$P$1001,$Z272))</f>
        <v/>
      </c>
      <c r="N272" s="7">
        <f>IF($Z272="","",M272*X272/100)</f>
        <v/>
      </c>
      <c r="O272" s="7">
        <f>IF($Z272="","",SUMIFS('Per Line'!$Y$2:$Y$1001,'Per Line'!$D$2:$D$1001,$B272,'Per Line'!$AP$2:$AP$1001,1))</f>
        <v/>
      </c>
      <c r="P272">
        <f>IF($Z272="","",Settings!$C$7)</f>
        <v/>
      </c>
      <c r="Q272" s="7">
        <f>IF($Z272="","",SUMIFS('Per Line'!$Y$2:$Y$1001,'Per Line'!$D$2:$D$1001,$B272,'Per Line'!$AO$2:$AO$1001,0,'Per Line'!$AP$2:$AP$1001,0))</f>
        <v/>
      </c>
      <c r="R272" s="7">
        <f>IF($Z272="","",Q272*P272)</f>
        <v/>
      </c>
      <c r="S272">
        <f>IF($Z272="","",Settings!$C$6)</f>
        <v/>
      </c>
      <c r="T272" s="7">
        <f>IF($Z272="","",SUMIFS('Per Line'!$Y$2:$Y$1001,'Per Line'!$D$2:$D$1001,$B272,'Per Line'!$AO$2:$AO$1001,1,'Per Line'!$AP$2:$AP$1001,0))</f>
        <v/>
      </c>
      <c r="U272" s="7">
        <f>IF($Z272="","",T272*S272)</f>
        <v/>
      </c>
      <c r="V272" s="7">
        <f>IF($Z272="","",U272+R272)</f>
        <v/>
      </c>
      <c r="W272" s="7">
        <f>IF($Z272="","",X272-V272)</f>
        <v/>
      </c>
      <c r="X272" s="7">
        <f>IF($Z272="","",Q272+T272+O272)</f>
        <v/>
      </c>
      <c r="Y272" s="7">
        <f>IF($Z272="","",X272-V272-N272)</f>
        <v/>
      </c>
      <c r="Z272" s="13">
        <f>IF(ROWS($Z$2:$Z272)&lt;=MAX('Per Line'!$AN$2:$AN$1001),MATCH(ROWS($Z$2:$Z272),'Per Line'!$AN$2:$AN$1001,0),"")</f>
        <v/>
      </c>
    </row>
    <row r="273">
      <c r="A273" s="12" t="n"/>
      <c r="B273">
        <f>IF($Z273="","",INDEX('Per Line'!$D$2:$D$1001,$Z273)&amp;"")</f>
        <v/>
      </c>
      <c r="C273">
        <f>IF($Z273="","",INDEX('Per Line'!$B$2:$B$1001,$Z273)&amp;"")</f>
        <v/>
      </c>
      <c r="D273">
        <f>IF($Z273="","",INDEX('Per Line'!$A$2:$A$1001,$Z273))</f>
        <v/>
      </c>
      <c r="E273">
        <f>IF($Z273="","",INDEX('Per Line'!$E$2:$E$1001,$Z273)&amp;"")</f>
        <v/>
      </c>
      <c r="F273">
        <f>IF($Z273="","",INDEX('Per Line'!$F$2:$F$1001,$Z273)&amp;"")</f>
        <v/>
      </c>
      <c r="G273" s="11">
        <f>IF($Z273="","",INDEX('Per Line'!$G$2:$G$1001,$Z273))</f>
        <v/>
      </c>
      <c r="H273">
        <f>IF($Z273="","",INDEX('Per Line'!$I$2:$I$1001,$Z273)&amp;"")</f>
        <v/>
      </c>
      <c r="I273">
        <f>IF($Z273="","",INDEX('Per Line'!$J$2:$J$1001,$Z273)&amp;"")</f>
        <v/>
      </c>
      <c r="J273">
        <f>IF($Z273="","",INDEX('Per Line'!$K$2:$K$1001,$Z273)&amp;"")</f>
        <v/>
      </c>
      <c r="K273">
        <f>IF($Z273="","",INDEX('Per Line'!$L$2:$L$1001,$Z273)&amp;"")</f>
        <v/>
      </c>
      <c r="L273">
        <f>IF($Z273="","",INDEX('Per Line'!$M$2:$M$1001,$Z273)&amp;"")</f>
        <v/>
      </c>
      <c r="M273">
        <f>IF($Z273="","",INDEX('Per Line'!$P$2:$P$1001,$Z273))</f>
        <v/>
      </c>
      <c r="N273" s="7">
        <f>IF($Z273="","",M273*X273/100)</f>
        <v/>
      </c>
      <c r="O273" s="7">
        <f>IF($Z273="","",SUMIFS('Per Line'!$Y$2:$Y$1001,'Per Line'!$D$2:$D$1001,$B273,'Per Line'!$AP$2:$AP$1001,1))</f>
        <v/>
      </c>
      <c r="P273">
        <f>IF($Z273="","",Settings!$C$7)</f>
        <v/>
      </c>
      <c r="Q273" s="7">
        <f>IF($Z273="","",SUMIFS('Per Line'!$Y$2:$Y$1001,'Per Line'!$D$2:$D$1001,$B273,'Per Line'!$AO$2:$AO$1001,0,'Per Line'!$AP$2:$AP$1001,0))</f>
        <v/>
      </c>
      <c r="R273" s="7">
        <f>IF($Z273="","",Q273*P273)</f>
        <v/>
      </c>
      <c r="S273">
        <f>IF($Z273="","",Settings!$C$6)</f>
        <v/>
      </c>
      <c r="T273" s="7">
        <f>IF($Z273="","",SUMIFS('Per Line'!$Y$2:$Y$1001,'Per Line'!$D$2:$D$1001,$B273,'Per Line'!$AO$2:$AO$1001,1,'Per Line'!$AP$2:$AP$1001,0))</f>
        <v/>
      </c>
      <c r="U273" s="7">
        <f>IF($Z273="","",T273*S273)</f>
        <v/>
      </c>
      <c r="V273" s="7">
        <f>IF($Z273="","",U273+R273)</f>
        <v/>
      </c>
      <c r="W273" s="7">
        <f>IF($Z273="","",X273-V273)</f>
        <v/>
      </c>
      <c r="X273" s="7">
        <f>IF($Z273="","",Q273+T273+O273)</f>
        <v/>
      </c>
      <c r="Y273" s="7">
        <f>IF($Z273="","",X273-V273-N273)</f>
        <v/>
      </c>
      <c r="Z273" s="13">
        <f>IF(ROWS($Z$2:$Z273)&lt;=MAX('Per Line'!$AN$2:$AN$1001),MATCH(ROWS($Z$2:$Z273),'Per Line'!$AN$2:$AN$1001,0),"")</f>
        <v/>
      </c>
    </row>
    <row r="274">
      <c r="A274" s="12" t="n"/>
      <c r="B274">
        <f>IF($Z274="","",INDEX('Per Line'!$D$2:$D$1001,$Z274)&amp;"")</f>
        <v/>
      </c>
      <c r="C274">
        <f>IF($Z274="","",INDEX('Per Line'!$B$2:$B$1001,$Z274)&amp;"")</f>
        <v/>
      </c>
      <c r="D274">
        <f>IF($Z274="","",INDEX('Per Line'!$A$2:$A$1001,$Z274))</f>
        <v/>
      </c>
      <c r="E274">
        <f>IF($Z274="","",INDEX('Per Line'!$E$2:$E$1001,$Z274)&amp;"")</f>
        <v/>
      </c>
      <c r="F274">
        <f>IF($Z274="","",INDEX('Per Line'!$F$2:$F$1001,$Z274)&amp;"")</f>
        <v/>
      </c>
      <c r="G274" s="11">
        <f>IF($Z274="","",INDEX('Per Line'!$G$2:$G$1001,$Z274))</f>
        <v/>
      </c>
      <c r="H274">
        <f>IF($Z274="","",INDEX('Per Line'!$I$2:$I$1001,$Z274)&amp;"")</f>
        <v/>
      </c>
      <c r="I274">
        <f>IF($Z274="","",INDEX('Per Line'!$J$2:$J$1001,$Z274)&amp;"")</f>
        <v/>
      </c>
      <c r="J274">
        <f>IF($Z274="","",INDEX('Per Line'!$K$2:$K$1001,$Z274)&amp;"")</f>
        <v/>
      </c>
      <c r="K274">
        <f>IF($Z274="","",INDEX('Per Line'!$L$2:$L$1001,$Z274)&amp;"")</f>
        <v/>
      </c>
      <c r="L274">
        <f>IF($Z274="","",INDEX('Per Line'!$M$2:$M$1001,$Z274)&amp;"")</f>
        <v/>
      </c>
      <c r="M274">
        <f>IF($Z274="","",INDEX('Per Line'!$P$2:$P$1001,$Z274))</f>
        <v/>
      </c>
      <c r="N274" s="7">
        <f>IF($Z274="","",M274*X274/100)</f>
        <v/>
      </c>
      <c r="O274" s="7">
        <f>IF($Z274="","",SUMIFS('Per Line'!$Y$2:$Y$1001,'Per Line'!$D$2:$D$1001,$B274,'Per Line'!$AP$2:$AP$1001,1))</f>
        <v/>
      </c>
      <c r="P274">
        <f>IF($Z274="","",Settings!$C$7)</f>
        <v/>
      </c>
      <c r="Q274" s="7">
        <f>IF($Z274="","",SUMIFS('Per Line'!$Y$2:$Y$1001,'Per Line'!$D$2:$D$1001,$B274,'Per Line'!$AO$2:$AO$1001,0,'Per Line'!$AP$2:$AP$1001,0))</f>
        <v/>
      </c>
      <c r="R274" s="7">
        <f>IF($Z274="","",Q274*P274)</f>
        <v/>
      </c>
      <c r="S274">
        <f>IF($Z274="","",Settings!$C$6)</f>
        <v/>
      </c>
      <c r="T274" s="7">
        <f>IF($Z274="","",SUMIFS('Per Line'!$Y$2:$Y$1001,'Per Line'!$D$2:$D$1001,$B274,'Per Line'!$AO$2:$AO$1001,1,'Per Line'!$AP$2:$AP$1001,0))</f>
        <v/>
      </c>
      <c r="U274" s="7">
        <f>IF($Z274="","",T274*S274)</f>
        <v/>
      </c>
      <c r="V274" s="7">
        <f>IF($Z274="","",U274+R274)</f>
        <v/>
      </c>
      <c r="W274" s="7">
        <f>IF($Z274="","",X274-V274)</f>
        <v/>
      </c>
      <c r="X274" s="7">
        <f>IF($Z274="","",Q274+T274+O274)</f>
        <v/>
      </c>
      <c r="Y274" s="7">
        <f>IF($Z274="","",X274-V274-N274)</f>
        <v/>
      </c>
      <c r="Z274" s="13">
        <f>IF(ROWS($Z$2:$Z274)&lt;=MAX('Per Line'!$AN$2:$AN$1001),MATCH(ROWS($Z$2:$Z274),'Per Line'!$AN$2:$AN$1001,0),"")</f>
        <v/>
      </c>
    </row>
    <row r="275">
      <c r="A275" s="12" t="n"/>
      <c r="B275">
        <f>IF($Z275="","",INDEX('Per Line'!$D$2:$D$1001,$Z275)&amp;"")</f>
        <v/>
      </c>
      <c r="C275">
        <f>IF($Z275="","",INDEX('Per Line'!$B$2:$B$1001,$Z275)&amp;"")</f>
        <v/>
      </c>
      <c r="D275">
        <f>IF($Z275="","",INDEX('Per Line'!$A$2:$A$1001,$Z275))</f>
        <v/>
      </c>
      <c r="E275">
        <f>IF($Z275="","",INDEX('Per Line'!$E$2:$E$1001,$Z275)&amp;"")</f>
        <v/>
      </c>
      <c r="F275">
        <f>IF($Z275="","",INDEX('Per Line'!$F$2:$F$1001,$Z275)&amp;"")</f>
        <v/>
      </c>
      <c r="G275" s="11">
        <f>IF($Z275="","",INDEX('Per Line'!$G$2:$G$1001,$Z275))</f>
        <v/>
      </c>
      <c r="H275">
        <f>IF($Z275="","",INDEX('Per Line'!$I$2:$I$1001,$Z275)&amp;"")</f>
        <v/>
      </c>
      <c r="I275">
        <f>IF($Z275="","",INDEX('Per Line'!$J$2:$J$1001,$Z275)&amp;"")</f>
        <v/>
      </c>
      <c r="J275">
        <f>IF($Z275="","",INDEX('Per Line'!$K$2:$K$1001,$Z275)&amp;"")</f>
        <v/>
      </c>
      <c r="K275">
        <f>IF($Z275="","",INDEX('Per Line'!$L$2:$L$1001,$Z275)&amp;"")</f>
        <v/>
      </c>
      <c r="L275">
        <f>IF($Z275="","",INDEX('Per Line'!$M$2:$M$1001,$Z275)&amp;"")</f>
        <v/>
      </c>
      <c r="M275">
        <f>IF($Z275="","",INDEX('Per Line'!$P$2:$P$1001,$Z275))</f>
        <v/>
      </c>
      <c r="N275" s="7">
        <f>IF($Z275="","",M275*X275/100)</f>
        <v/>
      </c>
      <c r="O275" s="7">
        <f>IF($Z275="","",SUMIFS('Per Line'!$Y$2:$Y$1001,'Per Line'!$D$2:$D$1001,$B275,'Per Line'!$AP$2:$AP$1001,1))</f>
        <v/>
      </c>
      <c r="P275">
        <f>IF($Z275="","",Settings!$C$7)</f>
        <v/>
      </c>
      <c r="Q275" s="7">
        <f>IF($Z275="","",SUMIFS('Per Line'!$Y$2:$Y$1001,'Per Line'!$D$2:$D$1001,$B275,'Per Line'!$AO$2:$AO$1001,0,'Per Line'!$AP$2:$AP$1001,0))</f>
        <v/>
      </c>
      <c r="R275" s="7">
        <f>IF($Z275="","",Q275*P275)</f>
        <v/>
      </c>
      <c r="S275">
        <f>IF($Z275="","",Settings!$C$6)</f>
        <v/>
      </c>
      <c r="T275" s="7">
        <f>IF($Z275="","",SUMIFS('Per Line'!$Y$2:$Y$1001,'Per Line'!$D$2:$D$1001,$B275,'Per Line'!$AO$2:$AO$1001,1,'Per Line'!$AP$2:$AP$1001,0))</f>
        <v/>
      </c>
      <c r="U275" s="7">
        <f>IF($Z275="","",T275*S275)</f>
        <v/>
      </c>
      <c r="V275" s="7">
        <f>IF($Z275="","",U275+R275)</f>
        <v/>
      </c>
      <c r="W275" s="7">
        <f>IF($Z275="","",X275-V275)</f>
        <v/>
      </c>
      <c r="X275" s="7">
        <f>IF($Z275="","",Q275+T275+O275)</f>
        <v/>
      </c>
      <c r="Y275" s="7">
        <f>IF($Z275="","",X275-V275-N275)</f>
        <v/>
      </c>
      <c r="Z275" s="13">
        <f>IF(ROWS($Z$2:$Z275)&lt;=MAX('Per Line'!$AN$2:$AN$1001),MATCH(ROWS($Z$2:$Z275),'Per Line'!$AN$2:$AN$1001,0),"")</f>
        <v/>
      </c>
    </row>
    <row r="276">
      <c r="A276" s="12" t="n"/>
      <c r="B276">
        <f>IF($Z276="","",INDEX('Per Line'!$D$2:$D$1001,$Z276)&amp;"")</f>
        <v/>
      </c>
      <c r="C276">
        <f>IF($Z276="","",INDEX('Per Line'!$B$2:$B$1001,$Z276)&amp;"")</f>
        <v/>
      </c>
      <c r="D276">
        <f>IF($Z276="","",INDEX('Per Line'!$A$2:$A$1001,$Z276))</f>
        <v/>
      </c>
      <c r="E276">
        <f>IF($Z276="","",INDEX('Per Line'!$E$2:$E$1001,$Z276)&amp;"")</f>
        <v/>
      </c>
      <c r="F276">
        <f>IF($Z276="","",INDEX('Per Line'!$F$2:$F$1001,$Z276)&amp;"")</f>
        <v/>
      </c>
      <c r="G276" s="11">
        <f>IF($Z276="","",INDEX('Per Line'!$G$2:$G$1001,$Z276))</f>
        <v/>
      </c>
      <c r="H276">
        <f>IF($Z276="","",INDEX('Per Line'!$I$2:$I$1001,$Z276)&amp;"")</f>
        <v/>
      </c>
      <c r="I276">
        <f>IF($Z276="","",INDEX('Per Line'!$J$2:$J$1001,$Z276)&amp;"")</f>
        <v/>
      </c>
      <c r="J276">
        <f>IF($Z276="","",INDEX('Per Line'!$K$2:$K$1001,$Z276)&amp;"")</f>
        <v/>
      </c>
      <c r="K276">
        <f>IF($Z276="","",INDEX('Per Line'!$L$2:$L$1001,$Z276)&amp;"")</f>
        <v/>
      </c>
      <c r="L276">
        <f>IF($Z276="","",INDEX('Per Line'!$M$2:$M$1001,$Z276)&amp;"")</f>
        <v/>
      </c>
      <c r="M276">
        <f>IF($Z276="","",INDEX('Per Line'!$P$2:$P$1001,$Z276))</f>
        <v/>
      </c>
      <c r="N276" s="7">
        <f>IF($Z276="","",M276*X276/100)</f>
        <v/>
      </c>
      <c r="O276" s="7">
        <f>IF($Z276="","",SUMIFS('Per Line'!$Y$2:$Y$1001,'Per Line'!$D$2:$D$1001,$B276,'Per Line'!$AP$2:$AP$1001,1))</f>
        <v/>
      </c>
      <c r="P276">
        <f>IF($Z276="","",Settings!$C$7)</f>
        <v/>
      </c>
      <c r="Q276" s="7">
        <f>IF($Z276="","",SUMIFS('Per Line'!$Y$2:$Y$1001,'Per Line'!$D$2:$D$1001,$B276,'Per Line'!$AO$2:$AO$1001,0,'Per Line'!$AP$2:$AP$1001,0))</f>
        <v/>
      </c>
      <c r="R276" s="7">
        <f>IF($Z276="","",Q276*P276)</f>
        <v/>
      </c>
      <c r="S276">
        <f>IF($Z276="","",Settings!$C$6)</f>
        <v/>
      </c>
      <c r="T276" s="7">
        <f>IF($Z276="","",SUMIFS('Per Line'!$Y$2:$Y$1001,'Per Line'!$D$2:$D$1001,$B276,'Per Line'!$AO$2:$AO$1001,1,'Per Line'!$AP$2:$AP$1001,0))</f>
        <v/>
      </c>
      <c r="U276" s="7">
        <f>IF($Z276="","",T276*S276)</f>
        <v/>
      </c>
      <c r="V276" s="7">
        <f>IF($Z276="","",U276+R276)</f>
        <v/>
      </c>
      <c r="W276" s="7">
        <f>IF($Z276="","",X276-V276)</f>
        <v/>
      </c>
      <c r="X276" s="7">
        <f>IF($Z276="","",Q276+T276+O276)</f>
        <v/>
      </c>
      <c r="Y276" s="7">
        <f>IF($Z276="","",X276-V276-N276)</f>
        <v/>
      </c>
      <c r="Z276" s="13">
        <f>IF(ROWS($Z$2:$Z276)&lt;=MAX('Per Line'!$AN$2:$AN$1001),MATCH(ROWS($Z$2:$Z276),'Per Line'!$AN$2:$AN$1001,0),"")</f>
        <v/>
      </c>
    </row>
    <row r="277">
      <c r="A277" s="12" t="n"/>
      <c r="B277">
        <f>IF($Z277="","",INDEX('Per Line'!$D$2:$D$1001,$Z277)&amp;"")</f>
        <v/>
      </c>
      <c r="C277">
        <f>IF($Z277="","",INDEX('Per Line'!$B$2:$B$1001,$Z277)&amp;"")</f>
        <v/>
      </c>
      <c r="D277">
        <f>IF($Z277="","",INDEX('Per Line'!$A$2:$A$1001,$Z277))</f>
        <v/>
      </c>
      <c r="E277">
        <f>IF($Z277="","",INDEX('Per Line'!$E$2:$E$1001,$Z277)&amp;"")</f>
        <v/>
      </c>
      <c r="F277">
        <f>IF($Z277="","",INDEX('Per Line'!$F$2:$F$1001,$Z277)&amp;"")</f>
        <v/>
      </c>
      <c r="G277" s="11">
        <f>IF($Z277="","",INDEX('Per Line'!$G$2:$G$1001,$Z277))</f>
        <v/>
      </c>
      <c r="H277">
        <f>IF($Z277="","",INDEX('Per Line'!$I$2:$I$1001,$Z277)&amp;"")</f>
        <v/>
      </c>
      <c r="I277">
        <f>IF($Z277="","",INDEX('Per Line'!$J$2:$J$1001,$Z277)&amp;"")</f>
        <v/>
      </c>
      <c r="J277">
        <f>IF($Z277="","",INDEX('Per Line'!$K$2:$K$1001,$Z277)&amp;"")</f>
        <v/>
      </c>
      <c r="K277">
        <f>IF($Z277="","",INDEX('Per Line'!$L$2:$L$1001,$Z277)&amp;"")</f>
        <v/>
      </c>
      <c r="L277">
        <f>IF($Z277="","",INDEX('Per Line'!$M$2:$M$1001,$Z277)&amp;"")</f>
        <v/>
      </c>
      <c r="M277">
        <f>IF($Z277="","",INDEX('Per Line'!$P$2:$P$1001,$Z277))</f>
        <v/>
      </c>
      <c r="N277" s="7">
        <f>IF($Z277="","",M277*X277/100)</f>
        <v/>
      </c>
      <c r="O277" s="7">
        <f>IF($Z277="","",SUMIFS('Per Line'!$Y$2:$Y$1001,'Per Line'!$D$2:$D$1001,$B277,'Per Line'!$AP$2:$AP$1001,1))</f>
        <v/>
      </c>
      <c r="P277">
        <f>IF($Z277="","",Settings!$C$7)</f>
        <v/>
      </c>
      <c r="Q277" s="7">
        <f>IF($Z277="","",SUMIFS('Per Line'!$Y$2:$Y$1001,'Per Line'!$D$2:$D$1001,$B277,'Per Line'!$AO$2:$AO$1001,0,'Per Line'!$AP$2:$AP$1001,0))</f>
        <v/>
      </c>
      <c r="R277" s="7">
        <f>IF($Z277="","",Q277*P277)</f>
        <v/>
      </c>
      <c r="S277">
        <f>IF($Z277="","",Settings!$C$6)</f>
        <v/>
      </c>
      <c r="T277" s="7">
        <f>IF($Z277="","",SUMIFS('Per Line'!$Y$2:$Y$1001,'Per Line'!$D$2:$D$1001,$B277,'Per Line'!$AO$2:$AO$1001,1,'Per Line'!$AP$2:$AP$1001,0))</f>
        <v/>
      </c>
      <c r="U277" s="7">
        <f>IF($Z277="","",T277*S277)</f>
        <v/>
      </c>
      <c r="V277" s="7">
        <f>IF($Z277="","",U277+R277)</f>
        <v/>
      </c>
      <c r="W277" s="7">
        <f>IF($Z277="","",X277-V277)</f>
        <v/>
      </c>
      <c r="X277" s="7">
        <f>IF($Z277="","",Q277+T277+O277)</f>
        <v/>
      </c>
      <c r="Y277" s="7">
        <f>IF($Z277="","",X277-V277-N277)</f>
        <v/>
      </c>
      <c r="Z277" s="13">
        <f>IF(ROWS($Z$2:$Z277)&lt;=MAX('Per Line'!$AN$2:$AN$1001),MATCH(ROWS($Z$2:$Z277),'Per Line'!$AN$2:$AN$1001,0),"")</f>
        <v/>
      </c>
    </row>
    <row r="278">
      <c r="A278" s="12" t="n"/>
      <c r="B278">
        <f>IF($Z278="","",INDEX('Per Line'!$D$2:$D$1001,$Z278)&amp;"")</f>
        <v/>
      </c>
      <c r="C278">
        <f>IF($Z278="","",INDEX('Per Line'!$B$2:$B$1001,$Z278)&amp;"")</f>
        <v/>
      </c>
      <c r="D278">
        <f>IF($Z278="","",INDEX('Per Line'!$A$2:$A$1001,$Z278))</f>
        <v/>
      </c>
      <c r="E278">
        <f>IF($Z278="","",INDEX('Per Line'!$E$2:$E$1001,$Z278)&amp;"")</f>
        <v/>
      </c>
      <c r="F278">
        <f>IF($Z278="","",INDEX('Per Line'!$F$2:$F$1001,$Z278)&amp;"")</f>
        <v/>
      </c>
      <c r="G278" s="11">
        <f>IF($Z278="","",INDEX('Per Line'!$G$2:$G$1001,$Z278))</f>
        <v/>
      </c>
      <c r="H278">
        <f>IF($Z278="","",INDEX('Per Line'!$I$2:$I$1001,$Z278)&amp;"")</f>
        <v/>
      </c>
      <c r="I278">
        <f>IF($Z278="","",INDEX('Per Line'!$J$2:$J$1001,$Z278)&amp;"")</f>
        <v/>
      </c>
      <c r="J278">
        <f>IF($Z278="","",INDEX('Per Line'!$K$2:$K$1001,$Z278)&amp;"")</f>
        <v/>
      </c>
      <c r="K278">
        <f>IF($Z278="","",INDEX('Per Line'!$L$2:$L$1001,$Z278)&amp;"")</f>
        <v/>
      </c>
      <c r="L278">
        <f>IF($Z278="","",INDEX('Per Line'!$M$2:$M$1001,$Z278)&amp;"")</f>
        <v/>
      </c>
      <c r="M278">
        <f>IF($Z278="","",INDEX('Per Line'!$P$2:$P$1001,$Z278))</f>
        <v/>
      </c>
      <c r="N278" s="7">
        <f>IF($Z278="","",M278*X278/100)</f>
        <v/>
      </c>
      <c r="O278" s="7">
        <f>IF($Z278="","",SUMIFS('Per Line'!$Y$2:$Y$1001,'Per Line'!$D$2:$D$1001,$B278,'Per Line'!$AP$2:$AP$1001,1))</f>
        <v/>
      </c>
      <c r="P278">
        <f>IF($Z278="","",Settings!$C$7)</f>
        <v/>
      </c>
      <c r="Q278" s="7">
        <f>IF($Z278="","",SUMIFS('Per Line'!$Y$2:$Y$1001,'Per Line'!$D$2:$D$1001,$B278,'Per Line'!$AO$2:$AO$1001,0,'Per Line'!$AP$2:$AP$1001,0))</f>
        <v/>
      </c>
      <c r="R278" s="7">
        <f>IF($Z278="","",Q278*P278)</f>
        <v/>
      </c>
      <c r="S278">
        <f>IF($Z278="","",Settings!$C$6)</f>
        <v/>
      </c>
      <c r="T278" s="7">
        <f>IF($Z278="","",SUMIFS('Per Line'!$Y$2:$Y$1001,'Per Line'!$D$2:$D$1001,$B278,'Per Line'!$AO$2:$AO$1001,1,'Per Line'!$AP$2:$AP$1001,0))</f>
        <v/>
      </c>
      <c r="U278" s="7">
        <f>IF($Z278="","",T278*S278)</f>
        <v/>
      </c>
      <c r="V278" s="7">
        <f>IF($Z278="","",U278+R278)</f>
        <v/>
      </c>
      <c r="W278" s="7">
        <f>IF($Z278="","",X278-V278)</f>
        <v/>
      </c>
      <c r="X278" s="7">
        <f>IF($Z278="","",Q278+T278+O278)</f>
        <v/>
      </c>
      <c r="Y278" s="7">
        <f>IF($Z278="","",X278-V278-N278)</f>
        <v/>
      </c>
      <c r="Z278" s="13">
        <f>IF(ROWS($Z$2:$Z278)&lt;=MAX('Per Line'!$AN$2:$AN$1001),MATCH(ROWS($Z$2:$Z278),'Per Line'!$AN$2:$AN$1001,0),"")</f>
        <v/>
      </c>
    </row>
    <row r="279">
      <c r="A279" s="12" t="n"/>
      <c r="B279">
        <f>IF($Z279="","",INDEX('Per Line'!$D$2:$D$1001,$Z279)&amp;"")</f>
        <v/>
      </c>
      <c r="C279">
        <f>IF($Z279="","",INDEX('Per Line'!$B$2:$B$1001,$Z279)&amp;"")</f>
        <v/>
      </c>
      <c r="D279">
        <f>IF($Z279="","",INDEX('Per Line'!$A$2:$A$1001,$Z279))</f>
        <v/>
      </c>
      <c r="E279">
        <f>IF($Z279="","",INDEX('Per Line'!$E$2:$E$1001,$Z279)&amp;"")</f>
        <v/>
      </c>
      <c r="F279">
        <f>IF($Z279="","",INDEX('Per Line'!$F$2:$F$1001,$Z279)&amp;"")</f>
        <v/>
      </c>
      <c r="G279" s="11">
        <f>IF($Z279="","",INDEX('Per Line'!$G$2:$G$1001,$Z279))</f>
        <v/>
      </c>
      <c r="H279">
        <f>IF($Z279="","",INDEX('Per Line'!$I$2:$I$1001,$Z279)&amp;"")</f>
        <v/>
      </c>
      <c r="I279">
        <f>IF($Z279="","",INDEX('Per Line'!$J$2:$J$1001,$Z279)&amp;"")</f>
        <v/>
      </c>
      <c r="J279">
        <f>IF($Z279="","",INDEX('Per Line'!$K$2:$K$1001,$Z279)&amp;"")</f>
        <v/>
      </c>
      <c r="K279">
        <f>IF($Z279="","",INDEX('Per Line'!$L$2:$L$1001,$Z279)&amp;"")</f>
        <v/>
      </c>
      <c r="L279">
        <f>IF($Z279="","",INDEX('Per Line'!$M$2:$M$1001,$Z279)&amp;"")</f>
        <v/>
      </c>
      <c r="M279">
        <f>IF($Z279="","",INDEX('Per Line'!$P$2:$P$1001,$Z279))</f>
        <v/>
      </c>
      <c r="N279" s="7">
        <f>IF($Z279="","",M279*X279/100)</f>
        <v/>
      </c>
      <c r="O279" s="7">
        <f>IF($Z279="","",SUMIFS('Per Line'!$Y$2:$Y$1001,'Per Line'!$D$2:$D$1001,$B279,'Per Line'!$AP$2:$AP$1001,1))</f>
        <v/>
      </c>
      <c r="P279">
        <f>IF($Z279="","",Settings!$C$7)</f>
        <v/>
      </c>
      <c r="Q279" s="7">
        <f>IF($Z279="","",SUMIFS('Per Line'!$Y$2:$Y$1001,'Per Line'!$D$2:$D$1001,$B279,'Per Line'!$AO$2:$AO$1001,0,'Per Line'!$AP$2:$AP$1001,0))</f>
        <v/>
      </c>
      <c r="R279" s="7">
        <f>IF($Z279="","",Q279*P279)</f>
        <v/>
      </c>
      <c r="S279">
        <f>IF($Z279="","",Settings!$C$6)</f>
        <v/>
      </c>
      <c r="T279" s="7">
        <f>IF($Z279="","",SUMIFS('Per Line'!$Y$2:$Y$1001,'Per Line'!$D$2:$D$1001,$B279,'Per Line'!$AO$2:$AO$1001,1,'Per Line'!$AP$2:$AP$1001,0))</f>
        <v/>
      </c>
      <c r="U279" s="7">
        <f>IF($Z279="","",T279*S279)</f>
        <v/>
      </c>
      <c r="V279" s="7">
        <f>IF($Z279="","",U279+R279)</f>
        <v/>
      </c>
      <c r="W279" s="7">
        <f>IF($Z279="","",X279-V279)</f>
        <v/>
      </c>
      <c r="X279" s="7">
        <f>IF($Z279="","",Q279+T279+O279)</f>
        <v/>
      </c>
      <c r="Y279" s="7">
        <f>IF($Z279="","",X279-V279-N279)</f>
        <v/>
      </c>
      <c r="Z279" s="13">
        <f>IF(ROWS($Z$2:$Z279)&lt;=MAX('Per Line'!$AN$2:$AN$1001),MATCH(ROWS($Z$2:$Z279),'Per Line'!$AN$2:$AN$1001,0),"")</f>
        <v/>
      </c>
    </row>
    <row r="280">
      <c r="A280" s="12" t="n"/>
      <c r="B280">
        <f>IF($Z280="","",INDEX('Per Line'!$D$2:$D$1001,$Z280)&amp;"")</f>
        <v/>
      </c>
      <c r="C280">
        <f>IF($Z280="","",INDEX('Per Line'!$B$2:$B$1001,$Z280)&amp;"")</f>
        <v/>
      </c>
      <c r="D280">
        <f>IF($Z280="","",INDEX('Per Line'!$A$2:$A$1001,$Z280))</f>
        <v/>
      </c>
      <c r="E280">
        <f>IF($Z280="","",INDEX('Per Line'!$E$2:$E$1001,$Z280)&amp;"")</f>
        <v/>
      </c>
      <c r="F280">
        <f>IF($Z280="","",INDEX('Per Line'!$F$2:$F$1001,$Z280)&amp;"")</f>
        <v/>
      </c>
      <c r="G280" s="11">
        <f>IF($Z280="","",INDEX('Per Line'!$G$2:$G$1001,$Z280))</f>
        <v/>
      </c>
      <c r="H280">
        <f>IF($Z280="","",INDEX('Per Line'!$I$2:$I$1001,$Z280)&amp;"")</f>
        <v/>
      </c>
      <c r="I280">
        <f>IF($Z280="","",INDEX('Per Line'!$J$2:$J$1001,$Z280)&amp;"")</f>
        <v/>
      </c>
      <c r="J280">
        <f>IF($Z280="","",INDEX('Per Line'!$K$2:$K$1001,$Z280)&amp;"")</f>
        <v/>
      </c>
      <c r="K280">
        <f>IF($Z280="","",INDEX('Per Line'!$L$2:$L$1001,$Z280)&amp;"")</f>
        <v/>
      </c>
      <c r="L280">
        <f>IF($Z280="","",INDEX('Per Line'!$M$2:$M$1001,$Z280)&amp;"")</f>
        <v/>
      </c>
      <c r="M280">
        <f>IF($Z280="","",INDEX('Per Line'!$P$2:$P$1001,$Z280))</f>
        <v/>
      </c>
      <c r="N280" s="7">
        <f>IF($Z280="","",M280*X280/100)</f>
        <v/>
      </c>
      <c r="O280" s="7">
        <f>IF($Z280="","",SUMIFS('Per Line'!$Y$2:$Y$1001,'Per Line'!$D$2:$D$1001,$B280,'Per Line'!$AP$2:$AP$1001,1))</f>
        <v/>
      </c>
      <c r="P280">
        <f>IF($Z280="","",Settings!$C$7)</f>
        <v/>
      </c>
      <c r="Q280" s="7">
        <f>IF($Z280="","",SUMIFS('Per Line'!$Y$2:$Y$1001,'Per Line'!$D$2:$D$1001,$B280,'Per Line'!$AO$2:$AO$1001,0,'Per Line'!$AP$2:$AP$1001,0))</f>
        <v/>
      </c>
      <c r="R280" s="7">
        <f>IF($Z280="","",Q280*P280)</f>
        <v/>
      </c>
      <c r="S280">
        <f>IF($Z280="","",Settings!$C$6)</f>
        <v/>
      </c>
      <c r="T280" s="7">
        <f>IF($Z280="","",SUMIFS('Per Line'!$Y$2:$Y$1001,'Per Line'!$D$2:$D$1001,$B280,'Per Line'!$AO$2:$AO$1001,1,'Per Line'!$AP$2:$AP$1001,0))</f>
        <v/>
      </c>
      <c r="U280" s="7">
        <f>IF($Z280="","",T280*S280)</f>
        <v/>
      </c>
      <c r="V280" s="7">
        <f>IF($Z280="","",U280+R280)</f>
        <v/>
      </c>
      <c r="W280" s="7">
        <f>IF($Z280="","",X280-V280)</f>
        <v/>
      </c>
      <c r="X280" s="7">
        <f>IF($Z280="","",Q280+T280+O280)</f>
        <v/>
      </c>
      <c r="Y280" s="7">
        <f>IF($Z280="","",X280-V280-N280)</f>
        <v/>
      </c>
      <c r="Z280" s="13">
        <f>IF(ROWS($Z$2:$Z280)&lt;=MAX('Per Line'!$AN$2:$AN$1001),MATCH(ROWS($Z$2:$Z280),'Per Line'!$AN$2:$AN$1001,0),"")</f>
        <v/>
      </c>
    </row>
    <row r="281">
      <c r="A281" s="12" t="n"/>
      <c r="B281">
        <f>IF($Z281="","",INDEX('Per Line'!$D$2:$D$1001,$Z281)&amp;"")</f>
        <v/>
      </c>
      <c r="C281">
        <f>IF($Z281="","",INDEX('Per Line'!$B$2:$B$1001,$Z281)&amp;"")</f>
        <v/>
      </c>
      <c r="D281">
        <f>IF($Z281="","",INDEX('Per Line'!$A$2:$A$1001,$Z281))</f>
        <v/>
      </c>
      <c r="E281">
        <f>IF($Z281="","",INDEX('Per Line'!$E$2:$E$1001,$Z281)&amp;"")</f>
        <v/>
      </c>
      <c r="F281">
        <f>IF($Z281="","",INDEX('Per Line'!$F$2:$F$1001,$Z281)&amp;"")</f>
        <v/>
      </c>
      <c r="G281" s="11">
        <f>IF($Z281="","",INDEX('Per Line'!$G$2:$G$1001,$Z281))</f>
        <v/>
      </c>
      <c r="H281">
        <f>IF($Z281="","",INDEX('Per Line'!$I$2:$I$1001,$Z281)&amp;"")</f>
        <v/>
      </c>
      <c r="I281">
        <f>IF($Z281="","",INDEX('Per Line'!$J$2:$J$1001,$Z281)&amp;"")</f>
        <v/>
      </c>
      <c r="J281">
        <f>IF($Z281="","",INDEX('Per Line'!$K$2:$K$1001,$Z281)&amp;"")</f>
        <v/>
      </c>
      <c r="K281">
        <f>IF($Z281="","",INDEX('Per Line'!$L$2:$L$1001,$Z281)&amp;"")</f>
        <v/>
      </c>
      <c r="L281">
        <f>IF($Z281="","",INDEX('Per Line'!$M$2:$M$1001,$Z281)&amp;"")</f>
        <v/>
      </c>
      <c r="M281">
        <f>IF($Z281="","",INDEX('Per Line'!$P$2:$P$1001,$Z281))</f>
        <v/>
      </c>
      <c r="N281" s="7">
        <f>IF($Z281="","",M281*X281/100)</f>
        <v/>
      </c>
      <c r="O281" s="7">
        <f>IF($Z281="","",SUMIFS('Per Line'!$Y$2:$Y$1001,'Per Line'!$D$2:$D$1001,$B281,'Per Line'!$AP$2:$AP$1001,1))</f>
        <v/>
      </c>
      <c r="P281">
        <f>IF($Z281="","",Settings!$C$7)</f>
        <v/>
      </c>
      <c r="Q281" s="7">
        <f>IF($Z281="","",SUMIFS('Per Line'!$Y$2:$Y$1001,'Per Line'!$D$2:$D$1001,$B281,'Per Line'!$AO$2:$AO$1001,0,'Per Line'!$AP$2:$AP$1001,0))</f>
        <v/>
      </c>
      <c r="R281" s="7">
        <f>IF($Z281="","",Q281*P281)</f>
        <v/>
      </c>
      <c r="S281">
        <f>IF($Z281="","",Settings!$C$6)</f>
        <v/>
      </c>
      <c r="T281" s="7">
        <f>IF($Z281="","",SUMIFS('Per Line'!$Y$2:$Y$1001,'Per Line'!$D$2:$D$1001,$B281,'Per Line'!$AO$2:$AO$1001,1,'Per Line'!$AP$2:$AP$1001,0))</f>
        <v/>
      </c>
      <c r="U281" s="7">
        <f>IF($Z281="","",T281*S281)</f>
        <v/>
      </c>
      <c r="V281" s="7">
        <f>IF($Z281="","",U281+R281)</f>
        <v/>
      </c>
      <c r="W281" s="7">
        <f>IF($Z281="","",X281-V281)</f>
        <v/>
      </c>
      <c r="X281" s="7">
        <f>IF($Z281="","",Q281+T281+O281)</f>
        <v/>
      </c>
      <c r="Y281" s="7">
        <f>IF($Z281="","",X281-V281-N281)</f>
        <v/>
      </c>
      <c r="Z281" s="13">
        <f>IF(ROWS($Z$2:$Z281)&lt;=MAX('Per Line'!$AN$2:$AN$1001),MATCH(ROWS($Z$2:$Z281),'Per Line'!$AN$2:$AN$1001,0),"")</f>
        <v/>
      </c>
    </row>
    <row r="282">
      <c r="A282" s="12" t="n"/>
      <c r="B282">
        <f>IF($Z282="","",INDEX('Per Line'!$D$2:$D$1001,$Z282)&amp;"")</f>
        <v/>
      </c>
      <c r="C282">
        <f>IF($Z282="","",INDEX('Per Line'!$B$2:$B$1001,$Z282)&amp;"")</f>
        <v/>
      </c>
      <c r="D282">
        <f>IF($Z282="","",INDEX('Per Line'!$A$2:$A$1001,$Z282))</f>
        <v/>
      </c>
      <c r="E282">
        <f>IF($Z282="","",INDEX('Per Line'!$E$2:$E$1001,$Z282)&amp;"")</f>
        <v/>
      </c>
      <c r="F282">
        <f>IF($Z282="","",INDEX('Per Line'!$F$2:$F$1001,$Z282)&amp;"")</f>
        <v/>
      </c>
      <c r="G282" s="11">
        <f>IF($Z282="","",INDEX('Per Line'!$G$2:$G$1001,$Z282))</f>
        <v/>
      </c>
      <c r="H282">
        <f>IF($Z282="","",INDEX('Per Line'!$I$2:$I$1001,$Z282)&amp;"")</f>
        <v/>
      </c>
      <c r="I282">
        <f>IF($Z282="","",INDEX('Per Line'!$J$2:$J$1001,$Z282)&amp;"")</f>
        <v/>
      </c>
      <c r="J282">
        <f>IF($Z282="","",INDEX('Per Line'!$K$2:$K$1001,$Z282)&amp;"")</f>
        <v/>
      </c>
      <c r="K282">
        <f>IF($Z282="","",INDEX('Per Line'!$L$2:$L$1001,$Z282)&amp;"")</f>
        <v/>
      </c>
      <c r="L282">
        <f>IF($Z282="","",INDEX('Per Line'!$M$2:$M$1001,$Z282)&amp;"")</f>
        <v/>
      </c>
      <c r="M282">
        <f>IF($Z282="","",INDEX('Per Line'!$P$2:$P$1001,$Z282))</f>
        <v/>
      </c>
      <c r="N282" s="7">
        <f>IF($Z282="","",M282*X282/100)</f>
        <v/>
      </c>
      <c r="O282" s="7">
        <f>IF($Z282="","",SUMIFS('Per Line'!$Y$2:$Y$1001,'Per Line'!$D$2:$D$1001,$B282,'Per Line'!$AP$2:$AP$1001,1))</f>
        <v/>
      </c>
      <c r="P282">
        <f>IF($Z282="","",Settings!$C$7)</f>
        <v/>
      </c>
      <c r="Q282" s="7">
        <f>IF($Z282="","",SUMIFS('Per Line'!$Y$2:$Y$1001,'Per Line'!$D$2:$D$1001,$B282,'Per Line'!$AO$2:$AO$1001,0,'Per Line'!$AP$2:$AP$1001,0))</f>
        <v/>
      </c>
      <c r="R282" s="7">
        <f>IF($Z282="","",Q282*P282)</f>
        <v/>
      </c>
      <c r="S282">
        <f>IF($Z282="","",Settings!$C$6)</f>
        <v/>
      </c>
      <c r="T282" s="7">
        <f>IF($Z282="","",SUMIFS('Per Line'!$Y$2:$Y$1001,'Per Line'!$D$2:$D$1001,$B282,'Per Line'!$AO$2:$AO$1001,1,'Per Line'!$AP$2:$AP$1001,0))</f>
        <v/>
      </c>
      <c r="U282" s="7">
        <f>IF($Z282="","",T282*S282)</f>
        <v/>
      </c>
      <c r="V282" s="7">
        <f>IF($Z282="","",U282+R282)</f>
        <v/>
      </c>
      <c r="W282" s="7">
        <f>IF($Z282="","",X282-V282)</f>
        <v/>
      </c>
      <c r="X282" s="7">
        <f>IF($Z282="","",Q282+T282+O282)</f>
        <v/>
      </c>
      <c r="Y282" s="7">
        <f>IF($Z282="","",X282-V282-N282)</f>
        <v/>
      </c>
      <c r="Z282" s="13">
        <f>IF(ROWS($Z$2:$Z282)&lt;=MAX('Per Line'!$AN$2:$AN$1001),MATCH(ROWS($Z$2:$Z282),'Per Line'!$AN$2:$AN$1001,0),"")</f>
        <v/>
      </c>
    </row>
    <row r="283">
      <c r="A283" s="12" t="n"/>
      <c r="B283">
        <f>IF($Z283="","",INDEX('Per Line'!$D$2:$D$1001,$Z283)&amp;"")</f>
        <v/>
      </c>
      <c r="C283">
        <f>IF($Z283="","",INDEX('Per Line'!$B$2:$B$1001,$Z283)&amp;"")</f>
        <v/>
      </c>
      <c r="D283">
        <f>IF($Z283="","",INDEX('Per Line'!$A$2:$A$1001,$Z283))</f>
        <v/>
      </c>
      <c r="E283">
        <f>IF($Z283="","",INDEX('Per Line'!$E$2:$E$1001,$Z283)&amp;"")</f>
        <v/>
      </c>
      <c r="F283">
        <f>IF($Z283="","",INDEX('Per Line'!$F$2:$F$1001,$Z283)&amp;"")</f>
        <v/>
      </c>
      <c r="G283" s="11">
        <f>IF($Z283="","",INDEX('Per Line'!$G$2:$G$1001,$Z283))</f>
        <v/>
      </c>
      <c r="H283">
        <f>IF($Z283="","",INDEX('Per Line'!$I$2:$I$1001,$Z283)&amp;"")</f>
        <v/>
      </c>
      <c r="I283">
        <f>IF($Z283="","",INDEX('Per Line'!$J$2:$J$1001,$Z283)&amp;"")</f>
        <v/>
      </c>
      <c r="J283">
        <f>IF($Z283="","",INDEX('Per Line'!$K$2:$K$1001,$Z283)&amp;"")</f>
        <v/>
      </c>
      <c r="K283">
        <f>IF($Z283="","",INDEX('Per Line'!$L$2:$L$1001,$Z283)&amp;"")</f>
        <v/>
      </c>
      <c r="L283">
        <f>IF($Z283="","",INDEX('Per Line'!$M$2:$M$1001,$Z283)&amp;"")</f>
        <v/>
      </c>
      <c r="M283">
        <f>IF($Z283="","",INDEX('Per Line'!$P$2:$P$1001,$Z283))</f>
        <v/>
      </c>
      <c r="N283" s="7">
        <f>IF($Z283="","",M283*X283/100)</f>
        <v/>
      </c>
      <c r="O283" s="7">
        <f>IF($Z283="","",SUMIFS('Per Line'!$Y$2:$Y$1001,'Per Line'!$D$2:$D$1001,$B283,'Per Line'!$AP$2:$AP$1001,1))</f>
        <v/>
      </c>
      <c r="P283">
        <f>IF($Z283="","",Settings!$C$7)</f>
        <v/>
      </c>
      <c r="Q283" s="7">
        <f>IF($Z283="","",SUMIFS('Per Line'!$Y$2:$Y$1001,'Per Line'!$D$2:$D$1001,$B283,'Per Line'!$AO$2:$AO$1001,0,'Per Line'!$AP$2:$AP$1001,0))</f>
        <v/>
      </c>
      <c r="R283" s="7">
        <f>IF($Z283="","",Q283*P283)</f>
        <v/>
      </c>
      <c r="S283">
        <f>IF($Z283="","",Settings!$C$6)</f>
        <v/>
      </c>
      <c r="T283" s="7">
        <f>IF($Z283="","",SUMIFS('Per Line'!$Y$2:$Y$1001,'Per Line'!$D$2:$D$1001,$B283,'Per Line'!$AO$2:$AO$1001,1,'Per Line'!$AP$2:$AP$1001,0))</f>
        <v/>
      </c>
      <c r="U283" s="7">
        <f>IF($Z283="","",T283*S283)</f>
        <v/>
      </c>
      <c r="V283" s="7">
        <f>IF($Z283="","",U283+R283)</f>
        <v/>
      </c>
      <c r="W283" s="7">
        <f>IF($Z283="","",X283-V283)</f>
        <v/>
      </c>
      <c r="X283" s="7">
        <f>IF($Z283="","",Q283+T283+O283)</f>
        <v/>
      </c>
      <c r="Y283" s="7">
        <f>IF($Z283="","",X283-V283-N283)</f>
        <v/>
      </c>
      <c r="Z283" s="13">
        <f>IF(ROWS($Z$2:$Z283)&lt;=MAX('Per Line'!$AN$2:$AN$1001),MATCH(ROWS($Z$2:$Z283),'Per Line'!$AN$2:$AN$1001,0),"")</f>
        <v/>
      </c>
    </row>
    <row r="284">
      <c r="A284" s="12" t="n"/>
      <c r="B284">
        <f>IF($Z284="","",INDEX('Per Line'!$D$2:$D$1001,$Z284)&amp;"")</f>
        <v/>
      </c>
      <c r="C284">
        <f>IF($Z284="","",INDEX('Per Line'!$B$2:$B$1001,$Z284)&amp;"")</f>
        <v/>
      </c>
      <c r="D284">
        <f>IF($Z284="","",INDEX('Per Line'!$A$2:$A$1001,$Z284))</f>
        <v/>
      </c>
      <c r="E284">
        <f>IF($Z284="","",INDEX('Per Line'!$E$2:$E$1001,$Z284)&amp;"")</f>
        <v/>
      </c>
      <c r="F284">
        <f>IF($Z284="","",INDEX('Per Line'!$F$2:$F$1001,$Z284)&amp;"")</f>
        <v/>
      </c>
      <c r="G284" s="11">
        <f>IF($Z284="","",INDEX('Per Line'!$G$2:$G$1001,$Z284))</f>
        <v/>
      </c>
      <c r="H284">
        <f>IF($Z284="","",INDEX('Per Line'!$I$2:$I$1001,$Z284)&amp;"")</f>
        <v/>
      </c>
      <c r="I284">
        <f>IF($Z284="","",INDEX('Per Line'!$J$2:$J$1001,$Z284)&amp;"")</f>
        <v/>
      </c>
      <c r="J284">
        <f>IF($Z284="","",INDEX('Per Line'!$K$2:$K$1001,$Z284)&amp;"")</f>
        <v/>
      </c>
      <c r="K284">
        <f>IF($Z284="","",INDEX('Per Line'!$L$2:$L$1001,$Z284)&amp;"")</f>
        <v/>
      </c>
      <c r="L284">
        <f>IF($Z284="","",INDEX('Per Line'!$M$2:$M$1001,$Z284)&amp;"")</f>
        <v/>
      </c>
      <c r="M284">
        <f>IF($Z284="","",INDEX('Per Line'!$P$2:$P$1001,$Z284))</f>
        <v/>
      </c>
      <c r="N284" s="7">
        <f>IF($Z284="","",M284*X284/100)</f>
        <v/>
      </c>
      <c r="O284" s="7">
        <f>IF($Z284="","",SUMIFS('Per Line'!$Y$2:$Y$1001,'Per Line'!$D$2:$D$1001,$B284,'Per Line'!$AP$2:$AP$1001,1))</f>
        <v/>
      </c>
      <c r="P284">
        <f>IF($Z284="","",Settings!$C$7)</f>
        <v/>
      </c>
      <c r="Q284" s="7">
        <f>IF($Z284="","",SUMIFS('Per Line'!$Y$2:$Y$1001,'Per Line'!$D$2:$D$1001,$B284,'Per Line'!$AO$2:$AO$1001,0,'Per Line'!$AP$2:$AP$1001,0))</f>
        <v/>
      </c>
      <c r="R284" s="7">
        <f>IF($Z284="","",Q284*P284)</f>
        <v/>
      </c>
      <c r="S284">
        <f>IF($Z284="","",Settings!$C$6)</f>
        <v/>
      </c>
      <c r="T284" s="7">
        <f>IF($Z284="","",SUMIFS('Per Line'!$Y$2:$Y$1001,'Per Line'!$D$2:$D$1001,$B284,'Per Line'!$AO$2:$AO$1001,1,'Per Line'!$AP$2:$AP$1001,0))</f>
        <v/>
      </c>
      <c r="U284" s="7">
        <f>IF($Z284="","",T284*S284)</f>
        <v/>
      </c>
      <c r="V284" s="7">
        <f>IF($Z284="","",U284+R284)</f>
        <v/>
      </c>
      <c r="W284" s="7">
        <f>IF($Z284="","",X284-V284)</f>
        <v/>
      </c>
      <c r="X284" s="7">
        <f>IF($Z284="","",Q284+T284+O284)</f>
        <v/>
      </c>
      <c r="Y284" s="7">
        <f>IF($Z284="","",X284-V284-N284)</f>
        <v/>
      </c>
      <c r="Z284" s="13">
        <f>IF(ROWS($Z$2:$Z284)&lt;=MAX('Per Line'!$AN$2:$AN$1001),MATCH(ROWS($Z$2:$Z284),'Per Line'!$AN$2:$AN$1001,0),"")</f>
        <v/>
      </c>
    </row>
    <row r="285">
      <c r="A285" s="12" t="n"/>
      <c r="B285">
        <f>IF($Z285="","",INDEX('Per Line'!$D$2:$D$1001,$Z285)&amp;"")</f>
        <v/>
      </c>
      <c r="C285">
        <f>IF($Z285="","",INDEX('Per Line'!$B$2:$B$1001,$Z285)&amp;"")</f>
        <v/>
      </c>
      <c r="D285">
        <f>IF($Z285="","",INDEX('Per Line'!$A$2:$A$1001,$Z285))</f>
        <v/>
      </c>
      <c r="E285">
        <f>IF($Z285="","",INDEX('Per Line'!$E$2:$E$1001,$Z285)&amp;"")</f>
        <v/>
      </c>
      <c r="F285">
        <f>IF($Z285="","",INDEX('Per Line'!$F$2:$F$1001,$Z285)&amp;"")</f>
        <v/>
      </c>
      <c r="G285" s="11">
        <f>IF($Z285="","",INDEX('Per Line'!$G$2:$G$1001,$Z285))</f>
        <v/>
      </c>
      <c r="H285">
        <f>IF($Z285="","",INDEX('Per Line'!$I$2:$I$1001,$Z285)&amp;"")</f>
        <v/>
      </c>
      <c r="I285">
        <f>IF($Z285="","",INDEX('Per Line'!$J$2:$J$1001,$Z285)&amp;"")</f>
        <v/>
      </c>
      <c r="J285">
        <f>IF($Z285="","",INDEX('Per Line'!$K$2:$K$1001,$Z285)&amp;"")</f>
        <v/>
      </c>
      <c r="K285">
        <f>IF($Z285="","",INDEX('Per Line'!$L$2:$L$1001,$Z285)&amp;"")</f>
        <v/>
      </c>
      <c r="L285">
        <f>IF($Z285="","",INDEX('Per Line'!$M$2:$M$1001,$Z285)&amp;"")</f>
        <v/>
      </c>
      <c r="M285">
        <f>IF($Z285="","",INDEX('Per Line'!$P$2:$P$1001,$Z285))</f>
        <v/>
      </c>
      <c r="N285" s="7">
        <f>IF($Z285="","",M285*X285/100)</f>
        <v/>
      </c>
      <c r="O285" s="7">
        <f>IF($Z285="","",SUMIFS('Per Line'!$Y$2:$Y$1001,'Per Line'!$D$2:$D$1001,$B285,'Per Line'!$AP$2:$AP$1001,1))</f>
        <v/>
      </c>
      <c r="P285">
        <f>IF($Z285="","",Settings!$C$7)</f>
        <v/>
      </c>
      <c r="Q285" s="7">
        <f>IF($Z285="","",SUMIFS('Per Line'!$Y$2:$Y$1001,'Per Line'!$D$2:$D$1001,$B285,'Per Line'!$AO$2:$AO$1001,0,'Per Line'!$AP$2:$AP$1001,0))</f>
        <v/>
      </c>
      <c r="R285" s="7">
        <f>IF($Z285="","",Q285*P285)</f>
        <v/>
      </c>
      <c r="S285">
        <f>IF($Z285="","",Settings!$C$6)</f>
        <v/>
      </c>
      <c r="T285" s="7">
        <f>IF($Z285="","",SUMIFS('Per Line'!$Y$2:$Y$1001,'Per Line'!$D$2:$D$1001,$B285,'Per Line'!$AO$2:$AO$1001,1,'Per Line'!$AP$2:$AP$1001,0))</f>
        <v/>
      </c>
      <c r="U285" s="7">
        <f>IF($Z285="","",T285*S285)</f>
        <v/>
      </c>
      <c r="V285" s="7">
        <f>IF($Z285="","",U285+R285)</f>
        <v/>
      </c>
      <c r="W285" s="7">
        <f>IF($Z285="","",X285-V285)</f>
        <v/>
      </c>
      <c r="X285" s="7">
        <f>IF($Z285="","",Q285+T285+O285)</f>
        <v/>
      </c>
      <c r="Y285" s="7">
        <f>IF($Z285="","",X285-V285-N285)</f>
        <v/>
      </c>
      <c r="Z285" s="13">
        <f>IF(ROWS($Z$2:$Z285)&lt;=MAX('Per Line'!$AN$2:$AN$1001),MATCH(ROWS($Z$2:$Z285),'Per Line'!$AN$2:$AN$1001,0),"")</f>
        <v/>
      </c>
    </row>
    <row r="286">
      <c r="A286" s="12" t="n"/>
      <c r="B286">
        <f>IF($Z286="","",INDEX('Per Line'!$D$2:$D$1001,$Z286)&amp;"")</f>
        <v/>
      </c>
      <c r="C286">
        <f>IF($Z286="","",INDEX('Per Line'!$B$2:$B$1001,$Z286)&amp;"")</f>
        <v/>
      </c>
      <c r="D286">
        <f>IF($Z286="","",INDEX('Per Line'!$A$2:$A$1001,$Z286))</f>
        <v/>
      </c>
      <c r="E286">
        <f>IF($Z286="","",INDEX('Per Line'!$E$2:$E$1001,$Z286)&amp;"")</f>
        <v/>
      </c>
      <c r="F286">
        <f>IF($Z286="","",INDEX('Per Line'!$F$2:$F$1001,$Z286)&amp;"")</f>
        <v/>
      </c>
      <c r="G286" s="11">
        <f>IF($Z286="","",INDEX('Per Line'!$G$2:$G$1001,$Z286))</f>
        <v/>
      </c>
      <c r="H286">
        <f>IF($Z286="","",INDEX('Per Line'!$I$2:$I$1001,$Z286)&amp;"")</f>
        <v/>
      </c>
      <c r="I286">
        <f>IF($Z286="","",INDEX('Per Line'!$J$2:$J$1001,$Z286)&amp;"")</f>
        <v/>
      </c>
      <c r="J286">
        <f>IF($Z286="","",INDEX('Per Line'!$K$2:$K$1001,$Z286)&amp;"")</f>
        <v/>
      </c>
      <c r="K286">
        <f>IF($Z286="","",INDEX('Per Line'!$L$2:$L$1001,$Z286)&amp;"")</f>
        <v/>
      </c>
      <c r="L286">
        <f>IF($Z286="","",INDEX('Per Line'!$M$2:$M$1001,$Z286)&amp;"")</f>
        <v/>
      </c>
      <c r="M286">
        <f>IF($Z286="","",INDEX('Per Line'!$P$2:$P$1001,$Z286))</f>
        <v/>
      </c>
      <c r="N286" s="7">
        <f>IF($Z286="","",M286*X286/100)</f>
        <v/>
      </c>
      <c r="O286" s="7">
        <f>IF($Z286="","",SUMIFS('Per Line'!$Y$2:$Y$1001,'Per Line'!$D$2:$D$1001,$B286,'Per Line'!$AP$2:$AP$1001,1))</f>
        <v/>
      </c>
      <c r="P286">
        <f>IF($Z286="","",Settings!$C$7)</f>
        <v/>
      </c>
      <c r="Q286" s="7">
        <f>IF($Z286="","",SUMIFS('Per Line'!$Y$2:$Y$1001,'Per Line'!$D$2:$D$1001,$B286,'Per Line'!$AO$2:$AO$1001,0,'Per Line'!$AP$2:$AP$1001,0))</f>
        <v/>
      </c>
      <c r="R286" s="7">
        <f>IF($Z286="","",Q286*P286)</f>
        <v/>
      </c>
      <c r="S286">
        <f>IF($Z286="","",Settings!$C$6)</f>
        <v/>
      </c>
      <c r="T286" s="7">
        <f>IF($Z286="","",SUMIFS('Per Line'!$Y$2:$Y$1001,'Per Line'!$D$2:$D$1001,$B286,'Per Line'!$AO$2:$AO$1001,1,'Per Line'!$AP$2:$AP$1001,0))</f>
        <v/>
      </c>
      <c r="U286" s="7">
        <f>IF($Z286="","",T286*S286)</f>
        <v/>
      </c>
      <c r="V286" s="7">
        <f>IF($Z286="","",U286+R286)</f>
        <v/>
      </c>
      <c r="W286" s="7">
        <f>IF($Z286="","",X286-V286)</f>
        <v/>
      </c>
      <c r="X286" s="7">
        <f>IF($Z286="","",Q286+T286+O286)</f>
        <v/>
      </c>
      <c r="Y286" s="7">
        <f>IF($Z286="","",X286-V286-N286)</f>
        <v/>
      </c>
      <c r="Z286" s="13">
        <f>IF(ROWS($Z$2:$Z286)&lt;=MAX('Per Line'!$AN$2:$AN$1001),MATCH(ROWS($Z$2:$Z286),'Per Line'!$AN$2:$AN$1001,0),"")</f>
        <v/>
      </c>
    </row>
    <row r="287">
      <c r="A287" s="12" t="n"/>
      <c r="B287">
        <f>IF($Z287="","",INDEX('Per Line'!$D$2:$D$1001,$Z287)&amp;"")</f>
        <v/>
      </c>
      <c r="C287">
        <f>IF($Z287="","",INDEX('Per Line'!$B$2:$B$1001,$Z287)&amp;"")</f>
        <v/>
      </c>
      <c r="D287">
        <f>IF($Z287="","",INDEX('Per Line'!$A$2:$A$1001,$Z287))</f>
        <v/>
      </c>
      <c r="E287">
        <f>IF($Z287="","",INDEX('Per Line'!$E$2:$E$1001,$Z287)&amp;"")</f>
        <v/>
      </c>
      <c r="F287">
        <f>IF($Z287="","",INDEX('Per Line'!$F$2:$F$1001,$Z287)&amp;"")</f>
        <v/>
      </c>
      <c r="G287" s="11">
        <f>IF($Z287="","",INDEX('Per Line'!$G$2:$G$1001,$Z287))</f>
        <v/>
      </c>
      <c r="H287">
        <f>IF($Z287="","",INDEX('Per Line'!$I$2:$I$1001,$Z287)&amp;"")</f>
        <v/>
      </c>
      <c r="I287">
        <f>IF($Z287="","",INDEX('Per Line'!$J$2:$J$1001,$Z287)&amp;"")</f>
        <v/>
      </c>
      <c r="J287">
        <f>IF($Z287="","",INDEX('Per Line'!$K$2:$K$1001,$Z287)&amp;"")</f>
        <v/>
      </c>
      <c r="K287">
        <f>IF($Z287="","",INDEX('Per Line'!$L$2:$L$1001,$Z287)&amp;"")</f>
        <v/>
      </c>
      <c r="L287">
        <f>IF($Z287="","",INDEX('Per Line'!$M$2:$M$1001,$Z287)&amp;"")</f>
        <v/>
      </c>
      <c r="M287">
        <f>IF($Z287="","",INDEX('Per Line'!$P$2:$P$1001,$Z287))</f>
        <v/>
      </c>
      <c r="N287" s="7">
        <f>IF($Z287="","",M287*X287/100)</f>
        <v/>
      </c>
      <c r="O287" s="7">
        <f>IF($Z287="","",SUMIFS('Per Line'!$Y$2:$Y$1001,'Per Line'!$D$2:$D$1001,$B287,'Per Line'!$AP$2:$AP$1001,1))</f>
        <v/>
      </c>
      <c r="P287">
        <f>IF($Z287="","",Settings!$C$7)</f>
        <v/>
      </c>
      <c r="Q287" s="7">
        <f>IF($Z287="","",SUMIFS('Per Line'!$Y$2:$Y$1001,'Per Line'!$D$2:$D$1001,$B287,'Per Line'!$AO$2:$AO$1001,0,'Per Line'!$AP$2:$AP$1001,0))</f>
        <v/>
      </c>
      <c r="R287" s="7">
        <f>IF($Z287="","",Q287*P287)</f>
        <v/>
      </c>
      <c r="S287">
        <f>IF($Z287="","",Settings!$C$6)</f>
        <v/>
      </c>
      <c r="T287" s="7">
        <f>IF($Z287="","",SUMIFS('Per Line'!$Y$2:$Y$1001,'Per Line'!$D$2:$D$1001,$B287,'Per Line'!$AO$2:$AO$1001,1,'Per Line'!$AP$2:$AP$1001,0))</f>
        <v/>
      </c>
      <c r="U287" s="7">
        <f>IF($Z287="","",T287*S287)</f>
        <v/>
      </c>
      <c r="V287" s="7">
        <f>IF($Z287="","",U287+R287)</f>
        <v/>
      </c>
      <c r="W287" s="7">
        <f>IF($Z287="","",X287-V287)</f>
        <v/>
      </c>
      <c r="X287" s="7">
        <f>IF($Z287="","",Q287+T287+O287)</f>
        <v/>
      </c>
      <c r="Y287" s="7">
        <f>IF($Z287="","",X287-V287-N287)</f>
        <v/>
      </c>
      <c r="Z287" s="13">
        <f>IF(ROWS($Z$2:$Z287)&lt;=MAX('Per Line'!$AN$2:$AN$1001),MATCH(ROWS($Z$2:$Z287),'Per Line'!$AN$2:$AN$1001,0),"")</f>
        <v/>
      </c>
    </row>
    <row r="288">
      <c r="A288" s="12" t="n"/>
      <c r="B288">
        <f>IF($Z288="","",INDEX('Per Line'!$D$2:$D$1001,$Z288)&amp;"")</f>
        <v/>
      </c>
      <c r="C288">
        <f>IF($Z288="","",INDEX('Per Line'!$B$2:$B$1001,$Z288)&amp;"")</f>
        <v/>
      </c>
      <c r="D288">
        <f>IF($Z288="","",INDEX('Per Line'!$A$2:$A$1001,$Z288))</f>
        <v/>
      </c>
      <c r="E288">
        <f>IF($Z288="","",INDEX('Per Line'!$E$2:$E$1001,$Z288)&amp;"")</f>
        <v/>
      </c>
      <c r="F288">
        <f>IF($Z288="","",INDEX('Per Line'!$F$2:$F$1001,$Z288)&amp;"")</f>
        <v/>
      </c>
      <c r="G288" s="11">
        <f>IF($Z288="","",INDEX('Per Line'!$G$2:$G$1001,$Z288))</f>
        <v/>
      </c>
      <c r="H288">
        <f>IF($Z288="","",INDEX('Per Line'!$I$2:$I$1001,$Z288)&amp;"")</f>
        <v/>
      </c>
      <c r="I288">
        <f>IF($Z288="","",INDEX('Per Line'!$J$2:$J$1001,$Z288)&amp;"")</f>
        <v/>
      </c>
      <c r="J288">
        <f>IF($Z288="","",INDEX('Per Line'!$K$2:$K$1001,$Z288)&amp;"")</f>
        <v/>
      </c>
      <c r="K288">
        <f>IF($Z288="","",INDEX('Per Line'!$L$2:$L$1001,$Z288)&amp;"")</f>
        <v/>
      </c>
      <c r="L288">
        <f>IF($Z288="","",INDEX('Per Line'!$M$2:$M$1001,$Z288)&amp;"")</f>
        <v/>
      </c>
      <c r="M288">
        <f>IF($Z288="","",INDEX('Per Line'!$P$2:$P$1001,$Z288))</f>
        <v/>
      </c>
      <c r="N288" s="7">
        <f>IF($Z288="","",M288*X288/100)</f>
        <v/>
      </c>
      <c r="O288" s="7">
        <f>IF($Z288="","",SUMIFS('Per Line'!$Y$2:$Y$1001,'Per Line'!$D$2:$D$1001,$B288,'Per Line'!$AP$2:$AP$1001,1))</f>
        <v/>
      </c>
      <c r="P288">
        <f>IF($Z288="","",Settings!$C$7)</f>
        <v/>
      </c>
      <c r="Q288" s="7">
        <f>IF($Z288="","",SUMIFS('Per Line'!$Y$2:$Y$1001,'Per Line'!$D$2:$D$1001,$B288,'Per Line'!$AO$2:$AO$1001,0,'Per Line'!$AP$2:$AP$1001,0))</f>
        <v/>
      </c>
      <c r="R288" s="7">
        <f>IF($Z288="","",Q288*P288)</f>
        <v/>
      </c>
      <c r="S288">
        <f>IF($Z288="","",Settings!$C$6)</f>
        <v/>
      </c>
      <c r="T288" s="7">
        <f>IF($Z288="","",SUMIFS('Per Line'!$Y$2:$Y$1001,'Per Line'!$D$2:$D$1001,$B288,'Per Line'!$AO$2:$AO$1001,1,'Per Line'!$AP$2:$AP$1001,0))</f>
        <v/>
      </c>
      <c r="U288" s="7">
        <f>IF($Z288="","",T288*S288)</f>
        <v/>
      </c>
      <c r="V288" s="7">
        <f>IF($Z288="","",U288+R288)</f>
        <v/>
      </c>
      <c r="W288" s="7">
        <f>IF($Z288="","",X288-V288)</f>
        <v/>
      </c>
      <c r="X288" s="7">
        <f>IF($Z288="","",Q288+T288+O288)</f>
        <v/>
      </c>
      <c r="Y288" s="7">
        <f>IF($Z288="","",X288-V288-N288)</f>
        <v/>
      </c>
      <c r="Z288" s="13">
        <f>IF(ROWS($Z$2:$Z288)&lt;=MAX('Per Line'!$AN$2:$AN$1001),MATCH(ROWS($Z$2:$Z288),'Per Line'!$AN$2:$AN$1001,0),"")</f>
        <v/>
      </c>
    </row>
    <row r="289">
      <c r="A289" s="12" t="n"/>
      <c r="B289">
        <f>IF($Z289="","",INDEX('Per Line'!$D$2:$D$1001,$Z289)&amp;"")</f>
        <v/>
      </c>
      <c r="C289">
        <f>IF($Z289="","",INDEX('Per Line'!$B$2:$B$1001,$Z289)&amp;"")</f>
        <v/>
      </c>
      <c r="D289">
        <f>IF($Z289="","",INDEX('Per Line'!$A$2:$A$1001,$Z289))</f>
        <v/>
      </c>
      <c r="E289">
        <f>IF($Z289="","",INDEX('Per Line'!$E$2:$E$1001,$Z289)&amp;"")</f>
        <v/>
      </c>
      <c r="F289">
        <f>IF($Z289="","",INDEX('Per Line'!$F$2:$F$1001,$Z289)&amp;"")</f>
        <v/>
      </c>
      <c r="G289" s="11">
        <f>IF($Z289="","",INDEX('Per Line'!$G$2:$G$1001,$Z289))</f>
        <v/>
      </c>
      <c r="H289">
        <f>IF($Z289="","",INDEX('Per Line'!$I$2:$I$1001,$Z289)&amp;"")</f>
        <v/>
      </c>
      <c r="I289">
        <f>IF($Z289="","",INDEX('Per Line'!$J$2:$J$1001,$Z289)&amp;"")</f>
        <v/>
      </c>
      <c r="J289">
        <f>IF($Z289="","",INDEX('Per Line'!$K$2:$K$1001,$Z289)&amp;"")</f>
        <v/>
      </c>
      <c r="K289">
        <f>IF($Z289="","",INDEX('Per Line'!$L$2:$L$1001,$Z289)&amp;"")</f>
        <v/>
      </c>
      <c r="L289">
        <f>IF($Z289="","",INDEX('Per Line'!$M$2:$M$1001,$Z289)&amp;"")</f>
        <v/>
      </c>
      <c r="M289">
        <f>IF($Z289="","",INDEX('Per Line'!$P$2:$P$1001,$Z289))</f>
        <v/>
      </c>
      <c r="N289" s="7">
        <f>IF($Z289="","",M289*X289/100)</f>
        <v/>
      </c>
      <c r="O289" s="7">
        <f>IF($Z289="","",SUMIFS('Per Line'!$Y$2:$Y$1001,'Per Line'!$D$2:$D$1001,$B289,'Per Line'!$AP$2:$AP$1001,1))</f>
        <v/>
      </c>
      <c r="P289">
        <f>IF($Z289="","",Settings!$C$7)</f>
        <v/>
      </c>
      <c r="Q289" s="7">
        <f>IF($Z289="","",SUMIFS('Per Line'!$Y$2:$Y$1001,'Per Line'!$D$2:$D$1001,$B289,'Per Line'!$AO$2:$AO$1001,0,'Per Line'!$AP$2:$AP$1001,0))</f>
        <v/>
      </c>
      <c r="R289" s="7">
        <f>IF($Z289="","",Q289*P289)</f>
        <v/>
      </c>
      <c r="S289">
        <f>IF($Z289="","",Settings!$C$6)</f>
        <v/>
      </c>
      <c r="T289" s="7">
        <f>IF($Z289="","",SUMIFS('Per Line'!$Y$2:$Y$1001,'Per Line'!$D$2:$D$1001,$B289,'Per Line'!$AO$2:$AO$1001,1,'Per Line'!$AP$2:$AP$1001,0))</f>
        <v/>
      </c>
      <c r="U289" s="7">
        <f>IF($Z289="","",T289*S289)</f>
        <v/>
      </c>
      <c r="V289" s="7">
        <f>IF($Z289="","",U289+R289)</f>
        <v/>
      </c>
      <c r="W289" s="7">
        <f>IF($Z289="","",X289-V289)</f>
        <v/>
      </c>
      <c r="X289" s="7">
        <f>IF($Z289="","",Q289+T289+O289)</f>
        <v/>
      </c>
      <c r="Y289" s="7">
        <f>IF($Z289="","",X289-V289-N289)</f>
        <v/>
      </c>
      <c r="Z289" s="13">
        <f>IF(ROWS($Z$2:$Z289)&lt;=MAX('Per Line'!$AN$2:$AN$1001),MATCH(ROWS($Z$2:$Z289),'Per Line'!$AN$2:$AN$1001,0),"")</f>
        <v/>
      </c>
    </row>
    <row r="290">
      <c r="A290" s="12" t="n"/>
      <c r="B290">
        <f>IF($Z290="","",INDEX('Per Line'!$D$2:$D$1001,$Z290)&amp;"")</f>
        <v/>
      </c>
      <c r="C290">
        <f>IF($Z290="","",INDEX('Per Line'!$B$2:$B$1001,$Z290)&amp;"")</f>
        <v/>
      </c>
      <c r="D290">
        <f>IF($Z290="","",INDEX('Per Line'!$A$2:$A$1001,$Z290))</f>
        <v/>
      </c>
      <c r="E290">
        <f>IF($Z290="","",INDEX('Per Line'!$E$2:$E$1001,$Z290)&amp;"")</f>
        <v/>
      </c>
      <c r="F290">
        <f>IF($Z290="","",INDEX('Per Line'!$F$2:$F$1001,$Z290)&amp;"")</f>
        <v/>
      </c>
      <c r="G290" s="11">
        <f>IF($Z290="","",INDEX('Per Line'!$G$2:$G$1001,$Z290))</f>
        <v/>
      </c>
      <c r="H290">
        <f>IF($Z290="","",INDEX('Per Line'!$I$2:$I$1001,$Z290)&amp;"")</f>
        <v/>
      </c>
      <c r="I290">
        <f>IF($Z290="","",INDEX('Per Line'!$J$2:$J$1001,$Z290)&amp;"")</f>
        <v/>
      </c>
      <c r="J290">
        <f>IF($Z290="","",INDEX('Per Line'!$K$2:$K$1001,$Z290)&amp;"")</f>
        <v/>
      </c>
      <c r="K290">
        <f>IF($Z290="","",INDEX('Per Line'!$L$2:$L$1001,$Z290)&amp;"")</f>
        <v/>
      </c>
      <c r="L290">
        <f>IF($Z290="","",INDEX('Per Line'!$M$2:$M$1001,$Z290)&amp;"")</f>
        <v/>
      </c>
      <c r="M290">
        <f>IF($Z290="","",INDEX('Per Line'!$P$2:$P$1001,$Z290))</f>
        <v/>
      </c>
      <c r="N290" s="7">
        <f>IF($Z290="","",M290*X290/100)</f>
        <v/>
      </c>
      <c r="O290" s="7">
        <f>IF($Z290="","",SUMIFS('Per Line'!$Y$2:$Y$1001,'Per Line'!$D$2:$D$1001,$B290,'Per Line'!$AP$2:$AP$1001,1))</f>
        <v/>
      </c>
      <c r="P290">
        <f>IF($Z290="","",Settings!$C$7)</f>
        <v/>
      </c>
      <c r="Q290" s="7">
        <f>IF($Z290="","",SUMIFS('Per Line'!$Y$2:$Y$1001,'Per Line'!$D$2:$D$1001,$B290,'Per Line'!$AO$2:$AO$1001,0,'Per Line'!$AP$2:$AP$1001,0))</f>
        <v/>
      </c>
      <c r="R290" s="7">
        <f>IF($Z290="","",Q290*P290)</f>
        <v/>
      </c>
      <c r="S290">
        <f>IF($Z290="","",Settings!$C$6)</f>
        <v/>
      </c>
      <c r="T290" s="7">
        <f>IF($Z290="","",SUMIFS('Per Line'!$Y$2:$Y$1001,'Per Line'!$D$2:$D$1001,$B290,'Per Line'!$AO$2:$AO$1001,1,'Per Line'!$AP$2:$AP$1001,0))</f>
        <v/>
      </c>
      <c r="U290" s="7">
        <f>IF($Z290="","",T290*S290)</f>
        <v/>
      </c>
      <c r="V290" s="7">
        <f>IF($Z290="","",U290+R290)</f>
        <v/>
      </c>
      <c r="W290" s="7">
        <f>IF($Z290="","",X290-V290)</f>
        <v/>
      </c>
      <c r="X290" s="7">
        <f>IF($Z290="","",Q290+T290+O290)</f>
        <v/>
      </c>
      <c r="Y290" s="7">
        <f>IF($Z290="","",X290-V290-N290)</f>
        <v/>
      </c>
      <c r="Z290" s="13">
        <f>IF(ROWS($Z$2:$Z290)&lt;=MAX('Per Line'!$AN$2:$AN$1001),MATCH(ROWS($Z$2:$Z290),'Per Line'!$AN$2:$AN$1001,0),"")</f>
        <v/>
      </c>
    </row>
    <row r="291">
      <c r="A291" s="12" t="n"/>
      <c r="B291">
        <f>IF($Z291="","",INDEX('Per Line'!$D$2:$D$1001,$Z291)&amp;"")</f>
        <v/>
      </c>
      <c r="C291">
        <f>IF($Z291="","",INDEX('Per Line'!$B$2:$B$1001,$Z291)&amp;"")</f>
        <v/>
      </c>
      <c r="D291">
        <f>IF($Z291="","",INDEX('Per Line'!$A$2:$A$1001,$Z291))</f>
        <v/>
      </c>
      <c r="E291">
        <f>IF($Z291="","",INDEX('Per Line'!$E$2:$E$1001,$Z291)&amp;"")</f>
        <v/>
      </c>
      <c r="F291">
        <f>IF($Z291="","",INDEX('Per Line'!$F$2:$F$1001,$Z291)&amp;"")</f>
        <v/>
      </c>
      <c r="G291" s="11">
        <f>IF($Z291="","",INDEX('Per Line'!$G$2:$G$1001,$Z291))</f>
        <v/>
      </c>
      <c r="H291">
        <f>IF($Z291="","",INDEX('Per Line'!$I$2:$I$1001,$Z291)&amp;"")</f>
        <v/>
      </c>
      <c r="I291">
        <f>IF($Z291="","",INDEX('Per Line'!$J$2:$J$1001,$Z291)&amp;"")</f>
        <v/>
      </c>
      <c r="J291">
        <f>IF($Z291="","",INDEX('Per Line'!$K$2:$K$1001,$Z291)&amp;"")</f>
        <v/>
      </c>
      <c r="K291">
        <f>IF($Z291="","",INDEX('Per Line'!$L$2:$L$1001,$Z291)&amp;"")</f>
        <v/>
      </c>
      <c r="L291">
        <f>IF($Z291="","",INDEX('Per Line'!$M$2:$M$1001,$Z291)&amp;"")</f>
        <v/>
      </c>
      <c r="M291">
        <f>IF($Z291="","",INDEX('Per Line'!$P$2:$P$1001,$Z291))</f>
        <v/>
      </c>
      <c r="N291" s="7">
        <f>IF($Z291="","",M291*X291/100)</f>
        <v/>
      </c>
      <c r="O291" s="7">
        <f>IF($Z291="","",SUMIFS('Per Line'!$Y$2:$Y$1001,'Per Line'!$D$2:$D$1001,$B291,'Per Line'!$AP$2:$AP$1001,1))</f>
        <v/>
      </c>
      <c r="P291">
        <f>IF($Z291="","",Settings!$C$7)</f>
        <v/>
      </c>
      <c r="Q291" s="7">
        <f>IF($Z291="","",SUMIFS('Per Line'!$Y$2:$Y$1001,'Per Line'!$D$2:$D$1001,$B291,'Per Line'!$AO$2:$AO$1001,0,'Per Line'!$AP$2:$AP$1001,0))</f>
        <v/>
      </c>
      <c r="R291" s="7">
        <f>IF($Z291="","",Q291*P291)</f>
        <v/>
      </c>
      <c r="S291">
        <f>IF($Z291="","",Settings!$C$6)</f>
        <v/>
      </c>
      <c r="T291" s="7">
        <f>IF($Z291="","",SUMIFS('Per Line'!$Y$2:$Y$1001,'Per Line'!$D$2:$D$1001,$B291,'Per Line'!$AO$2:$AO$1001,1,'Per Line'!$AP$2:$AP$1001,0))</f>
        <v/>
      </c>
      <c r="U291" s="7">
        <f>IF($Z291="","",T291*S291)</f>
        <v/>
      </c>
      <c r="V291" s="7">
        <f>IF($Z291="","",U291+R291)</f>
        <v/>
      </c>
      <c r="W291" s="7">
        <f>IF($Z291="","",X291-V291)</f>
        <v/>
      </c>
      <c r="X291" s="7">
        <f>IF($Z291="","",Q291+T291+O291)</f>
        <v/>
      </c>
      <c r="Y291" s="7">
        <f>IF($Z291="","",X291-V291-N291)</f>
        <v/>
      </c>
      <c r="Z291" s="13">
        <f>IF(ROWS($Z$2:$Z291)&lt;=MAX('Per Line'!$AN$2:$AN$1001),MATCH(ROWS($Z$2:$Z291),'Per Line'!$AN$2:$AN$1001,0),"")</f>
        <v/>
      </c>
    </row>
    <row r="292">
      <c r="A292" s="12" t="n"/>
      <c r="B292">
        <f>IF($Z292="","",INDEX('Per Line'!$D$2:$D$1001,$Z292)&amp;"")</f>
        <v/>
      </c>
      <c r="C292">
        <f>IF($Z292="","",INDEX('Per Line'!$B$2:$B$1001,$Z292)&amp;"")</f>
        <v/>
      </c>
      <c r="D292">
        <f>IF($Z292="","",INDEX('Per Line'!$A$2:$A$1001,$Z292))</f>
        <v/>
      </c>
      <c r="E292">
        <f>IF($Z292="","",INDEX('Per Line'!$E$2:$E$1001,$Z292)&amp;"")</f>
        <v/>
      </c>
      <c r="F292">
        <f>IF($Z292="","",INDEX('Per Line'!$F$2:$F$1001,$Z292)&amp;"")</f>
        <v/>
      </c>
      <c r="G292" s="11">
        <f>IF($Z292="","",INDEX('Per Line'!$G$2:$G$1001,$Z292))</f>
        <v/>
      </c>
      <c r="H292">
        <f>IF($Z292="","",INDEX('Per Line'!$I$2:$I$1001,$Z292)&amp;"")</f>
        <v/>
      </c>
      <c r="I292">
        <f>IF($Z292="","",INDEX('Per Line'!$J$2:$J$1001,$Z292)&amp;"")</f>
        <v/>
      </c>
      <c r="J292">
        <f>IF($Z292="","",INDEX('Per Line'!$K$2:$K$1001,$Z292)&amp;"")</f>
        <v/>
      </c>
      <c r="K292">
        <f>IF($Z292="","",INDEX('Per Line'!$L$2:$L$1001,$Z292)&amp;"")</f>
        <v/>
      </c>
      <c r="L292">
        <f>IF($Z292="","",INDEX('Per Line'!$M$2:$M$1001,$Z292)&amp;"")</f>
        <v/>
      </c>
      <c r="M292">
        <f>IF($Z292="","",INDEX('Per Line'!$P$2:$P$1001,$Z292))</f>
        <v/>
      </c>
      <c r="N292" s="7">
        <f>IF($Z292="","",M292*X292/100)</f>
        <v/>
      </c>
      <c r="O292" s="7">
        <f>IF($Z292="","",SUMIFS('Per Line'!$Y$2:$Y$1001,'Per Line'!$D$2:$D$1001,$B292,'Per Line'!$AP$2:$AP$1001,1))</f>
        <v/>
      </c>
      <c r="P292">
        <f>IF($Z292="","",Settings!$C$7)</f>
        <v/>
      </c>
      <c r="Q292" s="7">
        <f>IF($Z292="","",SUMIFS('Per Line'!$Y$2:$Y$1001,'Per Line'!$D$2:$D$1001,$B292,'Per Line'!$AO$2:$AO$1001,0,'Per Line'!$AP$2:$AP$1001,0))</f>
        <v/>
      </c>
      <c r="R292" s="7">
        <f>IF($Z292="","",Q292*P292)</f>
        <v/>
      </c>
      <c r="S292">
        <f>IF($Z292="","",Settings!$C$6)</f>
        <v/>
      </c>
      <c r="T292" s="7">
        <f>IF($Z292="","",SUMIFS('Per Line'!$Y$2:$Y$1001,'Per Line'!$D$2:$D$1001,$B292,'Per Line'!$AO$2:$AO$1001,1,'Per Line'!$AP$2:$AP$1001,0))</f>
        <v/>
      </c>
      <c r="U292" s="7">
        <f>IF($Z292="","",T292*S292)</f>
        <v/>
      </c>
      <c r="V292" s="7">
        <f>IF($Z292="","",U292+R292)</f>
        <v/>
      </c>
      <c r="W292" s="7">
        <f>IF($Z292="","",X292-V292)</f>
        <v/>
      </c>
      <c r="X292" s="7">
        <f>IF($Z292="","",Q292+T292+O292)</f>
        <v/>
      </c>
      <c r="Y292" s="7">
        <f>IF($Z292="","",X292-V292-N292)</f>
        <v/>
      </c>
      <c r="Z292" s="13">
        <f>IF(ROWS($Z$2:$Z292)&lt;=MAX('Per Line'!$AN$2:$AN$1001),MATCH(ROWS($Z$2:$Z292),'Per Line'!$AN$2:$AN$1001,0),"")</f>
        <v/>
      </c>
    </row>
    <row r="293">
      <c r="A293" s="12" t="n"/>
      <c r="B293">
        <f>IF($Z293="","",INDEX('Per Line'!$D$2:$D$1001,$Z293)&amp;"")</f>
        <v/>
      </c>
      <c r="C293">
        <f>IF($Z293="","",INDEX('Per Line'!$B$2:$B$1001,$Z293)&amp;"")</f>
        <v/>
      </c>
      <c r="D293">
        <f>IF($Z293="","",INDEX('Per Line'!$A$2:$A$1001,$Z293))</f>
        <v/>
      </c>
      <c r="E293">
        <f>IF($Z293="","",INDEX('Per Line'!$E$2:$E$1001,$Z293)&amp;"")</f>
        <v/>
      </c>
      <c r="F293">
        <f>IF($Z293="","",INDEX('Per Line'!$F$2:$F$1001,$Z293)&amp;"")</f>
        <v/>
      </c>
      <c r="G293" s="11">
        <f>IF($Z293="","",INDEX('Per Line'!$G$2:$G$1001,$Z293))</f>
        <v/>
      </c>
      <c r="H293">
        <f>IF($Z293="","",INDEX('Per Line'!$I$2:$I$1001,$Z293)&amp;"")</f>
        <v/>
      </c>
      <c r="I293">
        <f>IF($Z293="","",INDEX('Per Line'!$J$2:$J$1001,$Z293)&amp;"")</f>
        <v/>
      </c>
      <c r="J293">
        <f>IF($Z293="","",INDEX('Per Line'!$K$2:$K$1001,$Z293)&amp;"")</f>
        <v/>
      </c>
      <c r="K293">
        <f>IF($Z293="","",INDEX('Per Line'!$L$2:$L$1001,$Z293)&amp;"")</f>
        <v/>
      </c>
      <c r="L293">
        <f>IF($Z293="","",INDEX('Per Line'!$M$2:$M$1001,$Z293)&amp;"")</f>
        <v/>
      </c>
      <c r="M293">
        <f>IF($Z293="","",INDEX('Per Line'!$P$2:$P$1001,$Z293))</f>
        <v/>
      </c>
      <c r="N293" s="7">
        <f>IF($Z293="","",M293*X293/100)</f>
        <v/>
      </c>
      <c r="O293" s="7">
        <f>IF($Z293="","",SUMIFS('Per Line'!$Y$2:$Y$1001,'Per Line'!$D$2:$D$1001,$B293,'Per Line'!$AP$2:$AP$1001,1))</f>
        <v/>
      </c>
      <c r="P293">
        <f>IF($Z293="","",Settings!$C$7)</f>
        <v/>
      </c>
      <c r="Q293" s="7">
        <f>IF($Z293="","",SUMIFS('Per Line'!$Y$2:$Y$1001,'Per Line'!$D$2:$D$1001,$B293,'Per Line'!$AO$2:$AO$1001,0,'Per Line'!$AP$2:$AP$1001,0))</f>
        <v/>
      </c>
      <c r="R293" s="7">
        <f>IF($Z293="","",Q293*P293)</f>
        <v/>
      </c>
      <c r="S293">
        <f>IF($Z293="","",Settings!$C$6)</f>
        <v/>
      </c>
      <c r="T293" s="7">
        <f>IF($Z293="","",SUMIFS('Per Line'!$Y$2:$Y$1001,'Per Line'!$D$2:$D$1001,$B293,'Per Line'!$AO$2:$AO$1001,1,'Per Line'!$AP$2:$AP$1001,0))</f>
        <v/>
      </c>
      <c r="U293" s="7">
        <f>IF($Z293="","",T293*S293)</f>
        <v/>
      </c>
      <c r="V293" s="7">
        <f>IF($Z293="","",U293+R293)</f>
        <v/>
      </c>
      <c r="W293" s="7">
        <f>IF($Z293="","",X293-V293)</f>
        <v/>
      </c>
      <c r="X293" s="7">
        <f>IF($Z293="","",Q293+T293+O293)</f>
        <v/>
      </c>
      <c r="Y293" s="7">
        <f>IF($Z293="","",X293-V293-N293)</f>
        <v/>
      </c>
      <c r="Z293" s="13">
        <f>IF(ROWS($Z$2:$Z293)&lt;=MAX('Per Line'!$AN$2:$AN$1001),MATCH(ROWS($Z$2:$Z293),'Per Line'!$AN$2:$AN$1001,0),"")</f>
        <v/>
      </c>
    </row>
    <row r="294">
      <c r="A294" s="12" t="n"/>
      <c r="B294">
        <f>IF($Z294="","",INDEX('Per Line'!$D$2:$D$1001,$Z294)&amp;"")</f>
        <v/>
      </c>
      <c r="C294">
        <f>IF($Z294="","",INDEX('Per Line'!$B$2:$B$1001,$Z294)&amp;"")</f>
        <v/>
      </c>
      <c r="D294">
        <f>IF($Z294="","",INDEX('Per Line'!$A$2:$A$1001,$Z294))</f>
        <v/>
      </c>
      <c r="E294">
        <f>IF($Z294="","",INDEX('Per Line'!$E$2:$E$1001,$Z294)&amp;"")</f>
        <v/>
      </c>
      <c r="F294">
        <f>IF($Z294="","",INDEX('Per Line'!$F$2:$F$1001,$Z294)&amp;"")</f>
        <v/>
      </c>
      <c r="G294" s="11">
        <f>IF($Z294="","",INDEX('Per Line'!$G$2:$G$1001,$Z294))</f>
        <v/>
      </c>
      <c r="H294">
        <f>IF($Z294="","",INDEX('Per Line'!$I$2:$I$1001,$Z294)&amp;"")</f>
        <v/>
      </c>
      <c r="I294">
        <f>IF($Z294="","",INDEX('Per Line'!$J$2:$J$1001,$Z294)&amp;"")</f>
        <v/>
      </c>
      <c r="J294">
        <f>IF($Z294="","",INDEX('Per Line'!$K$2:$K$1001,$Z294)&amp;"")</f>
        <v/>
      </c>
      <c r="K294">
        <f>IF($Z294="","",INDEX('Per Line'!$L$2:$L$1001,$Z294)&amp;"")</f>
        <v/>
      </c>
      <c r="L294">
        <f>IF($Z294="","",INDEX('Per Line'!$M$2:$M$1001,$Z294)&amp;"")</f>
        <v/>
      </c>
      <c r="M294">
        <f>IF($Z294="","",INDEX('Per Line'!$P$2:$P$1001,$Z294))</f>
        <v/>
      </c>
      <c r="N294" s="7">
        <f>IF($Z294="","",M294*X294/100)</f>
        <v/>
      </c>
      <c r="O294" s="7">
        <f>IF($Z294="","",SUMIFS('Per Line'!$Y$2:$Y$1001,'Per Line'!$D$2:$D$1001,$B294,'Per Line'!$AP$2:$AP$1001,1))</f>
        <v/>
      </c>
      <c r="P294">
        <f>IF($Z294="","",Settings!$C$7)</f>
        <v/>
      </c>
      <c r="Q294" s="7">
        <f>IF($Z294="","",SUMIFS('Per Line'!$Y$2:$Y$1001,'Per Line'!$D$2:$D$1001,$B294,'Per Line'!$AO$2:$AO$1001,0,'Per Line'!$AP$2:$AP$1001,0))</f>
        <v/>
      </c>
      <c r="R294" s="7">
        <f>IF($Z294="","",Q294*P294)</f>
        <v/>
      </c>
      <c r="S294">
        <f>IF($Z294="","",Settings!$C$6)</f>
        <v/>
      </c>
      <c r="T294" s="7">
        <f>IF($Z294="","",SUMIFS('Per Line'!$Y$2:$Y$1001,'Per Line'!$D$2:$D$1001,$B294,'Per Line'!$AO$2:$AO$1001,1,'Per Line'!$AP$2:$AP$1001,0))</f>
        <v/>
      </c>
      <c r="U294" s="7">
        <f>IF($Z294="","",T294*S294)</f>
        <v/>
      </c>
      <c r="V294" s="7">
        <f>IF($Z294="","",U294+R294)</f>
        <v/>
      </c>
      <c r="W294" s="7">
        <f>IF($Z294="","",X294-V294)</f>
        <v/>
      </c>
      <c r="X294" s="7">
        <f>IF($Z294="","",Q294+T294+O294)</f>
        <v/>
      </c>
      <c r="Y294" s="7">
        <f>IF($Z294="","",X294-V294-N294)</f>
        <v/>
      </c>
      <c r="Z294" s="13">
        <f>IF(ROWS($Z$2:$Z294)&lt;=MAX('Per Line'!$AN$2:$AN$1001),MATCH(ROWS($Z$2:$Z294),'Per Line'!$AN$2:$AN$1001,0),"")</f>
        <v/>
      </c>
    </row>
    <row r="295">
      <c r="A295" s="12" t="n"/>
      <c r="B295">
        <f>IF($Z295="","",INDEX('Per Line'!$D$2:$D$1001,$Z295)&amp;"")</f>
        <v/>
      </c>
      <c r="C295">
        <f>IF($Z295="","",INDEX('Per Line'!$B$2:$B$1001,$Z295)&amp;"")</f>
        <v/>
      </c>
      <c r="D295">
        <f>IF($Z295="","",INDEX('Per Line'!$A$2:$A$1001,$Z295))</f>
        <v/>
      </c>
      <c r="E295">
        <f>IF($Z295="","",INDEX('Per Line'!$E$2:$E$1001,$Z295)&amp;"")</f>
        <v/>
      </c>
      <c r="F295">
        <f>IF($Z295="","",INDEX('Per Line'!$F$2:$F$1001,$Z295)&amp;"")</f>
        <v/>
      </c>
      <c r="G295" s="11">
        <f>IF($Z295="","",INDEX('Per Line'!$G$2:$G$1001,$Z295))</f>
        <v/>
      </c>
      <c r="H295">
        <f>IF($Z295="","",INDEX('Per Line'!$I$2:$I$1001,$Z295)&amp;"")</f>
        <v/>
      </c>
      <c r="I295">
        <f>IF($Z295="","",INDEX('Per Line'!$J$2:$J$1001,$Z295)&amp;"")</f>
        <v/>
      </c>
      <c r="J295">
        <f>IF($Z295="","",INDEX('Per Line'!$K$2:$K$1001,$Z295)&amp;"")</f>
        <v/>
      </c>
      <c r="K295">
        <f>IF($Z295="","",INDEX('Per Line'!$L$2:$L$1001,$Z295)&amp;"")</f>
        <v/>
      </c>
      <c r="L295">
        <f>IF($Z295="","",INDEX('Per Line'!$M$2:$M$1001,$Z295)&amp;"")</f>
        <v/>
      </c>
      <c r="M295">
        <f>IF($Z295="","",INDEX('Per Line'!$P$2:$P$1001,$Z295))</f>
        <v/>
      </c>
      <c r="N295" s="7">
        <f>IF($Z295="","",M295*X295/100)</f>
        <v/>
      </c>
      <c r="O295" s="7">
        <f>IF($Z295="","",SUMIFS('Per Line'!$Y$2:$Y$1001,'Per Line'!$D$2:$D$1001,$B295,'Per Line'!$AP$2:$AP$1001,1))</f>
        <v/>
      </c>
      <c r="P295">
        <f>IF($Z295="","",Settings!$C$7)</f>
        <v/>
      </c>
      <c r="Q295" s="7">
        <f>IF($Z295="","",SUMIFS('Per Line'!$Y$2:$Y$1001,'Per Line'!$D$2:$D$1001,$B295,'Per Line'!$AO$2:$AO$1001,0,'Per Line'!$AP$2:$AP$1001,0))</f>
        <v/>
      </c>
      <c r="R295" s="7">
        <f>IF($Z295="","",Q295*P295)</f>
        <v/>
      </c>
      <c r="S295">
        <f>IF($Z295="","",Settings!$C$6)</f>
        <v/>
      </c>
      <c r="T295" s="7">
        <f>IF($Z295="","",SUMIFS('Per Line'!$Y$2:$Y$1001,'Per Line'!$D$2:$D$1001,$B295,'Per Line'!$AO$2:$AO$1001,1,'Per Line'!$AP$2:$AP$1001,0))</f>
        <v/>
      </c>
      <c r="U295" s="7">
        <f>IF($Z295="","",T295*S295)</f>
        <v/>
      </c>
      <c r="V295" s="7">
        <f>IF($Z295="","",U295+R295)</f>
        <v/>
      </c>
      <c r="W295" s="7">
        <f>IF($Z295="","",X295-V295)</f>
        <v/>
      </c>
      <c r="X295" s="7">
        <f>IF($Z295="","",Q295+T295+O295)</f>
        <v/>
      </c>
      <c r="Y295" s="7">
        <f>IF($Z295="","",X295-V295-N295)</f>
        <v/>
      </c>
      <c r="Z295" s="13">
        <f>IF(ROWS($Z$2:$Z295)&lt;=MAX('Per Line'!$AN$2:$AN$1001),MATCH(ROWS($Z$2:$Z295),'Per Line'!$AN$2:$AN$1001,0),"")</f>
        <v/>
      </c>
    </row>
    <row r="296">
      <c r="A296" s="12" t="n"/>
      <c r="B296">
        <f>IF($Z296="","",INDEX('Per Line'!$D$2:$D$1001,$Z296)&amp;"")</f>
        <v/>
      </c>
      <c r="C296">
        <f>IF($Z296="","",INDEX('Per Line'!$B$2:$B$1001,$Z296)&amp;"")</f>
        <v/>
      </c>
      <c r="D296">
        <f>IF($Z296="","",INDEX('Per Line'!$A$2:$A$1001,$Z296))</f>
        <v/>
      </c>
      <c r="E296">
        <f>IF($Z296="","",INDEX('Per Line'!$E$2:$E$1001,$Z296)&amp;"")</f>
        <v/>
      </c>
      <c r="F296">
        <f>IF($Z296="","",INDEX('Per Line'!$F$2:$F$1001,$Z296)&amp;"")</f>
        <v/>
      </c>
      <c r="G296" s="11">
        <f>IF($Z296="","",INDEX('Per Line'!$G$2:$G$1001,$Z296))</f>
        <v/>
      </c>
      <c r="H296">
        <f>IF($Z296="","",INDEX('Per Line'!$I$2:$I$1001,$Z296)&amp;"")</f>
        <v/>
      </c>
      <c r="I296">
        <f>IF($Z296="","",INDEX('Per Line'!$J$2:$J$1001,$Z296)&amp;"")</f>
        <v/>
      </c>
      <c r="J296">
        <f>IF($Z296="","",INDEX('Per Line'!$K$2:$K$1001,$Z296)&amp;"")</f>
        <v/>
      </c>
      <c r="K296">
        <f>IF($Z296="","",INDEX('Per Line'!$L$2:$L$1001,$Z296)&amp;"")</f>
        <v/>
      </c>
      <c r="L296">
        <f>IF($Z296="","",INDEX('Per Line'!$M$2:$M$1001,$Z296)&amp;"")</f>
        <v/>
      </c>
      <c r="M296">
        <f>IF($Z296="","",INDEX('Per Line'!$P$2:$P$1001,$Z296))</f>
        <v/>
      </c>
      <c r="N296" s="7">
        <f>IF($Z296="","",M296*X296/100)</f>
        <v/>
      </c>
      <c r="O296" s="7">
        <f>IF($Z296="","",SUMIFS('Per Line'!$Y$2:$Y$1001,'Per Line'!$D$2:$D$1001,$B296,'Per Line'!$AP$2:$AP$1001,1))</f>
        <v/>
      </c>
      <c r="P296">
        <f>IF($Z296="","",Settings!$C$7)</f>
        <v/>
      </c>
      <c r="Q296" s="7">
        <f>IF($Z296="","",SUMIFS('Per Line'!$Y$2:$Y$1001,'Per Line'!$D$2:$D$1001,$B296,'Per Line'!$AO$2:$AO$1001,0,'Per Line'!$AP$2:$AP$1001,0))</f>
        <v/>
      </c>
      <c r="R296" s="7">
        <f>IF($Z296="","",Q296*P296)</f>
        <v/>
      </c>
      <c r="S296">
        <f>IF($Z296="","",Settings!$C$6)</f>
        <v/>
      </c>
      <c r="T296" s="7">
        <f>IF($Z296="","",SUMIFS('Per Line'!$Y$2:$Y$1001,'Per Line'!$D$2:$D$1001,$B296,'Per Line'!$AO$2:$AO$1001,1,'Per Line'!$AP$2:$AP$1001,0))</f>
        <v/>
      </c>
      <c r="U296" s="7">
        <f>IF($Z296="","",T296*S296)</f>
        <v/>
      </c>
      <c r="V296" s="7">
        <f>IF($Z296="","",U296+R296)</f>
        <v/>
      </c>
      <c r="W296" s="7">
        <f>IF($Z296="","",X296-V296)</f>
        <v/>
      </c>
      <c r="X296" s="7">
        <f>IF($Z296="","",Q296+T296+O296)</f>
        <v/>
      </c>
      <c r="Y296" s="7">
        <f>IF($Z296="","",X296-V296-N296)</f>
        <v/>
      </c>
      <c r="Z296" s="13">
        <f>IF(ROWS($Z$2:$Z296)&lt;=MAX('Per Line'!$AN$2:$AN$1001),MATCH(ROWS($Z$2:$Z296),'Per Line'!$AN$2:$AN$1001,0),"")</f>
        <v/>
      </c>
    </row>
    <row r="297">
      <c r="A297" s="12" t="n"/>
      <c r="B297">
        <f>IF($Z297="","",INDEX('Per Line'!$D$2:$D$1001,$Z297)&amp;"")</f>
        <v/>
      </c>
      <c r="C297">
        <f>IF($Z297="","",INDEX('Per Line'!$B$2:$B$1001,$Z297)&amp;"")</f>
        <v/>
      </c>
      <c r="D297">
        <f>IF($Z297="","",INDEX('Per Line'!$A$2:$A$1001,$Z297))</f>
        <v/>
      </c>
      <c r="E297">
        <f>IF($Z297="","",INDEX('Per Line'!$E$2:$E$1001,$Z297)&amp;"")</f>
        <v/>
      </c>
      <c r="F297">
        <f>IF($Z297="","",INDEX('Per Line'!$F$2:$F$1001,$Z297)&amp;"")</f>
        <v/>
      </c>
      <c r="G297" s="11">
        <f>IF($Z297="","",INDEX('Per Line'!$G$2:$G$1001,$Z297))</f>
        <v/>
      </c>
      <c r="H297">
        <f>IF($Z297="","",INDEX('Per Line'!$I$2:$I$1001,$Z297)&amp;"")</f>
        <v/>
      </c>
      <c r="I297">
        <f>IF($Z297="","",INDEX('Per Line'!$J$2:$J$1001,$Z297)&amp;"")</f>
        <v/>
      </c>
      <c r="J297">
        <f>IF($Z297="","",INDEX('Per Line'!$K$2:$K$1001,$Z297)&amp;"")</f>
        <v/>
      </c>
      <c r="K297">
        <f>IF($Z297="","",INDEX('Per Line'!$L$2:$L$1001,$Z297)&amp;"")</f>
        <v/>
      </c>
      <c r="L297">
        <f>IF($Z297="","",INDEX('Per Line'!$M$2:$M$1001,$Z297)&amp;"")</f>
        <v/>
      </c>
      <c r="M297">
        <f>IF($Z297="","",INDEX('Per Line'!$P$2:$P$1001,$Z297))</f>
        <v/>
      </c>
      <c r="N297" s="7">
        <f>IF($Z297="","",M297*X297/100)</f>
        <v/>
      </c>
      <c r="O297" s="7">
        <f>IF($Z297="","",SUMIFS('Per Line'!$Y$2:$Y$1001,'Per Line'!$D$2:$D$1001,$B297,'Per Line'!$AP$2:$AP$1001,1))</f>
        <v/>
      </c>
      <c r="P297">
        <f>IF($Z297="","",Settings!$C$7)</f>
        <v/>
      </c>
      <c r="Q297" s="7">
        <f>IF($Z297="","",SUMIFS('Per Line'!$Y$2:$Y$1001,'Per Line'!$D$2:$D$1001,$B297,'Per Line'!$AO$2:$AO$1001,0,'Per Line'!$AP$2:$AP$1001,0))</f>
        <v/>
      </c>
      <c r="R297" s="7">
        <f>IF($Z297="","",Q297*P297)</f>
        <v/>
      </c>
      <c r="S297">
        <f>IF($Z297="","",Settings!$C$6)</f>
        <v/>
      </c>
      <c r="T297" s="7">
        <f>IF($Z297="","",SUMIFS('Per Line'!$Y$2:$Y$1001,'Per Line'!$D$2:$D$1001,$B297,'Per Line'!$AO$2:$AO$1001,1,'Per Line'!$AP$2:$AP$1001,0))</f>
        <v/>
      </c>
      <c r="U297" s="7">
        <f>IF($Z297="","",T297*S297)</f>
        <v/>
      </c>
      <c r="V297" s="7">
        <f>IF($Z297="","",U297+R297)</f>
        <v/>
      </c>
      <c r="W297" s="7">
        <f>IF($Z297="","",X297-V297)</f>
        <v/>
      </c>
      <c r="X297" s="7">
        <f>IF($Z297="","",Q297+T297+O297)</f>
        <v/>
      </c>
      <c r="Y297" s="7">
        <f>IF($Z297="","",X297-V297-N297)</f>
        <v/>
      </c>
      <c r="Z297" s="13">
        <f>IF(ROWS($Z$2:$Z297)&lt;=MAX('Per Line'!$AN$2:$AN$1001),MATCH(ROWS($Z$2:$Z297),'Per Line'!$AN$2:$AN$1001,0),"")</f>
        <v/>
      </c>
    </row>
    <row r="298">
      <c r="A298" s="12" t="n"/>
      <c r="B298">
        <f>IF($Z298="","",INDEX('Per Line'!$D$2:$D$1001,$Z298)&amp;"")</f>
        <v/>
      </c>
      <c r="C298">
        <f>IF($Z298="","",INDEX('Per Line'!$B$2:$B$1001,$Z298)&amp;"")</f>
        <v/>
      </c>
      <c r="D298">
        <f>IF($Z298="","",INDEX('Per Line'!$A$2:$A$1001,$Z298))</f>
        <v/>
      </c>
      <c r="E298">
        <f>IF($Z298="","",INDEX('Per Line'!$E$2:$E$1001,$Z298)&amp;"")</f>
        <v/>
      </c>
      <c r="F298">
        <f>IF($Z298="","",INDEX('Per Line'!$F$2:$F$1001,$Z298)&amp;"")</f>
        <v/>
      </c>
      <c r="G298" s="11">
        <f>IF($Z298="","",INDEX('Per Line'!$G$2:$G$1001,$Z298))</f>
        <v/>
      </c>
      <c r="H298">
        <f>IF($Z298="","",INDEX('Per Line'!$I$2:$I$1001,$Z298)&amp;"")</f>
        <v/>
      </c>
      <c r="I298">
        <f>IF($Z298="","",INDEX('Per Line'!$J$2:$J$1001,$Z298)&amp;"")</f>
        <v/>
      </c>
      <c r="J298">
        <f>IF($Z298="","",INDEX('Per Line'!$K$2:$K$1001,$Z298)&amp;"")</f>
        <v/>
      </c>
      <c r="K298">
        <f>IF($Z298="","",INDEX('Per Line'!$L$2:$L$1001,$Z298)&amp;"")</f>
        <v/>
      </c>
      <c r="L298">
        <f>IF($Z298="","",INDEX('Per Line'!$M$2:$M$1001,$Z298)&amp;"")</f>
        <v/>
      </c>
      <c r="M298">
        <f>IF($Z298="","",INDEX('Per Line'!$P$2:$P$1001,$Z298))</f>
        <v/>
      </c>
      <c r="N298" s="7">
        <f>IF($Z298="","",M298*X298/100)</f>
        <v/>
      </c>
      <c r="O298" s="7">
        <f>IF($Z298="","",SUMIFS('Per Line'!$Y$2:$Y$1001,'Per Line'!$D$2:$D$1001,$B298,'Per Line'!$AP$2:$AP$1001,1))</f>
        <v/>
      </c>
      <c r="P298">
        <f>IF($Z298="","",Settings!$C$7)</f>
        <v/>
      </c>
      <c r="Q298" s="7">
        <f>IF($Z298="","",SUMIFS('Per Line'!$Y$2:$Y$1001,'Per Line'!$D$2:$D$1001,$B298,'Per Line'!$AO$2:$AO$1001,0,'Per Line'!$AP$2:$AP$1001,0))</f>
        <v/>
      </c>
      <c r="R298" s="7">
        <f>IF($Z298="","",Q298*P298)</f>
        <v/>
      </c>
      <c r="S298">
        <f>IF($Z298="","",Settings!$C$6)</f>
        <v/>
      </c>
      <c r="T298" s="7">
        <f>IF($Z298="","",SUMIFS('Per Line'!$Y$2:$Y$1001,'Per Line'!$D$2:$D$1001,$B298,'Per Line'!$AO$2:$AO$1001,1,'Per Line'!$AP$2:$AP$1001,0))</f>
        <v/>
      </c>
      <c r="U298" s="7">
        <f>IF($Z298="","",T298*S298)</f>
        <v/>
      </c>
      <c r="V298" s="7">
        <f>IF($Z298="","",U298+R298)</f>
        <v/>
      </c>
      <c r="W298" s="7">
        <f>IF($Z298="","",X298-V298)</f>
        <v/>
      </c>
      <c r="X298" s="7">
        <f>IF($Z298="","",Q298+T298+O298)</f>
        <v/>
      </c>
      <c r="Y298" s="7">
        <f>IF($Z298="","",X298-V298-N298)</f>
        <v/>
      </c>
      <c r="Z298" s="13">
        <f>IF(ROWS($Z$2:$Z298)&lt;=MAX('Per Line'!$AN$2:$AN$1001),MATCH(ROWS($Z$2:$Z298),'Per Line'!$AN$2:$AN$1001,0),"")</f>
        <v/>
      </c>
    </row>
    <row r="299">
      <c r="A299" s="12" t="n"/>
      <c r="B299">
        <f>IF($Z299="","",INDEX('Per Line'!$D$2:$D$1001,$Z299)&amp;"")</f>
        <v/>
      </c>
      <c r="C299">
        <f>IF($Z299="","",INDEX('Per Line'!$B$2:$B$1001,$Z299)&amp;"")</f>
        <v/>
      </c>
      <c r="D299">
        <f>IF($Z299="","",INDEX('Per Line'!$A$2:$A$1001,$Z299))</f>
        <v/>
      </c>
      <c r="E299">
        <f>IF($Z299="","",INDEX('Per Line'!$E$2:$E$1001,$Z299)&amp;"")</f>
        <v/>
      </c>
      <c r="F299">
        <f>IF($Z299="","",INDEX('Per Line'!$F$2:$F$1001,$Z299)&amp;"")</f>
        <v/>
      </c>
      <c r="G299" s="11">
        <f>IF($Z299="","",INDEX('Per Line'!$G$2:$G$1001,$Z299))</f>
        <v/>
      </c>
      <c r="H299">
        <f>IF($Z299="","",INDEX('Per Line'!$I$2:$I$1001,$Z299)&amp;"")</f>
        <v/>
      </c>
      <c r="I299">
        <f>IF($Z299="","",INDEX('Per Line'!$J$2:$J$1001,$Z299)&amp;"")</f>
        <v/>
      </c>
      <c r="J299">
        <f>IF($Z299="","",INDEX('Per Line'!$K$2:$K$1001,$Z299)&amp;"")</f>
        <v/>
      </c>
      <c r="K299">
        <f>IF($Z299="","",INDEX('Per Line'!$L$2:$L$1001,$Z299)&amp;"")</f>
        <v/>
      </c>
      <c r="L299">
        <f>IF($Z299="","",INDEX('Per Line'!$M$2:$M$1001,$Z299)&amp;"")</f>
        <v/>
      </c>
      <c r="M299">
        <f>IF($Z299="","",INDEX('Per Line'!$P$2:$P$1001,$Z299))</f>
        <v/>
      </c>
      <c r="N299" s="7">
        <f>IF($Z299="","",M299*X299/100)</f>
        <v/>
      </c>
      <c r="O299" s="7">
        <f>IF($Z299="","",SUMIFS('Per Line'!$Y$2:$Y$1001,'Per Line'!$D$2:$D$1001,$B299,'Per Line'!$AP$2:$AP$1001,1))</f>
        <v/>
      </c>
      <c r="P299">
        <f>IF($Z299="","",Settings!$C$7)</f>
        <v/>
      </c>
      <c r="Q299" s="7">
        <f>IF($Z299="","",SUMIFS('Per Line'!$Y$2:$Y$1001,'Per Line'!$D$2:$D$1001,$B299,'Per Line'!$AO$2:$AO$1001,0,'Per Line'!$AP$2:$AP$1001,0))</f>
        <v/>
      </c>
      <c r="R299" s="7">
        <f>IF($Z299="","",Q299*P299)</f>
        <v/>
      </c>
      <c r="S299">
        <f>IF($Z299="","",Settings!$C$6)</f>
        <v/>
      </c>
      <c r="T299" s="7">
        <f>IF($Z299="","",SUMIFS('Per Line'!$Y$2:$Y$1001,'Per Line'!$D$2:$D$1001,$B299,'Per Line'!$AO$2:$AO$1001,1,'Per Line'!$AP$2:$AP$1001,0))</f>
        <v/>
      </c>
      <c r="U299" s="7">
        <f>IF($Z299="","",T299*S299)</f>
        <v/>
      </c>
      <c r="V299" s="7">
        <f>IF($Z299="","",U299+R299)</f>
        <v/>
      </c>
      <c r="W299" s="7">
        <f>IF($Z299="","",X299-V299)</f>
        <v/>
      </c>
      <c r="X299" s="7">
        <f>IF($Z299="","",Q299+T299+O299)</f>
        <v/>
      </c>
      <c r="Y299" s="7">
        <f>IF($Z299="","",X299-V299-N299)</f>
        <v/>
      </c>
      <c r="Z299" s="13">
        <f>IF(ROWS($Z$2:$Z299)&lt;=MAX('Per Line'!$AN$2:$AN$1001),MATCH(ROWS($Z$2:$Z299),'Per Line'!$AN$2:$AN$1001,0),"")</f>
        <v/>
      </c>
    </row>
    <row r="300">
      <c r="A300" s="12" t="n"/>
      <c r="B300">
        <f>IF($Z300="","",INDEX('Per Line'!$D$2:$D$1001,$Z300)&amp;"")</f>
        <v/>
      </c>
      <c r="C300">
        <f>IF($Z300="","",INDEX('Per Line'!$B$2:$B$1001,$Z300)&amp;"")</f>
        <v/>
      </c>
      <c r="D300">
        <f>IF($Z300="","",INDEX('Per Line'!$A$2:$A$1001,$Z300))</f>
        <v/>
      </c>
      <c r="E300">
        <f>IF($Z300="","",INDEX('Per Line'!$E$2:$E$1001,$Z300)&amp;"")</f>
        <v/>
      </c>
      <c r="F300">
        <f>IF($Z300="","",INDEX('Per Line'!$F$2:$F$1001,$Z300)&amp;"")</f>
        <v/>
      </c>
      <c r="G300" s="11">
        <f>IF($Z300="","",INDEX('Per Line'!$G$2:$G$1001,$Z300))</f>
        <v/>
      </c>
      <c r="H300">
        <f>IF($Z300="","",INDEX('Per Line'!$I$2:$I$1001,$Z300)&amp;"")</f>
        <v/>
      </c>
      <c r="I300">
        <f>IF($Z300="","",INDEX('Per Line'!$J$2:$J$1001,$Z300)&amp;"")</f>
        <v/>
      </c>
      <c r="J300">
        <f>IF($Z300="","",INDEX('Per Line'!$K$2:$K$1001,$Z300)&amp;"")</f>
        <v/>
      </c>
      <c r="K300">
        <f>IF($Z300="","",INDEX('Per Line'!$L$2:$L$1001,$Z300)&amp;"")</f>
        <v/>
      </c>
      <c r="L300">
        <f>IF($Z300="","",INDEX('Per Line'!$M$2:$M$1001,$Z300)&amp;"")</f>
        <v/>
      </c>
      <c r="M300">
        <f>IF($Z300="","",INDEX('Per Line'!$P$2:$P$1001,$Z300))</f>
        <v/>
      </c>
      <c r="N300" s="7">
        <f>IF($Z300="","",M300*X300/100)</f>
        <v/>
      </c>
      <c r="O300" s="7">
        <f>IF($Z300="","",SUMIFS('Per Line'!$Y$2:$Y$1001,'Per Line'!$D$2:$D$1001,$B300,'Per Line'!$AP$2:$AP$1001,1))</f>
        <v/>
      </c>
      <c r="P300">
        <f>IF($Z300="","",Settings!$C$7)</f>
        <v/>
      </c>
      <c r="Q300" s="7">
        <f>IF($Z300="","",SUMIFS('Per Line'!$Y$2:$Y$1001,'Per Line'!$D$2:$D$1001,$B300,'Per Line'!$AO$2:$AO$1001,0,'Per Line'!$AP$2:$AP$1001,0))</f>
        <v/>
      </c>
      <c r="R300" s="7">
        <f>IF($Z300="","",Q300*P300)</f>
        <v/>
      </c>
      <c r="S300">
        <f>IF($Z300="","",Settings!$C$6)</f>
        <v/>
      </c>
      <c r="T300" s="7">
        <f>IF($Z300="","",SUMIFS('Per Line'!$Y$2:$Y$1001,'Per Line'!$D$2:$D$1001,$B300,'Per Line'!$AO$2:$AO$1001,1,'Per Line'!$AP$2:$AP$1001,0))</f>
        <v/>
      </c>
      <c r="U300" s="7">
        <f>IF($Z300="","",T300*S300)</f>
        <v/>
      </c>
      <c r="V300" s="7">
        <f>IF($Z300="","",U300+R300)</f>
        <v/>
      </c>
      <c r="W300" s="7">
        <f>IF($Z300="","",X300-V300)</f>
        <v/>
      </c>
      <c r="X300" s="7">
        <f>IF($Z300="","",Q300+T300+O300)</f>
        <v/>
      </c>
      <c r="Y300" s="7">
        <f>IF($Z300="","",X300-V300-N300)</f>
        <v/>
      </c>
      <c r="Z300" s="13">
        <f>IF(ROWS($Z$2:$Z300)&lt;=MAX('Per Line'!$AN$2:$AN$1001),MATCH(ROWS($Z$2:$Z300),'Per Line'!$AN$2:$AN$1001,0),"")</f>
        <v/>
      </c>
    </row>
    <row r="301">
      <c r="A301" s="12" t="n"/>
      <c r="B301">
        <f>IF($Z301="","",INDEX('Per Line'!$D$2:$D$1001,$Z301)&amp;"")</f>
        <v/>
      </c>
      <c r="C301">
        <f>IF($Z301="","",INDEX('Per Line'!$B$2:$B$1001,$Z301)&amp;"")</f>
        <v/>
      </c>
      <c r="D301">
        <f>IF($Z301="","",INDEX('Per Line'!$A$2:$A$1001,$Z301))</f>
        <v/>
      </c>
      <c r="E301">
        <f>IF($Z301="","",INDEX('Per Line'!$E$2:$E$1001,$Z301)&amp;"")</f>
        <v/>
      </c>
      <c r="F301">
        <f>IF($Z301="","",INDEX('Per Line'!$F$2:$F$1001,$Z301)&amp;"")</f>
        <v/>
      </c>
      <c r="G301" s="11">
        <f>IF($Z301="","",INDEX('Per Line'!$G$2:$G$1001,$Z301))</f>
        <v/>
      </c>
      <c r="H301">
        <f>IF($Z301="","",INDEX('Per Line'!$I$2:$I$1001,$Z301)&amp;"")</f>
        <v/>
      </c>
      <c r="I301">
        <f>IF($Z301="","",INDEX('Per Line'!$J$2:$J$1001,$Z301)&amp;"")</f>
        <v/>
      </c>
      <c r="J301">
        <f>IF($Z301="","",INDEX('Per Line'!$K$2:$K$1001,$Z301)&amp;"")</f>
        <v/>
      </c>
      <c r="K301">
        <f>IF($Z301="","",INDEX('Per Line'!$L$2:$L$1001,$Z301)&amp;"")</f>
        <v/>
      </c>
      <c r="L301">
        <f>IF($Z301="","",INDEX('Per Line'!$M$2:$M$1001,$Z301)&amp;"")</f>
        <v/>
      </c>
      <c r="M301">
        <f>IF($Z301="","",INDEX('Per Line'!$P$2:$P$1001,$Z301))</f>
        <v/>
      </c>
      <c r="N301" s="7">
        <f>IF($Z301="","",M301*X301/100)</f>
        <v/>
      </c>
      <c r="O301" s="7">
        <f>IF($Z301="","",SUMIFS('Per Line'!$Y$2:$Y$1001,'Per Line'!$D$2:$D$1001,$B301,'Per Line'!$AP$2:$AP$1001,1))</f>
        <v/>
      </c>
      <c r="P301">
        <f>IF($Z301="","",Settings!$C$7)</f>
        <v/>
      </c>
      <c r="Q301" s="7">
        <f>IF($Z301="","",SUMIFS('Per Line'!$Y$2:$Y$1001,'Per Line'!$D$2:$D$1001,$B301,'Per Line'!$AO$2:$AO$1001,0,'Per Line'!$AP$2:$AP$1001,0))</f>
        <v/>
      </c>
      <c r="R301" s="7">
        <f>IF($Z301="","",Q301*P301)</f>
        <v/>
      </c>
      <c r="S301">
        <f>IF($Z301="","",Settings!$C$6)</f>
        <v/>
      </c>
      <c r="T301" s="7">
        <f>IF($Z301="","",SUMIFS('Per Line'!$Y$2:$Y$1001,'Per Line'!$D$2:$D$1001,$B301,'Per Line'!$AO$2:$AO$1001,1,'Per Line'!$AP$2:$AP$1001,0))</f>
        <v/>
      </c>
      <c r="U301" s="7">
        <f>IF($Z301="","",T301*S301)</f>
        <v/>
      </c>
      <c r="V301" s="7">
        <f>IF($Z301="","",U301+R301)</f>
        <v/>
      </c>
      <c r="W301" s="7">
        <f>IF($Z301="","",X301-V301)</f>
        <v/>
      </c>
      <c r="X301" s="7">
        <f>IF($Z301="","",Q301+T301+O301)</f>
        <v/>
      </c>
      <c r="Y301" s="7">
        <f>IF($Z301="","",X301-V301-N301)</f>
        <v/>
      </c>
      <c r="Z301" s="13">
        <f>IF(ROWS($Z$2:$Z301)&lt;=MAX('Per Line'!$AN$2:$AN$1001),MATCH(ROWS($Z$2:$Z301),'Per Line'!$AN$2:$AN$1001,0),"")</f>
        <v/>
      </c>
    </row>
  </sheetData>
  <autoFilter ref="A1:Z3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2026-10-12T10:14:41Z</dcterms:created>
  <dcterms:modified xmlns:dcterms="http://purl.org/dc/terms/" xmlns:xsi="http://www.w3.org/2001/XMLSchema-instance" xsi:type="dcterms:W3CDTF">2026-10-12T10:14:41Z</dcterms:modified>
</cp:coreProperties>
</file>